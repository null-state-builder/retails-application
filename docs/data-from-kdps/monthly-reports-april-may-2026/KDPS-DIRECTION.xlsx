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DPS\SALE &amp; SOH REPORT\1. PRICE LIST, SALE REPORT &amp; SOH WORKING SHEET\"/>
    </mc:Choice>
  </mc:AlternateContent>
  <xr:revisionPtr revIDLastSave="0" documentId="13_ncr:1_{16975A94-424A-4739-BE5F-6FE15CE73CD5}" xr6:coauthVersionLast="47" xr6:coauthVersionMax="47" xr10:uidLastSave="{00000000-0000-0000-0000-000000000000}"/>
  <bookViews>
    <workbookView xWindow="-108" yWindow="-108" windowWidth="23256" windowHeight="12456" xr2:uid="{1D4A2BC6-09E8-4AF5-B4B0-A944A5116340}"/>
  </bookViews>
  <sheets>
    <sheet name="Sale Report May-26" sheetId="1" r:id="rId1"/>
    <sheet name="SOH" sheetId="2" r:id="rId2"/>
  </sheets>
  <externalReferences>
    <externalReference r:id="rId3"/>
    <externalReference r:id="rId4"/>
  </externalReferences>
  <definedNames>
    <definedName name="_xlnm._FilterDatabase" localSheetId="0" hidden="1">'Sale Report May-26'!$A$4:$T$403</definedName>
    <definedName name="_xlnm._FilterDatabase" localSheetId="1" hidden="1">SOH!$A$4:$J$2000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6" i="1" l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5" i="1"/>
  <c r="M6" i="1"/>
  <c r="N6" i="1"/>
  <c r="M7" i="1"/>
  <c r="N7" i="1"/>
  <c r="M8" i="1"/>
  <c r="N8" i="1"/>
  <c r="M9" i="1"/>
  <c r="N9" i="1"/>
  <c r="M10" i="1"/>
  <c r="N10" i="1"/>
  <c r="M11" i="1"/>
  <c r="N11" i="1"/>
  <c r="M12" i="1"/>
  <c r="N12" i="1"/>
  <c r="M13" i="1"/>
  <c r="N13" i="1"/>
  <c r="M14" i="1"/>
  <c r="N14" i="1"/>
  <c r="M15" i="1"/>
  <c r="N15" i="1"/>
  <c r="M16" i="1"/>
  <c r="N16" i="1"/>
  <c r="M17" i="1"/>
  <c r="N17" i="1"/>
  <c r="M18" i="1"/>
  <c r="N18" i="1"/>
  <c r="M19" i="1"/>
  <c r="N19" i="1"/>
  <c r="M20" i="1"/>
  <c r="N20" i="1"/>
  <c r="M21" i="1"/>
  <c r="N21" i="1"/>
  <c r="M22" i="1"/>
  <c r="N22" i="1"/>
  <c r="M23" i="1"/>
  <c r="N23" i="1"/>
  <c r="M24" i="1"/>
  <c r="N24" i="1"/>
  <c r="M25" i="1"/>
  <c r="N25" i="1"/>
  <c r="M26" i="1"/>
  <c r="N26" i="1"/>
  <c r="M27" i="1"/>
  <c r="N27" i="1"/>
  <c r="M28" i="1"/>
  <c r="N28" i="1"/>
  <c r="M29" i="1"/>
  <c r="N29" i="1"/>
  <c r="M30" i="1"/>
  <c r="N30" i="1"/>
  <c r="M31" i="1"/>
  <c r="N31" i="1"/>
  <c r="M32" i="1"/>
  <c r="N32" i="1"/>
  <c r="M33" i="1"/>
  <c r="N33" i="1"/>
  <c r="M34" i="1"/>
  <c r="N34" i="1"/>
  <c r="M35" i="1"/>
  <c r="N35" i="1"/>
  <c r="M36" i="1"/>
  <c r="N36" i="1"/>
  <c r="M37" i="1"/>
  <c r="N37" i="1"/>
  <c r="M38" i="1"/>
  <c r="N38" i="1"/>
  <c r="M39" i="1"/>
  <c r="N39" i="1"/>
  <c r="M40" i="1"/>
  <c r="N40" i="1"/>
  <c r="M41" i="1"/>
  <c r="N41" i="1"/>
  <c r="M42" i="1"/>
  <c r="N42" i="1"/>
  <c r="M43" i="1"/>
  <c r="N43" i="1"/>
  <c r="M44" i="1"/>
  <c r="N44" i="1"/>
  <c r="M45" i="1"/>
  <c r="N45" i="1"/>
  <c r="M46" i="1"/>
  <c r="N46" i="1"/>
  <c r="M47" i="1"/>
  <c r="N47" i="1"/>
  <c r="M48" i="1"/>
  <c r="N48" i="1"/>
  <c r="M49" i="1"/>
  <c r="N49" i="1"/>
  <c r="M50" i="1"/>
  <c r="N50" i="1"/>
  <c r="M51" i="1"/>
  <c r="N51" i="1"/>
  <c r="M52" i="1"/>
  <c r="N52" i="1"/>
  <c r="M53" i="1"/>
  <c r="N53" i="1"/>
  <c r="M54" i="1"/>
  <c r="N54" i="1"/>
  <c r="M55" i="1"/>
  <c r="N55" i="1"/>
  <c r="M56" i="1"/>
  <c r="N56" i="1"/>
  <c r="M57" i="1"/>
  <c r="N57" i="1"/>
  <c r="M58" i="1"/>
  <c r="N58" i="1"/>
  <c r="M59" i="1"/>
  <c r="N59" i="1"/>
  <c r="M60" i="1"/>
  <c r="N60" i="1"/>
  <c r="M61" i="1"/>
  <c r="N61" i="1"/>
  <c r="M62" i="1"/>
  <c r="N62" i="1"/>
  <c r="M63" i="1"/>
  <c r="N63" i="1"/>
  <c r="M64" i="1"/>
  <c r="N64" i="1"/>
  <c r="M65" i="1"/>
  <c r="N65" i="1"/>
  <c r="M66" i="1"/>
  <c r="N66" i="1"/>
  <c r="M67" i="1"/>
  <c r="N67" i="1"/>
  <c r="M68" i="1"/>
  <c r="N68" i="1"/>
  <c r="M69" i="1"/>
  <c r="N69" i="1"/>
  <c r="M70" i="1"/>
  <c r="N70" i="1"/>
  <c r="M71" i="1"/>
  <c r="N71" i="1"/>
  <c r="M72" i="1"/>
  <c r="N72" i="1"/>
  <c r="M73" i="1"/>
  <c r="N73" i="1"/>
  <c r="M74" i="1"/>
  <c r="N74" i="1"/>
  <c r="M75" i="1"/>
  <c r="N75" i="1"/>
  <c r="M76" i="1"/>
  <c r="N76" i="1"/>
  <c r="M77" i="1"/>
  <c r="N77" i="1"/>
  <c r="M78" i="1"/>
  <c r="N78" i="1"/>
  <c r="M79" i="1"/>
  <c r="N79" i="1"/>
  <c r="M80" i="1"/>
  <c r="N80" i="1"/>
  <c r="M81" i="1"/>
  <c r="N81" i="1"/>
  <c r="M82" i="1"/>
  <c r="N82" i="1"/>
  <c r="M83" i="1"/>
  <c r="N83" i="1"/>
  <c r="M84" i="1"/>
  <c r="N84" i="1"/>
  <c r="M85" i="1"/>
  <c r="N85" i="1"/>
  <c r="M86" i="1"/>
  <c r="N86" i="1"/>
  <c r="M87" i="1"/>
  <c r="N87" i="1"/>
  <c r="M88" i="1"/>
  <c r="N88" i="1"/>
  <c r="M89" i="1"/>
  <c r="N89" i="1"/>
  <c r="M90" i="1"/>
  <c r="N90" i="1"/>
  <c r="M91" i="1"/>
  <c r="N91" i="1"/>
  <c r="M92" i="1"/>
  <c r="N92" i="1"/>
  <c r="M93" i="1"/>
  <c r="N93" i="1"/>
  <c r="M94" i="1"/>
  <c r="N94" i="1"/>
  <c r="M95" i="1"/>
  <c r="N95" i="1"/>
  <c r="M96" i="1"/>
  <c r="N96" i="1"/>
  <c r="M97" i="1"/>
  <c r="N97" i="1"/>
  <c r="M98" i="1"/>
  <c r="N98" i="1"/>
  <c r="M99" i="1"/>
  <c r="N99" i="1"/>
  <c r="M100" i="1"/>
  <c r="N100" i="1"/>
  <c r="M101" i="1"/>
  <c r="N101" i="1"/>
  <c r="M102" i="1"/>
  <c r="N102" i="1"/>
  <c r="M103" i="1"/>
  <c r="N103" i="1"/>
  <c r="M104" i="1"/>
  <c r="N104" i="1"/>
  <c r="M105" i="1"/>
  <c r="N105" i="1"/>
  <c r="M106" i="1"/>
  <c r="N106" i="1"/>
  <c r="M107" i="1"/>
  <c r="N107" i="1"/>
  <c r="M108" i="1"/>
  <c r="N108" i="1"/>
  <c r="M109" i="1"/>
  <c r="N109" i="1"/>
  <c r="M110" i="1"/>
  <c r="N110" i="1"/>
  <c r="M111" i="1"/>
  <c r="N111" i="1"/>
  <c r="M112" i="1"/>
  <c r="N112" i="1"/>
  <c r="M113" i="1"/>
  <c r="N113" i="1"/>
  <c r="M114" i="1"/>
  <c r="N114" i="1"/>
  <c r="M115" i="1"/>
  <c r="N115" i="1"/>
  <c r="M116" i="1"/>
  <c r="N116" i="1"/>
  <c r="M117" i="1"/>
  <c r="N117" i="1"/>
  <c r="M118" i="1"/>
  <c r="N118" i="1"/>
  <c r="M119" i="1"/>
  <c r="N119" i="1"/>
  <c r="M120" i="1"/>
  <c r="N120" i="1"/>
  <c r="M121" i="1"/>
  <c r="N121" i="1"/>
  <c r="M122" i="1"/>
  <c r="N122" i="1"/>
  <c r="M123" i="1"/>
  <c r="N123" i="1"/>
  <c r="M124" i="1"/>
  <c r="N124" i="1"/>
  <c r="M125" i="1"/>
  <c r="N125" i="1"/>
  <c r="M126" i="1"/>
  <c r="N126" i="1"/>
  <c r="M127" i="1"/>
  <c r="N127" i="1"/>
  <c r="M128" i="1"/>
  <c r="N128" i="1"/>
  <c r="M129" i="1"/>
  <c r="N129" i="1"/>
  <c r="M130" i="1"/>
  <c r="N130" i="1"/>
  <c r="M131" i="1"/>
  <c r="N131" i="1"/>
  <c r="M132" i="1"/>
  <c r="N132" i="1"/>
  <c r="M133" i="1"/>
  <c r="N133" i="1"/>
  <c r="M134" i="1"/>
  <c r="N134" i="1"/>
  <c r="M135" i="1"/>
  <c r="N135" i="1"/>
  <c r="M136" i="1"/>
  <c r="N136" i="1"/>
  <c r="M137" i="1"/>
  <c r="N137" i="1"/>
  <c r="M138" i="1"/>
  <c r="N138" i="1"/>
  <c r="M139" i="1"/>
  <c r="N139" i="1"/>
  <c r="M140" i="1"/>
  <c r="N140" i="1"/>
  <c r="M141" i="1"/>
  <c r="N141" i="1"/>
  <c r="M142" i="1"/>
  <c r="N142" i="1"/>
  <c r="M143" i="1"/>
  <c r="N143" i="1"/>
  <c r="M144" i="1"/>
  <c r="N144" i="1"/>
  <c r="M145" i="1"/>
  <c r="N145" i="1" s="1"/>
  <c r="M146" i="1"/>
  <c r="N146" i="1"/>
  <c r="M147" i="1"/>
  <c r="N147" i="1"/>
  <c r="M148" i="1"/>
  <c r="N148" i="1"/>
  <c r="M149" i="1"/>
  <c r="N149" i="1"/>
  <c r="M150" i="1"/>
  <c r="N150" i="1"/>
  <c r="M151" i="1"/>
  <c r="N151" i="1"/>
  <c r="M152" i="1"/>
  <c r="N152" i="1"/>
  <c r="M153" i="1"/>
  <c r="N153" i="1" s="1"/>
  <c r="M154" i="1"/>
  <c r="N154" i="1"/>
  <c r="M155" i="1"/>
  <c r="N155" i="1"/>
  <c r="M156" i="1"/>
  <c r="N156" i="1"/>
  <c r="M157" i="1"/>
  <c r="N157" i="1"/>
  <c r="M158" i="1"/>
  <c r="N158" i="1"/>
  <c r="M159" i="1"/>
  <c r="N159" i="1" s="1"/>
  <c r="M160" i="1"/>
  <c r="N160" i="1"/>
  <c r="M161" i="1"/>
  <c r="N161" i="1"/>
  <c r="M162" i="1"/>
  <c r="N162" i="1"/>
  <c r="M163" i="1"/>
  <c r="N163" i="1"/>
  <c r="M164" i="1"/>
  <c r="N164" i="1"/>
  <c r="M165" i="1"/>
  <c r="N165" i="1"/>
  <c r="M166" i="1"/>
  <c r="N166" i="1" s="1"/>
  <c r="M167" i="1"/>
  <c r="N167" i="1"/>
  <c r="M168" i="1"/>
  <c r="N168" i="1"/>
  <c r="M169" i="1"/>
  <c r="N169" i="1"/>
  <c r="M170" i="1"/>
  <c r="N170" i="1"/>
  <c r="M171" i="1"/>
  <c r="N171" i="1"/>
  <c r="M172" i="1"/>
  <c r="N172" i="1" s="1"/>
  <c r="M173" i="1"/>
  <c r="N173" i="1"/>
  <c r="M174" i="1"/>
  <c r="N174" i="1"/>
  <c r="M175" i="1"/>
  <c r="N175" i="1"/>
  <c r="M176" i="1"/>
  <c r="N176" i="1"/>
  <c r="M177" i="1"/>
  <c r="N177" i="1"/>
  <c r="M178" i="1"/>
  <c r="N178" i="1"/>
  <c r="M179" i="1"/>
  <c r="N179" i="1" s="1"/>
  <c r="M180" i="1"/>
  <c r="N180" i="1"/>
  <c r="M181" i="1"/>
  <c r="N181" i="1"/>
  <c r="M182" i="1"/>
  <c r="N182" i="1"/>
  <c r="M183" i="1"/>
  <c r="N183" i="1"/>
  <c r="M184" i="1"/>
  <c r="N184" i="1"/>
  <c r="M185" i="1"/>
  <c r="N185" i="1"/>
  <c r="M186" i="1"/>
  <c r="N186" i="1"/>
  <c r="M187" i="1"/>
  <c r="N187" i="1"/>
  <c r="M188" i="1"/>
  <c r="N188" i="1"/>
  <c r="M189" i="1"/>
  <c r="N189" i="1"/>
  <c r="M190" i="1"/>
  <c r="N190" i="1"/>
  <c r="M191" i="1"/>
  <c r="N191" i="1"/>
  <c r="M192" i="1"/>
  <c r="N192" i="1"/>
  <c r="M193" i="1"/>
  <c r="N193" i="1"/>
  <c r="M194" i="1"/>
  <c r="N194" i="1"/>
  <c r="M195" i="1"/>
  <c r="N195" i="1"/>
  <c r="M196" i="1"/>
  <c r="N196" i="1"/>
  <c r="M197" i="1"/>
  <c r="N197" i="1"/>
  <c r="M198" i="1"/>
  <c r="N198" i="1"/>
  <c r="M199" i="1"/>
  <c r="N199" i="1"/>
  <c r="M200" i="1"/>
  <c r="N200" i="1"/>
  <c r="M201" i="1"/>
  <c r="N201" i="1"/>
  <c r="M202" i="1"/>
  <c r="N202" i="1"/>
  <c r="M203" i="1"/>
  <c r="N203" i="1"/>
  <c r="M204" i="1"/>
  <c r="N204" i="1"/>
  <c r="M205" i="1"/>
  <c r="N205" i="1"/>
  <c r="M206" i="1"/>
  <c r="N206" i="1"/>
  <c r="M207" i="1"/>
  <c r="N207" i="1"/>
  <c r="M208" i="1"/>
  <c r="N208" i="1"/>
  <c r="M209" i="1"/>
  <c r="N209" i="1"/>
  <c r="M210" i="1"/>
  <c r="N210" i="1"/>
  <c r="M211" i="1"/>
  <c r="N211" i="1"/>
  <c r="M212" i="1"/>
  <c r="N212" i="1"/>
  <c r="M213" i="1"/>
  <c r="N213" i="1"/>
  <c r="M214" i="1"/>
  <c r="N214" i="1"/>
  <c r="M215" i="1"/>
  <c r="N215" i="1"/>
  <c r="M216" i="1"/>
  <c r="N216" i="1"/>
  <c r="M217" i="1"/>
  <c r="N217" i="1"/>
  <c r="M218" i="1"/>
  <c r="N218" i="1"/>
  <c r="M219" i="1"/>
  <c r="N219" i="1"/>
  <c r="M220" i="1"/>
  <c r="N220" i="1"/>
  <c r="M221" i="1"/>
  <c r="N221" i="1"/>
  <c r="M222" i="1"/>
  <c r="N222" i="1"/>
  <c r="M223" i="1"/>
  <c r="N223" i="1"/>
  <c r="M224" i="1"/>
  <c r="N224" i="1"/>
  <c r="M225" i="1"/>
  <c r="N225" i="1"/>
  <c r="M226" i="1"/>
  <c r="N226" i="1"/>
  <c r="M227" i="1"/>
  <c r="N227" i="1"/>
  <c r="M228" i="1"/>
  <c r="N228" i="1"/>
  <c r="M229" i="1"/>
  <c r="N229" i="1"/>
  <c r="M230" i="1"/>
  <c r="N230" i="1"/>
  <c r="M231" i="1"/>
  <c r="N231" i="1"/>
  <c r="M232" i="1"/>
  <c r="N232" i="1"/>
  <c r="M233" i="1"/>
  <c r="N233" i="1"/>
  <c r="M234" i="1"/>
  <c r="N234" i="1"/>
  <c r="M235" i="1"/>
  <c r="N235" i="1"/>
  <c r="M236" i="1"/>
  <c r="N236" i="1"/>
  <c r="M237" i="1"/>
  <c r="N237" i="1"/>
  <c r="M238" i="1"/>
  <c r="N238" i="1"/>
  <c r="M239" i="1"/>
  <c r="N239" i="1"/>
  <c r="M240" i="1"/>
  <c r="N240" i="1"/>
  <c r="M241" i="1"/>
  <c r="N241" i="1"/>
  <c r="M242" i="1"/>
  <c r="N242" i="1"/>
  <c r="M243" i="1"/>
  <c r="N243" i="1"/>
  <c r="M244" i="1"/>
  <c r="N244" i="1"/>
  <c r="M245" i="1"/>
  <c r="N245" i="1"/>
  <c r="M246" i="1"/>
  <c r="N246" i="1"/>
  <c r="M247" i="1"/>
  <c r="N247" i="1"/>
  <c r="M248" i="1"/>
  <c r="N248" i="1"/>
  <c r="M249" i="1"/>
  <c r="N249" i="1"/>
  <c r="M250" i="1"/>
  <c r="N250" i="1"/>
  <c r="M251" i="1"/>
  <c r="N251" i="1"/>
  <c r="M252" i="1"/>
  <c r="N252" i="1"/>
  <c r="M253" i="1"/>
  <c r="N253" i="1"/>
  <c r="M254" i="1"/>
  <c r="N254" i="1"/>
  <c r="M255" i="1"/>
  <c r="N255" i="1"/>
  <c r="M256" i="1"/>
  <c r="N256" i="1"/>
  <c r="M257" i="1"/>
  <c r="N257" i="1"/>
  <c r="M258" i="1"/>
  <c r="N258" i="1"/>
  <c r="M259" i="1"/>
  <c r="N259" i="1" s="1"/>
  <c r="M260" i="1"/>
  <c r="N260" i="1" s="1"/>
  <c r="M261" i="1"/>
  <c r="N261" i="1"/>
  <c r="M262" i="1"/>
  <c r="N262" i="1"/>
  <c r="M263" i="1"/>
  <c r="N263" i="1"/>
  <c r="M264" i="1"/>
  <c r="N264" i="1"/>
  <c r="M265" i="1"/>
  <c r="N265" i="1"/>
  <c r="M266" i="1"/>
  <c r="N266" i="1" s="1"/>
  <c r="M267" i="1"/>
  <c r="N267" i="1"/>
  <c r="M268" i="1"/>
  <c r="N268" i="1"/>
  <c r="M269" i="1"/>
  <c r="N269" i="1"/>
  <c r="M270" i="1"/>
  <c r="N270" i="1" s="1"/>
  <c r="M271" i="1"/>
  <c r="N271" i="1" s="1"/>
  <c r="M272" i="1"/>
  <c r="N272" i="1" s="1"/>
  <c r="M273" i="1"/>
  <c r="N273" i="1"/>
  <c r="M274" i="1"/>
  <c r="N274" i="1"/>
  <c r="M275" i="1"/>
  <c r="N275" i="1"/>
  <c r="M276" i="1"/>
  <c r="N276" i="1"/>
  <c r="M277" i="1"/>
  <c r="N277" i="1" s="1"/>
  <c r="M278" i="1"/>
  <c r="N278" i="1"/>
  <c r="M279" i="1"/>
  <c r="N279" i="1" s="1"/>
  <c r="M280" i="1"/>
  <c r="N280" i="1"/>
  <c r="M281" i="1"/>
  <c r="N281" i="1" s="1"/>
  <c r="M282" i="1"/>
  <c r="N282" i="1"/>
  <c r="M283" i="1"/>
  <c r="N283" i="1"/>
  <c r="M284" i="1"/>
  <c r="N284" i="1"/>
  <c r="M285" i="1"/>
  <c r="N285" i="1"/>
  <c r="M286" i="1"/>
  <c r="N286" i="1"/>
  <c r="M287" i="1"/>
  <c r="N287" i="1"/>
  <c r="M288" i="1"/>
  <c r="N288" i="1"/>
  <c r="M289" i="1"/>
  <c r="N289" i="1"/>
  <c r="M290" i="1"/>
  <c r="N290" i="1"/>
  <c r="M291" i="1"/>
  <c r="N291" i="1"/>
  <c r="M292" i="1"/>
  <c r="N292" i="1"/>
  <c r="M293" i="1"/>
  <c r="N293" i="1"/>
  <c r="M294" i="1"/>
  <c r="N294" i="1"/>
  <c r="M295" i="1"/>
  <c r="N295" i="1" s="1"/>
  <c r="M296" i="1"/>
  <c r="N296" i="1"/>
  <c r="M297" i="1"/>
  <c r="N297" i="1"/>
  <c r="M298" i="1"/>
  <c r="N298" i="1"/>
  <c r="M299" i="1"/>
  <c r="N299" i="1"/>
  <c r="M300" i="1"/>
  <c r="N300" i="1" s="1"/>
  <c r="M301" i="1"/>
  <c r="N301" i="1"/>
  <c r="M302" i="1"/>
  <c r="N302" i="1"/>
  <c r="M303" i="1"/>
  <c r="N303" i="1"/>
  <c r="M304" i="1"/>
  <c r="N304" i="1"/>
  <c r="M305" i="1"/>
  <c r="N305" i="1"/>
  <c r="M306" i="1"/>
  <c r="N306" i="1"/>
  <c r="M307" i="1"/>
  <c r="N307" i="1"/>
  <c r="M308" i="1"/>
  <c r="N308" i="1"/>
  <c r="M309" i="1"/>
  <c r="N309" i="1"/>
  <c r="M310" i="1"/>
  <c r="N310" i="1"/>
  <c r="M311" i="1"/>
  <c r="N311" i="1"/>
  <c r="M312" i="1"/>
  <c r="N312" i="1"/>
  <c r="M313" i="1"/>
  <c r="N313" i="1" s="1"/>
  <c r="M314" i="1"/>
  <c r="N314" i="1"/>
  <c r="M315" i="1"/>
  <c r="N315" i="1"/>
  <c r="M316" i="1"/>
  <c r="N316" i="1"/>
  <c r="M317" i="1"/>
  <c r="N317" i="1"/>
  <c r="M318" i="1"/>
  <c r="N318" i="1"/>
  <c r="M319" i="1"/>
  <c r="N319" i="1"/>
  <c r="M320" i="1"/>
  <c r="N320" i="1"/>
  <c r="M321" i="1"/>
  <c r="N321" i="1"/>
  <c r="M322" i="1"/>
  <c r="N322" i="1"/>
  <c r="M323" i="1"/>
  <c r="N323" i="1"/>
  <c r="M324" i="1"/>
  <c r="N324" i="1"/>
  <c r="M325" i="1"/>
  <c r="N325" i="1"/>
  <c r="M326" i="1"/>
  <c r="N326" i="1"/>
  <c r="M327" i="1"/>
  <c r="N327" i="1"/>
  <c r="M328" i="1"/>
  <c r="N328" i="1"/>
  <c r="M329" i="1"/>
  <c r="N329" i="1"/>
  <c r="M330" i="1"/>
  <c r="N330" i="1"/>
  <c r="M331" i="1"/>
  <c r="N331" i="1"/>
  <c r="M332" i="1"/>
  <c r="N332" i="1" s="1"/>
  <c r="M333" i="1"/>
  <c r="N333" i="1"/>
  <c r="M334" i="1"/>
  <c r="N334" i="1" s="1"/>
  <c r="M335" i="1"/>
  <c r="N335" i="1" s="1"/>
  <c r="M336" i="1"/>
  <c r="N336" i="1" s="1"/>
  <c r="M337" i="1"/>
  <c r="N337" i="1"/>
  <c r="M338" i="1"/>
  <c r="N338" i="1"/>
  <c r="M339" i="1"/>
  <c r="N339" i="1" s="1"/>
  <c r="M340" i="1"/>
  <c r="N340" i="1"/>
  <c r="M341" i="1"/>
  <c r="N341" i="1"/>
  <c r="M342" i="1"/>
  <c r="N342" i="1"/>
  <c r="M343" i="1"/>
  <c r="N343" i="1" s="1"/>
  <c r="M344" i="1"/>
  <c r="N344" i="1"/>
  <c r="M345" i="1"/>
  <c r="N345" i="1" s="1"/>
  <c r="M346" i="1"/>
  <c r="N346" i="1"/>
  <c r="M347" i="1"/>
  <c r="N347" i="1"/>
  <c r="M348" i="1"/>
  <c r="N348" i="1"/>
  <c r="M349" i="1"/>
  <c r="N349" i="1"/>
  <c r="M350" i="1"/>
  <c r="N350" i="1"/>
  <c r="M351" i="1"/>
  <c r="N351" i="1"/>
  <c r="M352" i="1"/>
  <c r="N352" i="1" s="1"/>
  <c r="M353" i="1"/>
  <c r="N353" i="1"/>
  <c r="M354" i="1"/>
  <c r="N354" i="1" s="1"/>
  <c r="M355" i="1"/>
  <c r="N355" i="1"/>
  <c r="M356" i="1"/>
  <c r="N356" i="1" s="1"/>
  <c r="M357" i="1"/>
  <c r="N357" i="1"/>
  <c r="M358" i="1"/>
  <c r="N358" i="1" s="1"/>
  <c r="M359" i="1"/>
  <c r="N359" i="1"/>
  <c r="M360" i="1"/>
  <c r="N360" i="1" s="1"/>
  <c r="M361" i="1"/>
  <c r="N361" i="1"/>
  <c r="M362" i="1"/>
  <c r="N362" i="1"/>
  <c r="M363" i="1"/>
  <c r="N363" i="1"/>
  <c r="M364" i="1"/>
  <c r="N364" i="1"/>
  <c r="M365" i="1"/>
  <c r="N365" i="1"/>
  <c r="M366" i="1"/>
  <c r="N366" i="1" s="1"/>
  <c r="M367" i="1"/>
  <c r="N367" i="1"/>
  <c r="M368" i="1"/>
  <c r="N368" i="1" s="1"/>
  <c r="M369" i="1"/>
  <c r="N369" i="1"/>
  <c r="M370" i="1"/>
  <c r="N370" i="1" s="1"/>
  <c r="M371" i="1"/>
  <c r="N371" i="1"/>
  <c r="M372" i="1"/>
  <c r="N372" i="1" s="1"/>
  <c r="M373" i="1"/>
  <c r="N373" i="1" s="1"/>
  <c r="M374" i="1"/>
  <c r="N374" i="1" s="1"/>
  <c r="M375" i="1"/>
  <c r="N375" i="1"/>
  <c r="M376" i="1"/>
  <c r="N376" i="1" s="1"/>
  <c r="M377" i="1"/>
  <c r="N377" i="1"/>
  <c r="M378" i="1"/>
  <c r="N378" i="1" s="1"/>
  <c r="M379" i="1"/>
  <c r="N379" i="1"/>
  <c r="M380" i="1"/>
  <c r="N380" i="1"/>
  <c r="M381" i="1"/>
  <c r="N381" i="1"/>
  <c r="M382" i="1"/>
  <c r="N382" i="1"/>
  <c r="M383" i="1"/>
  <c r="N383" i="1"/>
  <c r="M384" i="1"/>
  <c r="N384" i="1"/>
  <c r="M385" i="1"/>
  <c r="N385" i="1" s="1"/>
  <c r="M386" i="1"/>
  <c r="N386" i="1"/>
  <c r="M387" i="1"/>
  <c r="N387" i="1"/>
  <c r="M388" i="1"/>
  <c r="N388" i="1" s="1"/>
  <c r="M389" i="1"/>
  <c r="N389" i="1" s="1"/>
  <c r="M390" i="1"/>
  <c r="N390" i="1"/>
  <c r="M391" i="1"/>
  <c r="N391" i="1"/>
  <c r="M392" i="1"/>
  <c r="N392" i="1"/>
  <c r="M393" i="1"/>
  <c r="N393" i="1"/>
  <c r="M394" i="1"/>
  <c r="N394" i="1"/>
  <c r="M395" i="1"/>
  <c r="N395" i="1"/>
  <c r="M396" i="1"/>
  <c r="N396" i="1" s="1"/>
  <c r="M397" i="1"/>
  <c r="N397" i="1" s="1"/>
  <c r="M398" i="1"/>
  <c r="N398" i="1" s="1"/>
  <c r="M399" i="1"/>
  <c r="N399" i="1" s="1"/>
  <c r="M400" i="1"/>
  <c r="N400" i="1" s="1"/>
  <c r="M401" i="1"/>
  <c r="N401" i="1" s="1"/>
  <c r="M402" i="1"/>
  <c r="N402" i="1" s="1"/>
  <c r="N5" i="1"/>
  <c r="M5" i="1"/>
  <c r="J404" i="1"/>
  <c r="O2" i="1" l="1"/>
  <c r="R380" i="1" l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C77" i="1"/>
  <c r="I77" i="1"/>
  <c r="K77" i="1"/>
  <c r="L77" i="1"/>
  <c r="O77" i="1"/>
  <c r="T77" i="1"/>
  <c r="C39" i="1"/>
  <c r="I39" i="1"/>
  <c r="K39" i="1"/>
  <c r="L39" i="1"/>
  <c r="O39" i="1"/>
  <c r="T39" i="1"/>
  <c r="C303" i="1"/>
  <c r="I303" i="1"/>
  <c r="K303" i="1"/>
  <c r="L303" i="1"/>
  <c r="O303" i="1"/>
  <c r="P303" i="1"/>
  <c r="T303" i="1"/>
  <c r="M403" i="1"/>
  <c r="Q303" i="1" l="1"/>
  <c r="S303" i="1" s="1"/>
  <c r="O182" i="1"/>
  <c r="P182" i="1"/>
  <c r="O205" i="1"/>
  <c r="O78" i="1"/>
  <c r="O43" i="1"/>
  <c r="O241" i="1"/>
  <c r="O29" i="1"/>
  <c r="O301" i="1"/>
  <c r="O302" i="1"/>
  <c r="P302" i="1"/>
  <c r="O132" i="1"/>
  <c r="O172" i="1"/>
  <c r="O268" i="1"/>
  <c r="P268" i="1"/>
  <c r="O51" i="1"/>
  <c r="O146" i="1"/>
  <c r="P146" i="1"/>
  <c r="O155" i="1"/>
  <c r="O84" i="1"/>
  <c r="O128" i="1"/>
  <c r="O68" i="1"/>
  <c r="O242" i="1"/>
  <c r="P242" i="1"/>
  <c r="O69" i="1"/>
  <c r="O221" i="1"/>
  <c r="O217" i="1"/>
  <c r="O271" i="1"/>
  <c r="P271" i="1"/>
  <c r="O237" i="1"/>
  <c r="O143" i="1"/>
  <c r="O272" i="1"/>
  <c r="O110" i="1"/>
  <c r="O288" i="1"/>
  <c r="O259" i="1"/>
  <c r="P259" i="1"/>
  <c r="O133" i="1"/>
  <c r="O239" i="1"/>
  <c r="P239" i="1"/>
  <c r="O200" i="1"/>
  <c r="O73" i="1"/>
  <c r="O278" i="1"/>
  <c r="O304" i="1"/>
  <c r="P304" i="1"/>
  <c r="O16" i="1"/>
  <c r="O31" i="1"/>
  <c r="O150" i="1"/>
  <c r="O157" i="1"/>
  <c r="P157" i="1"/>
  <c r="O149" i="1"/>
  <c r="O296" i="1"/>
  <c r="O171" i="1"/>
  <c r="O144" i="1"/>
  <c r="O201" i="1"/>
  <c r="O164" i="1"/>
  <c r="P164" i="1"/>
  <c r="O52" i="1"/>
  <c r="O195" i="1"/>
  <c r="P195" i="1"/>
  <c r="O188" i="1"/>
  <c r="O57" i="1"/>
  <c r="O223" i="1"/>
  <c r="O216" i="1"/>
  <c r="P216" i="1"/>
  <c r="O60" i="1"/>
  <c r="O158" i="1"/>
  <c r="P158" i="1"/>
  <c r="O101" i="1"/>
  <c r="O165" i="1"/>
  <c r="P165" i="1"/>
  <c r="O19" i="1"/>
  <c r="O139" i="1"/>
  <c r="O213" i="1"/>
  <c r="O21" i="1"/>
  <c r="O50" i="1"/>
  <c r="O87" i="1"/>
  <c r="P87" i="1"/>
  <c r="O125" i="1"/>
  <c r="O49" i="1"/>
  <c r="O70" i="1"/>
  <c r="O122" i="1"/>
  <c r="O108" i="1"/>
  <c r="O121" i="1"/>
  <c r="P121" i="1"/>
  <c r="O153" i="1"/>
  <c r="O163" i="1"/>
  <c r="P163" i="1"/>
  <c r="O112" i="1"/>
  <c r="O180" i="1"/>
  <c r="O173" i="1"/>
  <c r="O181" i="1"/>
  <c r="P181" i="1"/>
  <c r="O264" i="1"/>
  <c r="O62" i="1"/>
  <c r="O141" i="1"/>
  <c r="O297" i="1"/>
  <c r="P297" i="1"/>
  <c r="O152" i="1"/>
  <c r="O197" i="1"/>
  <c r="P197" i="1"/>
  <c r="O174" i="1"/>
  <c r="O231" i="1"/>
  <c r="O7" i="1"/>
  <c r="O305" i="1"/>
  <c r="P305" i="1"/>
  <c r="O306" i="1"/>
  <c r="O176" i="1"/>
  <c r="P176" i="1"/>
  <c r="O307" i="1"/>
  <c r="O308" i="1"/>
  <c r="P308" i="1"/>
  <c r="O260" i="1"/>
  <c r="O135" i="1"/>
  <c r="O154" i="1"/>
  <c r="O97" i="1"/>
  <c r="P97" i="1"/>
  <c r="O148" i="1"/>
  <c r="O83" i="1"/>
  <c r="O199" i="1"/>
  <c r="O107" i="1"/>
  <c r="P107" i="1"/>
  <c r="O14" i="1"/>
  <c r="O17" i="1"/>
  <c r="O81" i="1"/>
  <c r="O66" i="1"/>
  <c r="O219" i="1"/>
  <c r="O189" i="1"/>
  <c r="P189" i="1"/>
  <c r="O258" i="1"/>
  <c r="O119" i="1"/>
  <c r="O208" i="1"/>
  <c r="O270" i="1"/>
  <c r="P270" i="1"/>
  <c r="O30" i="1"/>
  <c r="O48" i="1"/>
  <c r="P48" i="1"/>
  <c r="O215" i="1"/>
  <c r="O156" i="1"/>
  <c r="O220" i="1"/>
  <c r="O192" i="1"/>
  <c r="P192" i="1"/>
  <c r="O11" i="1"/>
  <c r="O116" i="1"/>
  <c r="O25" i="1"/>
  <c r="O63" i="1"/>
  <c r="P63" i="1"/>
  <c r="Q63" i="1" s="1"/>
  <c r="O90" i="1"/>
  <c r="O298" i="1"/>
  <c r="P298" i="1"/>
  <c r="O293" i="1"/>
  <c r="O44" i="1"/>
  <c r="O15" i="1"/>
  <c r="O94" i="1"/>
  <c r="P94" i="1"/>
  <c r="O190" i="1"/>
  <c r="O131" i="1"/>
  <c r="P131" i="1"/>
  <c r="O232" i="1"/>
  <c r="O191" i="1"/>
  <c r="P191" i="1"/>
  <c r="O193" i="1"/>
  <c r="O248" i="1"/>
  <c r="P248" i="1"/>
  <c r="O166" i="1"/>
  <c r="O26" i="1"/>
  <c r="O309" i="1"/>
  <c r="O96" i="1"/>
  <c r="O103" i="1"/>
  <c r="O114" i="1"/>
  <c r="P114" i="1"/>
  <c r="O233" i="1"/>
  <c r="O196" i="1"/>
  <c r="P196" i="1"/>
  <c r="O13" i="1"/>
  <c r="O85" i="1"/>
  <c r="O177" i="1"/>
  <c r="O179" i="1"/>
  <c r="P179" i="1"/>
  <c r="O295" i="1"/>
  <c r="O160" i="1"/>
  <c r="P160" i="1"/>
  <c r="O142" i="1"/>
  <c r="O224" i="1"/>
  <c r="O74" i="1"/>
  <c r="O159" i="1"/>
  <c r="O147" i="1"/>
  <c r="O136" i="1"/>
  <c r="O277" i="1"/>
  <c r="P277" i="1"/>
  <c r="O203" i="1"/>
  <c r="O234" i="1"/>
  <c r="P234" i="1"/>
  <c r="O250" i="1"/>
  <c r="O5" i="1"/>
  <c r="O37" i="1"/>
  <c r="O61" i="1"/>
  <c r="O167" i="1"/>
  <c r="P167" i="1"/>
  <c r="O106" i="1"/>
  <c r="O111" i="1"/>
  <c r="O170" i="1"/>
  <c r="P170" i="1"/>
  <c r="O117" i="1"/>
  <c r="P117" i="1"/>
  <c r="O225" i="1"/>
  <c r="P225" i="1"/>
  <c r="O310" i="1"/>
  <c r="P310" i="1"/>
  <c r="O80" i="1"/>
  <c r="O75" i="1"/>
  <c r="P75" i="1"/>
  <c r="Q75" i="1" s="1"/>
  <c r="O256" i="1"/>
  <c r="P256" i="1"/>
  <c r="O283" i="1"/>
  <c r="P283" i="1"/>
  <c r="O76" i="1"/>
  <c r="O92" i="1"/>
  <c r="P92" i="1"/>
  <c r="O275" i="1"/>
  <c r="P275" i="1"/>
  <c r="O207" i="1"/>
  <c r="O235" i="1"/>
  <c r="O72" i="1"/>
  <c r="O212" i="1"/>
  <c r="O118" i="1"/>
  <c r="P118" i="1"/>
  <c r="O41" i="1"/>
  <c r="O206" i="1"/>
  <c r="O10" i="1"/>
  <c r="O281" i="1"/>
  <c r="P281" i="1"/>
  <c r="O255" i="1"/>
  <c r="O82" i="1"/>
  <c r="O89" i="1"/>
  <c r="O23" i="1"/>
  <c r="O210" i="1"/>
  <c r="O247" i="1"/>
  <c r="P247" i="1"/>
  <c r="O98" i="1"/>
  <c r="O273" i="1"/>
  <c r="O262" i="1"/>
  <c r="P262" i="1"/>
  <c r="O290" i="1"/>
  <c r="O204" i="1"/>
  <c r="P204" i="1"/>
  <c r="O294" i="1"/>
  <c r="O32" i="1"/>
  <c r="O18" i="1"/>
  <c r="O238" i="1"/>
  <c r="P238" i="1"/>
  <c r="O88" i="1"/>
  <c r="O54" i="1"/>
  <c r="O115" i="1"/>
  <c r="P115" i="1"/>
  <c r="O151" i="1"/>
  <c r="O244" i="1"/>
  <c r="P244" i="1"/>
  <c r="O58" i="1"/>
  <c r="P58" i="1"/>
  <c r="Q58" i="1" s="1"/>
  <c r="O285" i="1"/>
  <c r="P285" i="1"/>
  <c r="O279" i="1"/>
  <c r="O240" i="1"/>
  <c r="O228" i="1"/>
  <c r="O261" i="1"/>
  <c r="O253" i="1"/>
  <c r="O245" i="1"/>
  <c r="O311" i="1"/>
  <c r="P311" i="1"/>
  <c r="O299" i="1"/>
  <c r="O289" i="1"/>
  <c r="O229" i="1"/>
  <c r="O269" i="1"/>
  <c r="O79" i="1"/>
  <c r="O130" i="1"/>
  <c r="O59" i="1"/>
  <c r="O312" i="1"/>
  <c r="P312" i="1"/>
  <c r="O226" i="1"/>
  <c r="O286" i="1"/>
  <c r="P286" i="1"/>
  <c r="O218" i="1"/>
  <c r="O95" i="1"/>
  <c r="O93" i="1"/>
  <c r="O22" i="1"/>
  <c r="O263" i="1"/>
  <c r="P263" i="1"/>
  <c r="O209" i="1"/>
  <c r="O266" i="1"/>
  <c r="P266" i="1"/>
  <c r="O8" i="1"/>
  <c r="O161" i="1"/>
  <c r="P161" i="1"/>
  <c r="O313" i="1"/>
  <c r="P313" i="1"/>
  <c r="O9" i="1"/>
  <c r="O175" i="1"/>
  <c r="P175" i="1"/>
  <c r="O280" i="1"/>
  <c r="O291" i="1"/>
  <c r="O102" i="1"/>
  <c r="O287" i="1"/>
  <c r="O24" i="1"/>
  <c r="O184" i="1"/>
  <c r="O28" i="1"/>
  <c r="O20" i="1"/>
  <c r="O46" i="1"/>
  <c r="O140" i="1"/>
  <c r="O145" i="1"/>
  <c r="O274" i="1"/>
  <c r="O254" i="1"/>
  <c r="P254" i="1"/>
  <c r="O134" i="1"/>
  <c r="P134" i="1"/>
  <c r="O214" i="1"/>
  <c r="O198" i="1"/>
  <c r="O113" i="1"/>
  <c r="O267" i="1"/>
  <c r="P267" i="1"/>
  <c r="O230" i="1"/>
  <c r="P230" i="1"/>
  <c r="O127" i="1"/>
  <c r="O249" i="1"/>
  <c r="P249" i="1"/>
  <c r="O162" i="1"/>
  <c r="O222" i="1"/>
  <c r="P222" i="1"/>
  <c r="O40" i="1"/>
  <c r="O186" i="1"/>
  <c r="O185" i="1"/>
  <c r="P185" i="1"/>
  <c r="O86" i="1"/>
  <c r="O45" i="1"/>
  <c r="P45" i="1"/>
  <c r="O38" i="1"/>
  <c r="O194" i="1"/>
  <c r="O64" i="1"/>
  <c r="O123" i="1"/>
  <c r="O211" i="1"/>
  <c r="P211" i="1"/>
  <c r="O33" i="1"/>
  <c r="P33" i="1"/>
  <c r="O53" i="1"/>
  <c r="O12" i="1"/>
  <c r="O126" i="1"/>
  <c r="O27" i="1"/>
  <c r="P27" i="1"/>
  <c r="O36" i="1"/>
  <c r="O284" i="1"/>
  <c r="O257" i="1"/>
  <c r="O168" i="1"/>
  <c r="O91" i="1"/>
  <c r="O187" i="1"/>
  <c r="O35" i="1"/>
  <c r="P35" i="1"/>
  <c r="O47" i="1"/>
  <c r="O42" i="1"/>
  <c r="O6" i="1"/>
  <c r="O282" i="1"/>
  <c r="O314" i="1"/>
  <c r="P314" i="1"/>
  <c r="O105" i="1"/>
  <c r="O236" i="1"/>
  <c r="P236" i="1"/>
  <c r="O100" i="1"/>
  <c r="O109" i="1"/>
  <c r="O124" i="1"/>
  <c r="O300" i="1"/>
  <c r="P300" i="1"/>
  <c r="O169" i="1"/>
  <c r="O129" i="1"/>
  <c r="P129" i="1"/>
  <c r="O202" i="1"/>
  <c r="O183" i="1"/>
  <c r="O34" i="1"/>
  <c r="O138" i="1"/>
  <c r="O56" i="1"/>
  <c r="P56" i="1"/>
  <c r="Q56" i="1" s="1"/>
  <c r="O243" i="1"/>
  <c r="O227" i="1"/>
  <c r="P227" i="1"/>
  <c r="O65" i="1"/>
  <c r="O292" i="1"/>
  <c r="P292" i="1"/>
  <c r="O55" i="1"/>
  <c r="O120" i="1"/>
  <c r="P120" i="1"/>
  <c r="O67" i="1"/>
  <c r="P67" i="1"/>
  <c r="Q67" i="1" s="1"/>
  <c r="O99" i="1"/>
  <c r="O137" i="1"/>
  <c r="O104" i="1"/>
  <c r="O251" i="1"/>
  <c r="P251" i="1"/>
  <c r="O276" i="1"/>
  <c r="O265" i="1"/>
  <c r="O246" i="1"/>
  <c r="O252" i="1"/>
  <c r="O178" i="1"/>
  <c r="O315" i="1"/>
  <c r="P315" i="1"/>
  <c r="O316" i="1"/>
  <c r="O317" i="1"/>
  <c r="P317" i="1"/>
  <c r="O318" i="1"/>
  <c r="P318" i="1"/>
  <c r="O319" i="1"/>
  <c r="P319" i="1"/>
  <c r="O320" i="1"/>
  <c r="P320" i="1"/>
  <c r="O321" i="1"/>
  <c r="P321" i="1"/>
  <c r="O322" i="1"/>
  <c r="P322" i="1"/>
  <c r="O323" i="1"/>
  <c r="P323" i="1"/>
  <c r="O324" i="1"/>
  <c r="P324" i="1"/>
  <c r="O325" i="1"/>
  <c r="P325" i="1"/>
  <c r="O326" i="1"/>
  <c r="P326" i="1"/>
  <c r="O327" i="1"/>
  <c r="P327" i="1"/>
  <c r="O328" i="1"/>
  <c r="P328" i="1"/>
  <c r="O329" i="1"/>
  <c r="P329" i="1"/>
  <c r="O330" i="1"/>
  <c r="P330" i="1"/>
  <c r="O331" i="1"/>
  <c r="P331" i="1"/>
  <c r="O332" i="1"/>
  <c r="P332" i="1"/>
  <c r="O333" i="1"/>
  <c r="P333" i="1"/>
  <c r="O334" i="1"/>
  <c r="P334" i="1"/>
  <c r="O335" i="1"/>
  <c r="P335" i="1"/>
  <c r="O336" i="1"/>
  <c r="P336" i="1"/>
  <c r="O337" i="1"/>
  <c r="P337" i="1"/>
  <c r="O338" i="1"/>
  <c r="P338" i="1"/>
  <c r="O339" i="1"/>
  <c r="P339" i="1"/>
  <c r="O340" i="1"/>
  <c r="P340" i="1"/>
  <c r="O341" i="1"/>
  <c r="P341" i="1"/>
  <c r="O342" i="1"/>
  <c r="P342" i="1"/>
  <c r="O343" i="1"/>
  <c r="P343" i="1"/>
  <c r="O344" i="1"/>
  <c r="P344" i="1"/>
  <c r="O345" i="1"/>
  <c r="P345" i="1"/>
  <c r="O346" i="1"/>
  <c r="P346" i="1"/>
  <c r="O347" i="1"/>
  <c r="P347" i="1"/>
  <c r="O348" i="1"/>
  <c r="P348" i="1"/>
  <c r="O349" i="1"/>
  <c r="P349" i="1"/>
  <c r="O350" i="1"/>
  <c r="P350" i="1"/>
  <c r="O351" i="1"/>
  <c r="P351" i="1"/>
  <c r="O352" i="1"/>
  <c r="P352" i="1"/>
  <c r="O353" i="1"/>
  <c r="P353" i="1"/>
  <c r="O354" i="1"/>
  <c r="P354" i="1"/>
  <c r="O355" i="1"/>
  <c r="P355" i="1"/>
  <c r="O356" i="1"/>
  <c r="P356" i="1"/>
  <c r="O357" i="1"/>
  <c r="P357" i="1"/>
  <c r="O358" i="1"/>
  <c r="P358" i="1"/>
  <c r="O359" i="1"/>
  <c r="P359" i="1"/>
  <c r="O360" i="1"/>
  <c r="P360" i="1"/>
  <c r="O361" i="1"/>
  <c r="P361" i="1"/>
  <c r="O362" i="1"/>
  <c r="P362" i="1"/>
  <c r="O363" i="1"/>
  <c r="P363" i="1"/>
  <c r="O364" i="1"/>
  <c r="P364" i="1"/>
  <c r="O365" i="1"/>
  <c r="P365" i="1"/>
  <c r="O366" i="1"/>
  <c r="P366" i="1"/>
  <c r="O367" i="1"/>
  <c r="P367" i="1"/>
  <c r="O368" i="1"/>
  <c r="P368" i="1"/>
  <c r="O369" i="1"/>
  <c r="P369" i="1"/>
  <c r="O370" i="1"/>
  <c r="P370" i="1"/>
  <c r="O371" i="1"/>
  <c r="P371" i="1"/>
  <c r="O372" i="1"/>
  <c r="P372" i="1"/>
  <c r="O373" i="1"/>
  <c r="P373" i="1"/>
  <c r="O374" i="1"/>
  <c r="P374" i="1"/>
  <c r="O375" i="1"/>
  <c r="P375" i="1"/>
  <c r="O376" i="1"/>
  <c r="P376" i="1"/>
  <c r="O377" i="1"/>
  <c r="P377" i="1"/>
  <c r="O378" i="1"/>
  <c r="P378" i="1"/>
  <c r="O379" i="1"/>
  <c r="P379" i="1"/>
  <c r="O380" i="1"/>
  <c r="P380" i="1"/>
  <c r="O381" i="1"/>
  <c r="P381" i="1"/>
  <c r="O382" i="1"/>
  <c r="P382" i="1"/>
  <c r="O383" i="1"/>
  <c r="P383" i="1"/>
  <c r="O384" i="1"/>
  <c r="P384" i="1"/>
  <c r="O385" i="1"/>
  <c r="P385" i="1"/>
  <c r="O386" i="1"/>
  <c r="P386" i="1"/>
  <c r="O387" i="1"/>
  <c r="P387" i="1"/>
  <c r="O388" i="1"/>
  <c r="P388" i="1"/>
  <c r="O389" i="1"/>
  <c r="P389" i="1"/>
  <c r="O390" i="1"/>
  <c r="P390" i="1"/>
  <c r="O391" i="1"/>
  <c r="P391" i="1"/>
  <c r="O392" i="1"/>
  <c r="P392" i="1"/>
  <c r="O393" i="1"/>
  <c r="P393" i="1"/>
  <c r="O394" i="1"/>
  <c r="P394" i="1"/>
  <c r="O395" i="1"/>
  <c r="P395" i="1"/>
  <c r="O396" i="1"/>
  <c r="P396" i="1"/>
  <c r="O397" i="1"/>
  <c r="P397" i="1"/>
  <c r="O398" i="1"/>
  <c r="P398" i="1"/>
  <c r="O399" i="1"/>
  <c r="P399" i="1"/>
  <c r="O400" i="1"/>
  <c r="P400" i="1"/>
  <c r="O401" i="1"/>
  <c r="P401" i="1"/>
  <c r="O402" i="1"/>
  <c r="P402" i="1"/>
  <c r="O403" i="1"/>
  <c r="P403" i="1"/>
  <c r="Q146" i="1" l="1"/>
  <c r="S146" i="1" s="1"/>
  <c r="Q131" i="1"/>
  <c r="S131" i="1" s="1"/>
  <c r="Q134" i="1"/>
  <c r="S134" i="1" s="1"/>
  <c r="Q129" i="1"/>
  <c r="S129" i="1" s="1"/>
  <c r="Q114" i="1"/>
  <c r="S114" i="1" s="1"/>
  <c r="Q121" i="1"/>
  <c r="S121" i="1" s="1"/>
  <c r="Q120" i="1"/>
  <c r="S120" i="1" s="1"/>
  <c r="Q115" i="1"/>
  <c r="S115" i="1" s="1"/>
  <c r="Q117" i="1"/>
  <c r="S117" i="1" s="1"/>
  <c r="Q118" i="1"/>
  <c r="S118" i="1" s="1"/>
  <c r="Q87" i="1"/>
  <c r="S87" i="1" s="1"/>
  <c r="Q92" i="1"/>
  <c r="S92" i="1" s="1"/>
  <c r="Q107" i="1"/>
  <c r="S107" i="1" s="1"/>
  <c r="Q97" i="1"/>
  <c r="S97" i="1" s="1"/>
  <c r="Q94" i="1"/>
  <c r="S94" i="1" s="1"/>
  <c r="Q48" i="1"/>
  <c r="S48" i="1" s="1"/>
  <c r="Q45" i="1"/>
  <c r="Q35" i="1"/>
  <c r="S35" i="1" s="1"/>
  <c r="Q33" i="1"/>
  <c r="S33" i="1" s="1"/>
  <c r="Q27" i="1"/>
  <c r="S27" i="1" s="1"/>
  <c r="Q386" i="1"/>
  <c r="S386" i="1" s="1"/>
  <c r="Q238" i="1"/>
  <c r="S238" i="1" s="1"/>
  <c r="Q275" i="1"/>
  <c r="S275" i="1" s="1"/>
  <c r="Q311" i="1"/>
  <c r="S311" i="1" s="1"/>
  <c r="Q312" i="1"/>
  <c r="S312" i="1" s="1"/>
  <c r="Q267" i="1"/>
  <c r="S267" i="1" s="1"/>
  <c r="Q327" i="1"/>
  <c r="S327" i="1" s="1"/>
  <c r="Q331" i="1"/>
  <c r="S331" i="1" s="1"/>
  <c r="Q336" i="1"/>
  <c r="S336" i="1" s="1"/>
  <c r="Q337" i="1"/>
  <c r="S337" i="1" s="1"/>
  <c r="Q341" i="1"/>
  <c r="S341" i="1" s="1"/>
  <c r="Q362" i="1"/>
  <c r="S362" i="1" s="1"/>
  <c r="Q365" i="1"/>
  <c r="S365" i="1" s="1"/>
  <c r="Q369" i="1"/>
  <c r="S369" i="1" s="1"/>
  <c r="Q374" i="1"/>
  <c r="S374" i="1" s="1"/>
  <c r="Q379" i="1"/>
  <c r="S379" i="1" s="1"/>
  <c r="Q383" i="1"/>
  <c r="S383" i="1" s="1"/>
  <c r="Q400" i="1"/>
  <c r="S400" i="1" s="1"/>
  <c r="Q403" i="1"/>
  <c r="S403" i="1" s="1"/>
  <c r="Q160" i="1"/>
  <c r="S160" i="1" s="1"/>
  <c r="Q234" i="1"/>
  <c r="S234" i="1" s="1"/>
  <c r="Q310" i="1"/>
  <c r="S310" i="1" s="1"/>
  <c r="Q247" i="1"/>
  <c r="S247" i="1" s="1"/>
  <c r="S58" i="1"/>
  <c r="Q211" i="1"/>
  <c r="S211" i="1" s="1"/>
  <c r="Q300" i="1"/>
  <c r="S300" i="1" s="1"/>
  <c r="Q292" i="1"/>
  <c r="S292" i="1" s="1"/>
  <c r="Q251" i="1"/>
  <c r="S251" i="1" s="1"/>
  <c r="Q315" i="1"/>
  <c r="S315" i="1" s="1"/>
  <c r="Q388" i="1"/>
  <c r="S388" i="1" s="1"/>
  <c r="Q390" i="1"/>
  <c r="S390" i="1" s="1"/>
  <c r="Q393" i="1"/>
  <c r="S393" i="1" s="1"/>
  <c r="Q396" i="1"/>
  <c r="S396" i="1" s="1"/>
  <c r="Q182" i="1"/>
  <c r="S182" i="1" s="1"/>
  <c r="Q302" i="1"/>
  <c r="S302" i="1" s="1"/>
  <c r="Q268" i="1"/>
  <c r="S268" i="1" s="1"/>
  <c r="Q242" i="1"/>
  <c r="S242" i="1" s="1"/>
  <c r="Q271" i="1"/>
  <c r="S271" i="1" s="1"/>
  <c r="Q259" i="1"/>
  <c r="S259" i="1" s="1"/>
  <c r="Q239" i="1"/>
  <c r="S239" i="1" s="1"/>
  <c r="Q304" i="1"/>
  <c r="S304" i="1" s="1"/>
  <c r="Q157" i="1"/>
  <c r="S157" i="1" s="1"/>
  <c r="Q164" i="1"/>
  <c r="S164" i="1" s="1"/>
  <c r="Q195" i="1"/>
  <c r="S195" i="1" s="1"/>
  <c r="Q216" i="1"/>
  <c r="S216" i="1" s="1"/>
  <c r="Q158" i="1"/>
  <c r="S158" i="1" s="1"/>
  <c r="Q165" i="1"/>
  <c r="S165" i="1" s="1"/>
  <c r="Q163" i="1"/>
  <c r="S163" i="1" s="1"/>
  <c r="Q181" i="1"/>
  <c r="S181" i="1" s="1"/>
  <c r="Q297" i="1"/>
  <c r="S297" i="1" s="1"/>
  <c r="Q197" i="1"/>
  <c r="S197" i="1" s="1"/>
  <c r="Q305" i="1"/>
  <c r="S305" i="1" s="1"/>
  <c r="Q176" i="1"/>
  <c r="S176" i="1" s="1"/>
  <c r="Q308" i="1"/>
  <c r="S308" i="1" s="1"/>
  <c r="Q189" i="1"/>
  <c r="S189" i="1" s="1"/>
  <c r="Q270" i="1"/>
  <c r="S270" i="1" s="1"/>
  <c r="Q192" i="1"/>
  <c r="S192" i="1" s="1"/>
  <c r="S63" i="1"/>
  <c r="Q298" i="1"/>
  <c r="S298" i="1" s="1"/>
  <c r="Q191" i="1"/>
  <c r="S191" i="1" s="1"/>
  <c r="Q248" i="1"/>
  <c r="S248" i="1" s="1"/>
  <c r="Q196" i="1"/>
  <c r="S196" i="1" s="1"/>
  <c r="Q179" i="1"/>
  <c r="S179" i="1" s="1"/>
  <c r="Q225" i="1"/>
  <c r="S225" i="1" s="1"/>
  <c r="Q256" i="1"/>
  <c r="S256" i="1" s="1"/>
  <c r="Q262" i="1"/>
  <c r="S262" i="1" s="1"/>
  <c r="Q204" i="1"/>
  <c r="S204" i="1" s="1"/>
  <c r="Q286" i="1"/>
  <c r="S286" i="1" s="1"/>
  <c r="Q263" i="1"/>
  <c r="S263" i="1" s="1"/>
  <c r="Q254" i="1"/>
  <c r="S254" i="1" s="1"/>
  <c r="Q230" i="1"/>
  <c r="S230" i="1" s="1"/>
  <c r="Q249" i="1"/>
  <c r="S249" i="1" s="1"/>
  <c r="Q222" i="1"/>
  <c r="S222" i="1" s="1"/>
  <c r="Q185" i="1"/>
  <c r="S185" i="1" s="1"/>
  <c r="Q314" i="1"/>
  <c r="S314" i="1" s="1"/>
  <c r="Q236" i="1"/>
  <c r="S236" i="1" s="1"/>
  <c r="Q317" i="1"/>
  <c r="S317" i="1" s="1"/>
  <c r="Q320" i="1"/>
  <c r="S320" i="1" s="1"/>
  <c r="Q321" i="1"/>
  <c r="S321" i="1" s="1"/>
  <c r="Q322" i="1"/>
  <c r="S322" i="1" s="1"/>
  <c r="Q325" i="1"/>
  <c r="S325" i="1" s="1"/>
  <c r="Q326" i="1"/>
  <c r="S326" i="1" s="1"/>
  <c r="Q330" i="1"/>
  <c r="S330" i="1" s="1"/>
  <c r="Q332" i="1"/>
  <c r="S332" i="1" s="1"/>
  <c r="Q335" i="1"/>
  <c r="S335" i="1" s="1"/>
  <c r="Q340" i="1"/>
  <c r="S340" i="1" s="1"/>
  <c r="Q342" i="1"/>
  <c r="S342" i="1" s="1"/>
  <c r="Q345" i="1"/>
  <c r="S345" i="1" s="1"/>
  <c r="Q348" i="1"/>
  <c r="S348" i="1" s="1"/>
  <c r="Q349" i="1"/>
  <c r="S349" i="1" s="1"/>
  <c r="Q350" i="1"/>
  <c r="S350" i="1" s="1"/>
  <c r="Q167" i="1"/>
  <c r="S167" i="1" s="1"/>
  <c r="Q283" i="1"/>
  <c r="S283" i="1" s="1"/>
  <c r="Q281" i="1"/>
  <c r="S281" i="1" s="1"/>
  <c r="Q266" i="1"/>
  <c r="S266" i="1" s="1"/>
  <c r="Q313" i="1"/>
  <c r="S313" i="1" s="1"/>
  <c r="Q175" i="1"/>
  <c r="S175" i="1" s="1"/>
  <c r="Q227" i="1"/>
  <c r="S227" i="1" s="1"/>
  <c r="Q319" i="1"/>
  <c r="S319" i="1" s="1"/>
  <c r="Q324" i="1"/>
  <c r="S324" i="1" s="1"/>
  <c r="Q329" i="1"/>
  <c r="S329" i="1" s="1"/>
  <c r="Q334" i="1"/>
  <c r="S334" i="1" s="1"/>
  <c r="Q339" i="1"/>
  <c r="S339" i="1" s="1"/>
  <c r="Q344" i="1"/>
  <c r="S344" i="1" s="1"/>
  <c r="Q347" i="1"/>
  <c r="S347" i="1" s="1"/>
  <c r="Q352" i="1"/>
  <c r="S352" i="1" s="1"/>
  <c r="Q353" i="1"/>
  <c r="S353" i="1" s="1"/>
  <c r="Q354" i="1"/>
  <c r="S354" i="1" s="1"/>
  <c r="Q355" i="1"/>
  <c r="S355" i="1" s="1"/>
  <c r="Q356" i="1"/>
  <c r="S356" i="1" s="1"/>
  <c r="Q357" i="1"/>
  <c r="S357" i="1" s="1"/>
  <c r="Q358" i="1"/>
  <c r="S358" i="1" s="1"/>
  <c r="Q359" i="1"/>
  <c r="S359" i="1" s="1"/>
  <c r="Q360" i="1"/>
  <c r="S360" i="1" s="1"/>
  <c r="Q361" i="1"/>
  <c r="S361" i="1" s="1"/>
  <c r="Q370" i="1"/>
  <c r="S370" i="1" s="1"/>
  <c r="Q371" i="1"/>
  <c r="S371" i="1" s="1"/>
  <c r="Q372" i="1"/>
  <c r="S372" i="1" s="1"/>
  <c r="Q373" i="1"/>
  <c r="S373" i="1" s="1"/>
  <c r="Q380" i="1"/>
  <c r="S380" i="1" s="1"/>
  <c r="Q381" i="1"/>
  <c r="S381" i="1" s="1"/>
  <c r="Q382" i="1"/>
  <c r="S382" i="1" s="1"/>
  <c r="Q384" i="1"/>
  <c r="S384" i="1" s="1"/>
  <c r="Q385" i="1"/>
  <c r="S385" i="1" s="1"/>
  <c r="Q389" i="1"/>
  <c r="S389" i="1" s="1"/>
  <c r="Q394" i="1"/>
  <c r="S394" i="1" s="1"/>
  <c r="Q395" i="1"/>
  <c r="S395" i="1" s="1"/>
  <c r="Q401" i="1"/>
  <c r="S401" i="1" s="1"/>
  <c r="Q402" i="1"/>
  <c r="S402" i="1" s="1"/>
  <c r="Q277" i="1"/>
  <c r="S277" i="1" s="1"/>
  <c r="Q170" i="1"/>
  <c r="S170" i="1" s="1"/>
  <c r="Q244" i="1"/>
  <c r="S244" i="1" s="1"/>
  <c r="Q285" i="1"/>
  <c r="S285" i="1" s="1"/>
  <c r="Q161" i="1"/>
  <c r="S161" i="1" s="1"/>
  <c r="Q318" i="1"/>
  <c r="S318" i="1" s="1"/>
  <c r="Q323" i="1"/>
  <c r="S323" i="1" s="1"/>
  <c r="Q328" i="1"/>
  <c r="S328" i="1" s="1"/>
  <c r="Q333" i="1"/>
  <c r="S333" i="1" s="1"/>
  <c r="Q338" i="1"/>
  <c r="S338" i="1" s="1"/>
  <c r="Q343" i="1"/>
  <c r="S343" i="1" s="1"/>
  <c r="Q346" i="1"/>
  <c r="S346" i="1" s="1"/>
  <c r="Q351" i="1"/>
  <c r="S351" i="1" s="1"/>
  <c r="Q363" i="1"/>
  <c r="S363" i="1" s="1"/>
  <c r="Q364" i="1"/>
  <c r="S364" i="1" s="1"/>
  <c r="Q366" i="1"/>
  <c r="S366" i="1" s="1"/>
  <c r="Q367" i="1"/>
  <c r="S367" i="1" s="1"/>
  <c r="Q368" i="1"/>
  <c r="S368" i="1" s="1"/>
  <c r="Q375" i="1"/>
  <c r="S375" i="1" s="1"/>
  <c r="Q376" i="1"/>
  <c r="S376" i="1" s="1"/>
  <c r="Q377" i="1"/>
  <c r="S377" i="1" s="1"/>
  <c r="Q378" i="1"/>
  <c r="S378" i="1" s="1"/>
  <c r="Q387" i="1"/>
  <c r="S387" i="1" s="1"/>
  <c r="Q391" i="1"/>
  <c r="S391" i="1" s="1"/>
  <c r="Q392" i="1"/>
  <c r="S392" i="1" s="1"/>
  <c r="Q397" i="1"/>
  <c r="S397" i="1" s="1"/>
  <c r="Q398" i="1"/>
  <c r="S398" i="1" s="1"/>
  <c r="Q399" i="1"/>
  <c r="S399" i="1" s="1"/>
  <c r="O71" i="1"/>
  <c r="P2" i="1"/>
  <c r="Q2" i="1" l="1"/>
  <c r="S45" i="1"/>
  <c r="S56" i="1"/>
  <c r="S75" i="1"/>
  <c r="S67" i="1"/>
  <c r="R2" i="1" l="1"/>
  <c r="T182" i="1" l="1"/>
  <c r="T205" i="1"/>
  <c r="T78" i="1"/>
  <c r="T43" i="1"/>
  <c r="T241" i="1"/>
  <c r="T29" i="1"/>
  <c r="T301" i="1"/>
  <c r="T302" i="1"/>
  <c r="T132" i="1"/>
  <c r="T172" i="1"/>
  <c r="T268" i="1"/>
  <c r="T51" i="1"/>
  <c r="T146" i="1"/>
  <c r="T155" i="1"/>
  <c r="T84" i="1"/>
  <c r="T128" i="1"/>
  <c r="T68" i="1"/>
  <c r="T242" i="1"/>
  <c r="T69" i="1"/>
  <c r="T221" i="1"/>
  <c r="T217" i="1"/>
  <c r="T271" i="1"/>
  <c r="T237" i="1"/>
  <c r="T143" i="1"/>
  <c r="T272" i="1"/>
  <c r="T110" i="1"/>
  <c r="T288" i="1"/>
  <c r="T259" i="1"/>
  <c r="T133" i="1"/>
  <c r="T239" i="1"/>
  <c r="T200" i="1"/>
  <c r="T73" i="1"/>
  <c r="T278" i="1"/>
  <c r="T304" i="1"/>
  <c r="T16" i="1"/>
  <c r="T31" i="1"/>
  <c r="T150" i="1"/>
  <c r="T157" i="1"/>
  <c r="T149" i="1"/>
  <c r="T296" i="1"/>
  <c r="T171" i="1"/>
  <c r="T144" i="1"/>
  <c r="T201" i="1"/>
  <c r="T164" i="1"/>
  <c r="T52" i="1"/>
  <c r="T195" i="1"/>
  <c r="T188" i="1"/>
  <c r="T57" i="1"/>
  <c r="T223" i="1"/>
  <c r="T216" i="1"/>
  <c r="T60" i="1"/>
  <c r="T158" i="1"/>
  <c r="T101" i="1"/>
  <c r="T165" i="1"/>
  <c r="T19" i="1"/>
  <c r="T139" i="1"/>
  <c r="T213" i="1"/>
  <c r="T21" i="1"/>
  <c r="T50" i="1"/>
  <c r="T87" i="1"/>
  <c r="T125" i="1"/>
  <c r="T49" i="1"/>
  <c r="T70" i="1"/>
  <c r="T122" i="1"/>
  <c r="T108" i="1"/>
  <c r="T121" i="1"/>
  <c r="T153" i="1"/>
  <c r="T163" i="1"/>
  <c r="T112" i="1"/>
  <c r="T180" i="1"/>
  <c r="T173" i="1"/>
  <c r="T181" i="1"/>
  <c r="T264" i="1"/>
  <c r="T62" i="1"/>
  <c r="T141" i="1"/>
  <c r="T297" i="1"/>
  <c r="T152" i="1"/>
  <c r="T197" i="1"/>
  <c r="T174" i="1"/>
  <c r="T231" i="1"/>
  <c r="T7" i="1"/>
  <c r="T305" i="1"/>
  <c r="T306" i="1"/>
  <c r="T176" i="1"/>
  <c r="T307" i="1"/>
  <c r="T308" i="1"/>
  <c r="T260" i="1"/>
  <c r="T135" i="1"/>
  <c r="T154" i="1"/>
  <c r="T97" i="1"/>
  <c r="T148" i="1"/>
  <c r="T83" i="1"/>
  <c r="T199" i="1"/>
  <c r="T107" i="1"/>
  <c r="T14" i="1"/>
  <c r="T17" i="1"/>
  <c r="T81" i="1"/>
  <c r="T66" i="1"/>
  <c r="T219" i="1"/>
  <c r="T189" i="1"/>
  <c r="T258" i="1"/>
  <c r="T119" i="1"/>
  <c r="T208" i="1"/>
  <c r="T270" i="1"/>
  <c r="T30" i="1"/>
  <c r="T48" i="1"/>
  <c r="T215" i="1"/>
  <c r="T156" i="1"/>
  <c r="T220" i="1"/>
  <c r="T192" i="1"/>
  <c r="T11" i="1"/>
  <c r="T116" i="1"/>
  <c r="T25" i="1"/>
  <c r="T63" i="1"/>
  <c r="T90" i="1"/>
  <c r="T298" i="1"/>
  <c r="T293" i="1"/>
  <c r="T44" i="1"/>
  <c r="T15" i="1"/>
  <c r="T94" i="1"/>
  <c r="T190" i="1"/>
  <c r="T131" i="1"/>
  <c r="T232" i="1"/>
  <c r="T191" i="1"/>
  <c r="T193" i="1"/>
  <c r="T248" i="1"/>
  <c r="T166" i="1"/>
  <c r="T26" i="1"/>
  <c r="T309" i="1"/>
  <c r="T96" i="1"/>
  <c r="T103" i="1"/>
  <c r="T114" i="1"/>
  <c r="T233" i="1"/>
  <c r="T196" i="1"/>
  <c r="T13" i="1"/>
  <c r="T85" i="1"/>
  <c r="T177" i="1"/>
  <c r="T179" i="1"/>
  <c r="T295" i="1"/>
  <c r="T160" i="1"/>
  <c r="T142" i="1"/>
  <c r="T224" i="1"/>
  <c r="T74" i="1"/>
  <c r="T159" i="1"/>
  <c r="T147" i="1"/>
  <c r="T136" i="1"/>
  <c r="T277" i="1"/>
  <c r="T203" i="1"/>
  <c r="T234" i="1"/>
  <c r="T250" i="1"/>
  <c r="T5" i="1"/>
  <c r="T37" i="1"/>
  <c r="T61" i="1"/>
  <c r="T167" i="1"/>
  <c r="T106" i="1"/>
  <c r="T111" i="1"/>
  <c r="T170" i="1"/>
  <c r="T117" i="1"/>
  <c r="T225" i="1"/>
  <c r="T310" i="1"/>
  <c r="T80" i="1"/>
  <c r="T75" i="1"/>
  <c r="T256" i="1"/>
  <c r="T283" i="1"/>
  <c r="T76" i="1"/>
  <c r="T92" i="1"/>
  <c r="T275" i="1"/>
  <c r="T207" i="1"/>
  <c r="T235" i="1"/>
  <c r="T72" i="1"/>
  <c r="T212" i="1"/>
  <c r="T118" i="1"/>
  <c r="T41" i="1"/>
  <c r="T206" i="1"/>
  <c r="T10" i="1"/>
  <c r="T281" i="1"/>
  <c r="T255" i="1"/>
  <c r="T82" i="1"/>
  <c r="T89" i="1"/>
  <c r="T23" i="1"/>
  <c r="T210" i="1"/>
  <c r="T247" i="1"/>
  <c r="T98" i="1"/>
  <c r="T273" i="1"/>
  <c r="T262" i="1"/>
  <c r="T290" i="1"/>
  <c r="T204" i="1"/>
  <c r="T294" i="1"/>
  <c r="T32" i="1"/>
  <c r="T18" i="1"/>
  <c r="T238" i="1"/>
  <c r="T88" i="1"/>
  <c r="T54" i="1"/>
  <c r="T115" i="1"/>
  <c r="T151" i="1"/>
  <c r="T244" i="1"/>
  <c r="T58" i="1"/>
  <c r="T285" i="1"/>
  <c r="T279" i="1"/>
  <c r="T240" i="1"/>
  <c r="T228" i="1"/>
  <c r="T261" i="1"/>
  <c r="T253" i="1"/>
  <c r="T245" i="1"/>
  <c r="T311" i="1"/>
  <c r="T299" i="1"/>
  <c r="T289" i="1"/>
  <c r="T229" i="1"/>
  <c r="T269" i="1"/>
  <c r="T79" i="1"/>
  <c r="T130" i="1"/>
  <c r="T59" i="1"/>
  <c r="T312" i="1"/>
  <c r="T226" i="1"/>
  <c r="T286" i="1"/>
  <c r="T218" i="1"/>
  <c r="T95" i="1"/>
  <c r="T93" i="1"/>
  <c r="T22" i="1"/>
  <c r="T263" i="1"/>
  <c r="T209" i="1"/>
  <c r="T266" i="1"/>
  <c r="T8" i="1"/>
  <c r="T161" i="1"/>
  <c r="T313" i="1"/>
  <c r="T9" i="1"/>
  <c r="T175" i="1"/>
  <c r="T280" i="1"/>
  <c r="T291" i="1"/>
  <c r="T102" i="1"/>
  <c r="T287" i="1"/>
  <c r="T24" i="1"/>
  <c r="T184" i="1"/>
  <c r="T28" i="1"/>
  <c r="T20" i="1"/>
  <c r="T46" i="1"/>
  <c r="T140" i="1"/>
  <c r="T145" i="1"/>
  <c r="T274" i="1"/>
  <c r="T254" i="1"/>
  <c r="T134" i="1"/>
  <c r="T214" i="1"/>
  <c r="T198" i="1"/>
  <c r="T113" i="1"/>
  <c r="T267" i="1"/>
  <c r="T230" i="1"/>
  <c r="T127" i="1"/>
  <c r="T249" i="1"/>
  <c r="T162" i="1"/>
  <c r="T222" i="1"/>
  <c r="T40" i="1"/>
  <c r="T186" i="1"/>
  <c r="T185" i="1"/>
  <c r="T86" i="1"/>
  <c r="T45" i="1"/>
  <c r="T38" i="1"/>
  <c r="T194" i="1"/>
  <c r="T64" i="1"/>
  <c r="T123" i="1"/>
  <c r="T211" i="1"/>
  <c r="T33" i="1"/>
  <c r="T53" i="1"/>
  <c r="T12" i="1"/>
  <c r="T126" i="1"/>
  <c r="T27" i="1"/>
  <c r="T36" i="1"/>
  <c r="T284" i="1"/>
  <c r="T257" i="1"/>
  <c r="T168" i="1"/>
  <c r="T91" i="1"/>
  <c r="T187" i="1"/>
  <c r="T35" i="1"/>
  <c r="T47" i="1"/>
  <c r="T42" i="1"/>
  <c r="T6" i="1"/>
  <c r="T282" i="1"/>
  <c r="T314" i="1"/>
  <c r="T105" i="1"/>
  <c r="T236" i="1"/>
  <c r="T100" i="1"/>
  <c r="T109" i="1"/>
  <c r="T124" i="1"/>
  <c r="T300" i="1"/>
  <c r="T169" i="1"/>
  <c r="T129" i="1"/>
  <c r="T202" i="1"/>
  <c r="T183" i="1"/>
  <c r="T34" i="1"/>
  <c r="T138" i="1"/>
  <c r="T56" i="1"/>
  <c r="T243" i="1"/>
  <c r="T227" i="1"/>
  <c r="T65" i="1"/>
  <c r="T292" i="1"/>
  <c r="T55" i="1"/>
  <c r="T120" i="1"/>
  <c r="T67" i="1"/>
  <c r="T99" i="1"/>
  <c r="T137" i="1"/>
  <c r="T104" i="1"/>
  <c r="T251" i="1"/>
  <c r="T276" i="1"/>
  <c r="T265" i="1"/>
  <c r="T246" i="1"/>
  <c r="T252" i="1"/>
  <c r="T178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71" i="1"/>
  <c r="C120" i="1"/>
  <c r="I120" i="1"/>
  <c r="K120" i="1"/>
  <c r="L120" i="1"/>
  <c r="C67" i="1"/>
  <c r="I67" i="1"/>
  <c r="K67" i="1"/>
  <c r="L67" i="1"/>
  <c r="C99" i="1"/>
  <c r="I99" i="1"/>
  <c r="K99" i="1"/>
  <c r="L99" i="1"/>
  <c r="C137" i="1"/>
  <c r="I137" i="1"/>
  <c r="K137" i="1"/>
  <c r="L137" i="1"/>
  <c r="C104" i="1"/>
  <c r="I104" i="1"/>
  <c r="K104" i="1"/>
  <c r="L104" i="1"/>
  <c r="C251" i="1"/>
  <c r="I251" i="1"/>
  <c r="K251" i="1"/>
  <c r="L251" i="1"/>
  <c r="C276" i="1"/>
  <c r="I276" i="1"/>
  <c r="K276" i="1"/>
  <c r="L276" i="1"/>
  <c r="C265" i="1"/>
  <c r="I265" i="1"/>
  <c r="K265" i="1"/>
  <c r="L265" i="1"/>
  <c r="C246" i="1"/>
  <c r="I246" i="1"/>
  <c r="K246" i="1"/>
  <c r="L246" i="1"/>
  <c r="C252" i="1"/>
  <c r="I252" i="1"/>
  <c r="K252" i="1"/>
  <c r="L252" i="1"/>
  <c r="C178" i="1"/>
  <c r="I178" i="1"/>
  <c r="K178" i="1"/>
  <c r="L178" i="1"/>
  <c r="C315" i="1"/>
  <c r="I315" i="1"/>
  <c r="K315" i="1"/>
  <c r="L315" i="1"/>
  <c r="C316" i="1"/>
  <c r="I316" i="1"/>
  <c r="K316" i="1"/>
  <c r="L316" i="1"/>
  <c r="C317" i="1"/>
  <c r="I317" i="1"/>
  <c r="K317" i="1"/>
  <c r="L317" i="1"/>
  <c r="C318" i="1"/>
  <c r="I318" i="1"/>
  <c r="K318" i="1"/>
  <c r="L318" i="1"/>
  <c r="C319" i="1"/>
  <c r="I319" i="1"/>
  <c r="K319" i="1"/>
  <c r="L319" i="1"/>
  <c r="C320" i="1"/>
  <c r="I320" i="1"/>
  <c r="K320" i="1"/>
  <c r="L320" i="1"/>
  <c r="C321" i="1"/>
  <c r="I321" i="1"/>
  <c r="K321" i="1"/>
  <c r="L321" i="1"/>
  <c r="C322" i="1"/>
  <c r="I322" i="1"/>
  <c r="K322" i="1"/>
  <c r="L322" i="1"/>
  <c r="C323" i="1"/>
  <c r="I323" i="1"/>
  <c r="K323" i="1"/>
  <c r="L323" i="1"/>
  <c r="C324" i="1"/>
  <c r="I324" i="1"/>
  <c r="K324" i="1"/>
  <c r="L324" i="1"/>
  <c r="C325" i="1"/>
  <c r="I325" i="1"/>
  <c r="K325" i="1"/>
  <c r="L325" i="1"/>
  <c r="C326" i="1"/>
  <c r="I326" i="1"/>
  <c r="K326" i="1"/>
  <c r="L326" i="1"/>
  <c r="C327" i="1"/>
  <c r="I327" i="1"/>
  <c r="K327" i="1"/>
  <c r="L327" i="1"/>
  <c r="C328" i="1"/>
  <c r="I328" i="1"/>
  <c r="K328" i="1"/>
  <c r="L328" i="1"/>
  <c r="C329" i="1"/>
  <c r="I329" i="1"/>
  <c r="K329" i="1"/>
  <c r="L329" i="1"/>
  <c r="C330" i="1"/>
  <c r="I330" i="1"/>
  <c r="K330" i="1"/>
  <c r="L330" i="1"/>
  <c r="C331" i="1"/>
  <c r="I331" i="1"/>
  <c r="K331" i="1"/>
  <c r="L331" i="1"/>
  <c r="C332" i="1"/>
  <c r="I332" i="1"/>
  <c r="K332" i="1"/>
  <c r="L332" i="1"/>
  <c r="C333" i="1"/>
  <c r="I333" i="1"/>
  <c r="K333" i="1"/>
  <c r="L333" i="1"/>
  <c r="C334" i="1"/>
  <c r="I334" i="1"/>
  <c r="K334" i="1"/>
  <c r="L334" i="1"/>
  <c r="C335" i="1"/>
  <c r="I335" i="1"/>
  <c r="K335" i="1"/>
  <c r="L335" i="1"/>
  <c r="C336" i="1"/>
  <c r="I336" i="1"/>
  <c r="K336" i="1"/>
  <c r="L336" i="1"/>
  <c r="C337" i="1"/>
  <c r="I337" i="1"/>
  <c r="K337" i="1"/>
  <c r="L337" i="1"/>
  <c r="C338" i="1"/>
  <c r="I338" i="1"/>
  <c r="K338" i="1"/>
  <c r="L338" i="1"/>
  <c r="C339" i="1"/>
  <c r="I339" i="1"/>
  <c r="K339" i="1"/>
  <c r="L339" i="1"/>
  <c r="C340" i="1"/>
  <c r="I340" i="1"/>
  <c r="K340" i="1"/>
  <c r="L340" i="1"/>
  <c r="C341" i="1"/>
  <c r="I341" i="1"/>
  <c r="K341" i="1"/>
  <c r="L341" i="1"/>
  <c r="C342" i="1"/>
  <c r="I342" i="1"/>
  <c r="K342" i="1"/>
  <c r="L342" i="1"/>
  <c r="C343" i="1"/>
  <c r="I343" i="1"/>
  <c r="K343" i="1"/>
  <c r="L343" i="1"/>
  <c r="C344" i="1"/>
  <c r="I344" i="1"/>
  <c r="K344" i="1"/>
  <c r="L344" i="1"/>
  <c r="C345" i="1"/>
  <c r="I345" i="1"/>
  <c r="K345" i="1"/>
  <c r="L345" i="1"/>
  <c r="C346" i="1"/>
  <c r="I346" i="1"/>
  <c r="K346" i="1"/>
  <c r="L346" i="1"/>
  <c r="C347" i="1"/>
  <c r="I347" i="1"/>
  <c r="K347" i="1"/>
  <c r="L347" i="1"/>
  <c r="C348" i="1"/>
  <c r="I348" i="1"/>
  <c r="K348" i="1"/>
  <c r="L348" i="1"/>
  <c r="C349" i="1"/>
  <c r="I349" i="1"/>
  <c r="K349" i="1"/>
  <c r="L349" i="1"/>
  <c r="C350" i="1"/>
  <c r="I350" i="1"/>
  <c r="K350" i="1"/>
  <c r="L350" i="1"/>
  <c r="C351" i="1"/>
  <c r="I351" i="1"/>
  <c r="K351" i="1"/>
  <c r="L351" i="1"/>
  <c r="C352" i="1"/>
  <c r="I352" i="1"/>
  <c r="K352" i="1"/>
  <c r="L352" i="1"/>
  <c r="C353" i="1"/>
  <c r="I353" i="1"/>
  <c r="K353" i="1"/>
  <c r="L353" i="1"/>
  <c r="C354" i="1"/>
  <c r="I354" i="1"/>
  <c r="K354" i="1"/>
  <c r="L354" i="1"/>
  <c r="C355" i="1"/>
  <c r="I355" i="1"/>
  <c r="K355" i="1"/>
  <c r="L355" i="1"/>
  <c r="C356" i="1"/>
  <c r="I356" i="1"/>
  <c r="K356" i="1"/>
  <c r="L356" i="1"/>
  <c r="C357" i="1"/>
  <c r="I357" i="1"/>
  <c r="K357" i="1"/>
  <c r="L357" i="1"/>
  <c r="C358" i="1"/>
  <c r="I358" i="1"/>
  <c r="K358" i="1"/>
  <c r="L358" i="1"/>
  <c r="C359" i="1"/>
  <c r="I359" i="1"/>
  <c r="K359" i="1"/>
  <c r="L359" i="1"/>
  <c r="C360" i="1"/>
  <c r="I360" i="1"/>
  <c r="K360" i="1"/>
  <c r="L360" i="1"/>
  <c r="C361" i="1"/>
  <c r="I361" i="1"/>
  <c r="K361" i="1"/>
  <c r="L361" i="1"/>
  <c r="C362" i="1"/>
  <c r="I362" i="1"/>
  <c r="K362" i="1"/>
  <c r="L362" i="1"/>
  <c r="C363" i="1"/>
  <c r="I363" i="1"/>
  <c r="K363" i="1"/>
  <c r="L363" i="1"/>
  <c r="C364" i="1"/>
  <c r="I364" i="1"/>
  <c r="K364" i="1"/>
  <c r="L364" i="1"/>
  <c r="C365" i="1"/>
  <c r="I365" i="1"/>
  <c r="K365" i="1"/>
  <c r="L365" i="1"/>
  <c r="C366" i="1"/>
  <c r="I366" i="1"/>
  <c r="K366" i="1"/>
  <c r="L366" i="1"/>
  <c r="C367" i="1"/>
  <c r="I367" i="1"/>
  <c r="K367" i="1"/>
  <c r="L367" i="1"/>
  <c r="C368" i="1"/>
  <c r="I368" i="1"/>
  <c r="K368" i="1"/>
  <c r="L368" i="1"/>
  <c r="C369" i="1"/>
  <c r="I369" i="1"/>
  <c r="K369" i="1"/>
  <c r="L369" i="1"/>
  <c r="C370" i="1"/>
  <c r="I370" i="1"/>
  <c r="K370" i="1"/>
  <c r="L370" i="1"/>
  <c r="C371" i="1"/>
  <c r="I371" i="1"/>
  <c r="K371" i="1"/>
  <c r="L371" i="1"/>
  <c r="C372" i="1"/>
  <c r="I372" i="1"/>
  <c r="K372" i="1"/>
  <c r="L372" i="1"/>
  <c r="C373" i="1"/>
  <c r="I373" i="1"/>
  <c r="K373" i="1"/>
  <c r="L373" i="1"/>
  <c r="C374" i="1"/>
  <c r="I374" i="1"/>
  <c r="K374" i="1"/>
  <c r="L374" i="1"/>
  <c r="C375" i="1"/>
  <c r="I375" i="1"/>
  <c r="K375" i="1"/>
  <c r="L375" i="1"/>
  <c r="C376" i="1"/>
  <c r="I376" i="1"/>
  <c r="K376" i="1"/>
  <c r="L376" i="1"/>
  <c r="C377" i="1"/>
  <c r="I377" i="1"/>
  <c r="K377" i="1"/>
  <c r="L377" i="1"/>
  <c r="C378" i="1"/>
  <c r="I378" i="1"/>
  <c r="K378" i="1"/>
  <c r="L378" i="1"/>
  <c r="C379" i="1"/>
  <c r="I379" i="1"/>
  <c r="K379" i="1"/>
  <c r="L379" i="1"/>
  <c r="C380" i="1"/>
  <c r="I380" i="1"/>
  <c r="K380" i="1"/>
  <c r="L380" i="1"/>
  <c r="C381" i="1"/>
  <c r="I381" i="1"/>
  <c r="K381" i="1"/>
  <c r="L381" i="1"/>
  <c r="C382" i="1"/>
  <c r="I382" i="1"/>
  <c r="K382" i="1"/>
  <c r="L382" i="1"/>
  <c r="C383" i="1"/>
  <c r="I383" i="1"/>
  <c r="K383" i="1"/>
  <c r="L383" i="1"/>
  <c r="C384" i="1"/>
  <c r="I384" i="1"/>
  <c r="K384" i="1"/>
  <c r="L384" i="1"/>
  <c r="C385" i="1"/>
  <c r="I385" i="1"/>
  <c r="K385" i="1"/>
  <c r="L385" i="1"/>
  <c r="C386" i="1"/>
  <c r="I386" i="1"/>
  <c r="K386" i="1"/>
  <c r="L386" i="1"/>
  <c r="C387" i="1"/>
  <c r="I387" i="1"/>
  <c r="K387" i="1"/>
  <c r="L387" i="1"/>
  <c r="C388" i="1"/>
  <c r="I388" i="1"/>
  <c r="K388" i="1"/>
  <c r="L388" i="1"/>
  <c r="C389" i="1"/>
  <c r="I389" i="1"/>
  <c r="K389" i="1"/>
  <c r="L389" i="1"/>
  <c r="C390" i="1"/>
  <c r="I390" i="1"/>
  <c r="K390" i="1"/>
  <c r="L390" i="1"/>
  <c r="C391" i="1"/>
  <c r="I391" i="1"/>
  <c r="K391" i="1"/>
  <c r="L391" i="1"/>
  <c r="C392" i="1"/>
  <c r="I392" i="1"/>
  <c r="K392" i="1"/>
  <c r="L392" i="1"/>
  <c r="C393" i="1"/>
  <c r="I393" i="1"/>
  <c r="K393" i="1"/>
  <c r="L393" i="1"/>
  <c r="C394" i="1"/>
  <c r="I394" i="1"/>
  <c r="K394" i="1"/>
  <c r="L394" i="1"/>
  <c r="C395" i="1"/>
  <c r="I395" i="1"/>
  <c r="K395" i="1"/>
  <c r="L395" i="1"/>
  <c r="C396" i="1"/>
  <c r="I396" i="1"/>
  <c r="K396" i="1"/>
  <c r="L396" i="1"/>
  <c r="C397" i="1"/>
  <c r="I397" i="1"/>
  <c r="K397" i="1"/>
  <c r="L397" i="1"/>
  <c r="C398" i="1"/>
  <c r="I398" i="1"/>
  <c r="K398" i="1"/>
  <c r="L398" i="1"/>
  <c r="C399" i="1"/>
  <c r="I399" i="1"/>
  <c r="K399" i="1"/>
  <c r="L399" i="1"/>
  <c r="C400" i="1"/>
  <c r="I400" i="1"/>
  <c r="K400" i="1"/>
  <c r="L400" i="1"/>
  <c r="C401" i="1"/>
  <c r="I401" i="1"/>
  <c r="K401" i="1"/>
  <c r="L401" i="1"/>
  <c r="C402" i="1"/>
  <c r="I402" i="1"/>
  <c r="K402" i="1"/>
  <c r="L402" i="1"/>
  <c r="C403" i="1"/>
  <c r="I403" i="1"/>
  <c r="K403" i="1"/>
  <c r="L403" i="1"/>
  <c r="N403" i="1" s="1"/>
  <c r="I292" i="1"/>
  <c r="I227" i="1"/>
  <c r="I138" i="1"/>
  <c r="I34" i="1"/>
  <c r="I183" i="1"/>
  <c r="I202" i="1"/>
  <c r="I129" i="1"/>
  <c r="I300" i="1"/>
  <c r="I124" i="1"/>
  <c r="I6" i="1"/>
  <c r="I42" i="1"/>
  <c r="I35" i="1"/>
  <c r="I187" i="1"/>
  <c r="I168" i="1"/>
  <c r="I257" i="1"/>
  <c r="I36" i="1"/>
  <c r="I27" i="1"/>
  <c r="I126" i="1"/>
  <c r="I12" i="1"/>
  <c r="I211" i="1"/>
  <c r="I123" i="1"/>
  <c r="I64" i="1"/>
  <c r="I194" i="1"/>
  <c r="I186" i="1"/>
  <c r="I40" i="1"/>
  <c r="I222" i="1"/>
  <c r="I249" i="1"/>
  <c r="I127" i="1"/>
  <c r="I230" i="1"/>
  <c r="I267" i="1"/>
  <c r="I134" i="1"/>
  <c r="I274" i="1"/>
  <c r="I145" i="1"/>
  <c r="I46" i="1"/>
  <c r="I20" i="1"/>
  <c r="I28" i="1"/>
  <c r="I184" i="1"/>
  <c r="I24" i="1"/>
  <c r="I287" i="1"/>
  <c r="I102" i="1"/>
  <c r="I291" i="1"/>
  <c r="I280" i="1"/>
  <c r="I313" i="1"/>
  <c r="I161" i="1"/>
  <c r="I8" i="1"/>
  <c r="I266" i="1"/>
  <c r="I22" i="1"/>
  <c r="I93" i="1"/>
  <c r="I59" i="1"/>
  <c r="I130" i="1"/>
  <c r="I79" i="1"/>
  <c r="I269" i="1"/>
  <c r="I229" i="1"/>
  <c r="I289" i="1"/>
  <c r="I245" i="1"/>
  <c r="I253" i="1"/>
  <c r="I279" i="1"/>
  <c r="I285" i="1"/>
  <c r="I58" i="1"/>
  <c r="I244" i="1"/>
  <c r="I294" i="1"/>
  <c r="I204" i="1"/>
  <c r="I247" i="1"/>
  <c r="I210" i="1"/>
  <c r="I82" i="1"/>
  <c r="I10" i="1"/>
  <c r="I206" i="1"/>
  <c r="I212" i="1"/>
  <c r="I72" i="1"/>
  <c r="I235" i="1"/>
  <c r="I207" i="1"/>
  <c r="I275" i="1"/>
  <c r="I92" i="1"/>
  <c r="I76" i="1"/>
  <c r="I283" i="1"/>
  <c r="I256" i="1"/>
  <c r="I75" i="1"/>
  <c r="I80" i="1"/>
  <c r="I117" i="1"/>
  <c r="I170" i="1"/>
  <c r="I61" i="1"/>
  <c r="I37" i="1"/>
  <c r="I250" i="1"/>
  <c r="I234" i="1"/>
  <c r="I203" i="1"/>
  <c r="I136" i="1"/>
  <c r="I147" i="1"/>
  <c r="I159" i="1"/>
  <c r="I74" i="1"/>
  <c r="I224" i="1"/>
  <c r="I142" i="1"/>
  <c r="I160" i="1"/>
  <c r="I177" i="1"/>
  <c r="I85" i="1"/>
  <c r="I196" i="1"/>
  <c r="I114" i="1"/>
  <c r="I103" i="1"/>
  <c r="I96" i="1"/>
  <c r="I309" i="1"/>
  <c r="I26" i="1"/>
  <c r="I191" i="1"/>
  <c r="I232" i="1"/>
  <c r="I131" i="1"/>
  <c r="I190" i="1"/>
  <c r="I94" i="1"/>
  <c r="I15" i="1"/>
  <c r="I44" i="1"/>
  <c r="I293" i="1"/>
  <c r="I298" i="1"/>
  <c r="I90" i="1"/>
  <c r="I11" i="1"/>
  <c r="I192" i="1"/>
  <c r="I189" i="1"/>
  <c r="I219" i="1"/>
  <c r="I17" i="1"/>
  <c r="I14" i="1"/>
  <c r="I107" i="1"/>
  <c r="P316" i="1" l="1"/>
  <c r="Q316" i="1" s="1"/>
  <c r="S316" i="1" s="1"/>
  <c r="P252" i="1"/>
  <c r="P276" i="1"/>
  <c r="P137" i="1"/>
  <c r="L71" i="1"/>
  <c r="L182" i="1"/>
  <c r="L205" i="1"/>
  <c r="L78" i="1"/>
  <c r="L43" i="1"/>
  <c r="L241" i="1"/>
  <c r="L29" i="1"/>
  <c r="L301" i="1"/>
  <c r="L302" i="1"/>
  <c r="L132" i="1"/>
  <c r="L172" i="1"/>
  <c r="L268" i="1"/>
  <c r="L51" i="1"/>
  <c r="L146" i="1"/>
  <c r="L155" i="1"/>
  <c r="L84" i="1"/>
  <c r="L128" i="1"/>
  <c r="L68" i="1"/>
  <c r="L242" i="1"/>
  <c r="L69" i="1"/>
  <c r="L221" i="1"/>
  <c r="L217" i="1"/>
  <c r="L271" i="1"/>
  <c r="L237" i="1"/>
  <c r="L143" i="1"/>
  <c r="L272" i="1"/>
  <c r="L110" i="1"/>
  <c r="L288" i="1"/>
  <c r="L259" i="1"/>
  <c r="L133" i="1"/>
  <c r="L239" i="1"/>
  <c r="L200" i="1"/>
  <c r="L73" i="1"/>
  <c r="L278" i="1"/>
  <c r="L304" i="1"/>
  <c r="L16" i="1"/>
  <c r="L31" i="1"/>
  <c r="L150" i="1"/>
  <c r="L157" i="1"/>
  <c r="L149" i="1"/>
  <c r="L296" i="1"/>
  <c r="L171" i="1"/>
  <c r="L144" i="1"/>
  <c r="L201" i="1"/>
  <c r="L164" i="1"/>
  <c r="L52" i="1"/>
  <c r="L195" i="1"/>
  <c r="L188" i="1"/>
  <c r="L57" i="1"/>
  <c r="L223" i="1"/>
  <c r="L216" i="1"/>
  <c r="L60" i="1"/>
  <c r="L158" i="1"/>
  <c r="L101" i="1"/>
  <c r="L165" i="1"/>
  <c r="L19" i="1"/>
  <c r="L139" i="1"/>
  <c r="L213" i="1"/>
  <c r="L21" i="1"/>
  <c r="L50" i="1"/>
  <c r="L87" i="1"/>
  <c r="L125" i="1"/>
  <c r="L49" i="1"/>
  <c r="L70" i="1"/>
  <c r="L122" i="1"/>
  <c r="L108" i="1"/>
  <c r="L121" i="1"/>
  <c r="L153" i="1"/>
  <c r="L163" i="1"/>
  <c r="L112" i="1"/>
  <c r="L180" i="1"/>
  <c r="L173" i="1"/>
  <c r="L181" i="1"/>
  <c r="L264" i="1"/>
  <c r="L62" i="1"/>
  <c r="L141" i="1"/>
  <c r="L297" i="1"/>
  <c r="L152" i="1"/>
  <c r="L197" i="1"/>
  <c r="L174" i="1"/>
  <c r="L231" i="1"/>
  <c r="L7" i="1"/>
  <c r="L305" i="1"/>
  <c r="L306" i="1"/>
  <c r="L176" i="1"/>
  <c r="L307" i="1"/>
  <c r="L308" i="1"/>
  <c r="L260" i="1"/>
  <c r="L135" i="1"/>
  <c r="L154" i="1"/>
  <c r="L97" i="1"/>
  <c r="L148" i="1"/>
  <c r="L83" i="1"/>
  <c r="L199" i="1"/>
  <c r="L107" i="1"/>
  <c r="L14" i="1"/>
  <c r="L17" i="1"/>
  <c r="L81" i="1"/>
  <c r="L66" i="1"/>
  <c r="L219" i="1"/>
  <c r="L189" i="1"/>
  <c r="L258" i="1"/>
  <c r="L119" i="1"/>
  <c r="L208" i="1"/>
  <c r="L270" i="1"/>
  <c r="L30" i="1"/>
  <c r="L48" i="1"/>
  <c r="L215" i="1"/>
  <c r="L156" i="1"/>
  <c r="L220" i="1"/>
  <c r="L192" i="1"/>
  <c r="L11" i="1"/>
  <c r="L116" i="1"/>
  <c r="L25" i="1"/>
  <c r="L63" i="1"/>
  <c r="L90" i="1"/>
  <c r="L298" i="1"/>
  <c r="L293" i="1"/>
  <c r="L44" i="1"/>
  <c r="L15" i="1"/>
  <c r="L94" i="1"/>
  <c r="L190" i="1"/>
  <c r="L131" i="1"/>
  <c r="L232" i="1"/>
  <c r="L191" i="1"/>
  <c r="L193" i="1"/>
  <c r="L248" i="1"/>
  <c r="L166" i="1"/>
  <c r="L26" i="1"/>
  <c r="L309" i="1"/>
  <c r="L96" i="1"/>
  <c r="L103" i="1"/>
  <c r="L114" i="1"/>
  <c r="L233" i="1"/>
  <c r="L196" i="1"/>
  <c r="L13" i="1"/>
  <c r="L85" i="1"/>
  <c r="L177" i="1"/>
  <c r="L179" i="1"/>
  <c r="L295" i="1"/>
  <c r="L160" i="1"/>
  <c r="L142" i="1"/>
  <c r="L224" i="1"/>
  <c r="L74" i="1"/>
  <c r="L159" i="1"/>
  <c r="L147" i="1"/>
  <c r="L136" i="1"/>
  <c r="L277" i="1"/>
  <c r="L203" i="1"/>
  <c r="L234" i="1"/>
  <c r="L250" i="1"/>
  <c r="L5" i="1"/>
  <c r="L37" i="1"/>
  <c r="L61" i="1"/>
  <c r="L167" i="1"/>
  <c r="L106" i="1"/>
  <c r="L111" i="1"/>
  <c r="L170" i="1"/>
  <c r="L117" i="1"/>
  <c r="L225" i="1"/>
  <c r="L310" i="1"/>
  <c r="L80" i="1"/>
  <c r="L75" i="1"/>
  <c r="L256" i="1"/>
  <c r="L283" i="1"/>
  <c r="L76" i="1"/>
  <c r="L92" i="1"/>
  <c r="L275" i="1"/>
  <c r="L207" i="1"/>
  <c r="L235" i="1"/>
  <c r="L72" i="1"/>
  <c r="L212" i="1"/>
  <c r="L118" i="1"/>
  <c r="L41" i="1"/>
  <c r="L206" i="1"/>
  <c r="L10" i="1"/>
  <c r="L281" i="1"/>
  <c r="L255" i="1"/>
  <c r="L82" i="1"/>
  <c r="L89" i="1"/>
  <c r="L23" i="1"/>
  <c r="L210" i="1"/>
  <c r="L247" i="1"/>
  <c r="L98" i="1"/>
  <c r="L273" i="1"/>
  <c r="L262" i="1"/>
  <c r="L290" i="1"/>
  <c r="L204" i="1"/>
  <c r="L294" i="1"/>
  <c r="L32" i="1"/>
  <c r="L18" i="1"/>
  <c r="P18" i="1" s="1"/>
  <c r="L238" i="1"/>
  <c r="L88" i="1"/>
  <c r="L54" i="1"/>
  <c r="L115" i="1"/>
  <c r="L151" i="1"/>
  <c r="L244" i="1"/>
  <c r="L58" i="1"/>
  <c r="L285" i="1"/>
  <c r="L279" i="1"/>
  <c r="L240" i="1"/>
  <c r="L228" i="1"/>
  <c r="L261" i="1"/>
  <c r="L253" i="1"/>
  <c r="L245" i="1"/>
  <c r="L311" i="1"/>
  <c r="L299" i="1"/>
  <c r="L289" i="1"/>
  <c r="L229" i="1"/>
  <c r="L269" i="1"/>
  <c r="L79" i="1"/>
  <c r="L130" i="1"/>
  <c r="L59" i="1"/>
  <c r="L312" i="1"/>
  <c r="L226" i="1"/>
  <c r="L286" i="1"/>
  <c r="L218" i="1"/>
  <c r="L95" i="1"/>
  <c r="L93" i="1"/>
  <c r="L22" i="1"/>
  <c r="L263" i="1"/>
  <c r="L209" i="1"/>
  <c r="L266" i="1"/>
  <c r="L8" i="1"/>
  <c r="P8" i="1" s="1"/>
  <c r="L161" i="1"/>
  <c r="L313" i="1"/>
  <c r="L9" i="1"/>
  <c r="L175" i="1"/>
  <c r="L280" i="1"/>
  <c r="L291" i="1"/>
  <c r="L102" i="1"/>
  <c r="L287" i="1"/>
  <c r="L24" i="1"/>
  <c r="L184" i="1"/>
  <c r="L28" i="1"/>
  <c r="L20" i="1"/>
  <c r="L46" i="1"/>
  <c r="L140" i="1"/>
  <c r="L145" i="1"/>
  <c r="L274" i="1"/>
  <c r="L254" i="1"/>
  <c r="L134" i="1"/>
  <c r="L214" i="1"/>
  <c r="L198" i="1"/>
  <c r="L113" i="1"/>
  <c r="L267" i="1"/>
  <c r="L230" i="1"/>
  <c r="L127" i="1"/>
  <c r="L249" i="1"/>
  <c r="L162" i="1"/>
  <c r="L222" i="1"/>
  <c r="L40" i="1"/>
  <c r="L186" i="1"/>
  <c r="L185" i="1"/>
  <c r="L86" i="1"/>
  <c r="L45" i="1"/>
  <c r="L38" i="1"/>
  <c r="L194" i="1"/>
  <c r="L64" i="1"/>
  <c r="L123" i="1"/>
  <c r="L211" i="1"/>
  <c r="L33" i="1"/>
  <c r="L53" i="1"/>
  <c r="L12" i="1"/>
  <c r="L126" i="1"/>
  <c r="L27" i="1"/>
  <c r="L36" i="1"/>
  <c r="L284" i="1"/>
  <c r="L257" i="1"/>
  <c r="L168" i="1"/>
  <c r="L91" i="1"/>
  <c r="L187" i="1"/>
  <c r="L35" i="1"/>
  <c r="L47" i="1"/>
  <c r="L42" i="1"/>
  <c r="L6" i="1"/>
  <c r="P6" i="1" s="1"/>
  <c r="Q6" i="1" s="1"/>
  <c r="L282" i="1"/>
  <c r="L314" i="1"/>
  <c r="L105" i="1"/>
  <c r="L236" i="1"/>
  <c r="L100" i="1"/>
  <c r="L109" i="1"/>
  <c r="L124" i="1"/>
  <c r="L300" i="1"/>
  <c r="L169" i="1"/>
  <c r="L129" i="1"/>
  <c r="L202" i="1"/>
  <c r="L183" i="1"/>
  <c r="L34" i="1"/>
  <c r="L138" i="1"/>
  <c r="L56" i="1"/>
  <c r="L243" i="1"/>
  <c r="L227" i="1"/>
  <c r="L65" i="1"/>
  <c r="L292" i="1"/>
  <c r="L55" i="1"/>
  <c r="K71" i="1"/>
  <c r="K182" i="1"/>
  <c r="K205" i="1"/>
  <c r="K78" i="1"/>
  <c r="K43" i="1"/>
  <c r="K241" i="1"/>
  <c r="K29" i="1"/>
  <c r="K301" i="1"/>
  <c r="K302" i="1"/>
  <c r="K132" i="1"/>
  <c r="K172" i="1"/>
  <c r="K268" i="1"/>
  <c r="K51" i="1"/>
  <c r="K146" i="1"/>
  <c r="K155" i="1"/>
  <c r="K84" i="1"/>
  <c r="K128" i="1"/>
  <c r="K68" i="1"/>
  <c r="K242" i="1"/>
  <c r="K69" i="1"/>
  <c r="K221" i="1"/>
  <c r="K217" i="1"/>
  <c r="K271" i="1"/>
  <c r="K237" i="1"/>
  <c r="K143" i="1"/>
  <c r="K272" i="1"/>
  <c r="K110" i="1"/>
  <c r="K288" i="1"/>
  <c r="K259" i="1"/>
  <c r="K133" i="1"/>
  <c r="K239" i="1"/>
  <c r="K200" i="1"/>
  <c r="K73" i="1"/>
  <c r="K278" i="1"/>
  <c r="K304" i="1"/>
  <c r="K16" i="1"/>
  <c r="K31" i="1"/>
  <c r="K150" i="1"/>
  <c r="K157" i="1"/>
  <c r="K149" i="1"/>
  <c r="K296" i="1"/>
  <c r="K171" i="1"/>
  <c r="K144" i="1"/>
  <c r="K201" i="1"/>
  <c r="K164" i="1"/>
  <c r="K52" i="1"/>
  <c r="K195" i="1"/>
  <c r="K188" i="1"/>
  <c r="K57" i="1"/>
  <c r="K223" i="1"/>
  <c r="K216" i="1"/>
  <c r="K60" i="1"/>
  <c r="K158" i="1"/>
  <c r="K101" i="1"/>
  <c r="K165" i="1"/>
  <c r="K19" i="1"/>
  <c r="K139" i="1"/>
  <c r="K213" i="1"/>
  <c r="K21" i="1"/>
  <c r="K50" i="1"/>
  <c r="K87" i="1"/>
  <c r="K125" i="1"/>
  <c r="K49" i="1"/>
  <c r="K70" i="1"/>
  <c r="K122" i="1"/>
  <c r="K108" i="1"/>
  <c r="K121" i="1"/>
  <c r="K153" i="1"/>
  <c r="K163" i="1"/>
  <c r="K112" i="1"/>
  <c r="K180" i="1"/>
  <c r="K173" i="1"/>
  <c r="K181" i="1"/>
  <c r="K264" i="1"/>
  <c r="K62" i="1"/>
  <c r="K141" i="1"/>
  <c r="K297" i="1"/>
  <c r="K152" i="1"/>
  <c r="K197" i="1"/>
  <c r="K174" i="1"/>
  <c r="K231" i="1"/>
  <c r="K7" i="1"/>
  <c r="K305" i="1"/>
  <c r="K306" i="1"/>
  <c r="K176" i="1"/>
  <c r="K307" i="1"/>
  <c r="K308" i="1"/>
  <c r="K260" i="1"/>
  <c r="K135" i="1"/>
  <c r="K154" i="1"/>
  <c r="K97" i="1"/>
  <c r="K148" i="1"/>
  <c r="K83" i="1"/>
  <c r="K199" i="1"/>
  <c r="K107" i="1"/>
  <c r="K14" i="1"/>
  <c r="K17" i="1"/>
  <c r="K81" i="1"/>
  <c r="K66" i="1"/>
  <c r="K219" i="1"/>
  <c r="K189" i="1"/>
  <c r="K258" i="1"/>
  <c r="K119" i="1"/>
  <c r="K208" i="1"/>
  <c r="K270" i="1"/>
  <c r="K30" i="1"/>
  <c r="K48" i="1"/>
  <c r="K215" i="1"/>
  <c r="K156" i="1"/>
  <c r="K220" i="1"/>
  <c r="K192" i="1"/>
  <c r="K11" i="1"/>
  <c r="K116" i="1"/>
  <c r="K25" i="1"/>
  <c r="K63" i="1"/>
  <c r="K90" i="1"/>
  <c r="K298" i="1"/>
  <c r="K293" i="1"/>
  <c r="K44" i="1"/>
  <c r="K15" i="1"/>
  <c r="K94" i="1"/>
  <c r="K190" i="1"/>
  <c r="K131" i="1"/>
  <c r="K232" i="1"/>
  <c r="K191" i="1"/>
  <c r="K193" i="1"/>
  <c r="K248" i="1"/>
  <c r="K166" i="1"/>
  <c r="K26" i="1"/>
  <c r="K309" i="1"/>
  <c r="K96" i="1"/>
  <c r="K103" i="1"/>
  <c r="K114" i="1"/>
  <c r="K233" i="1"/>
  <c r="K196" i="1"/>
  <c r="K13" i="1"/>
  <c r="K85" i="1"/>
  <c r="K177" i="1"/>
  <c r="K179" i="1"/>
  <c r="K295" i="1"/>
  <c r="K160" i="1"/>
  <c r="K142" i="1"/>
  <c r="K224" i="1"/>
  <c r="K74" i="1"/>
  <c r="K159" i="1"/>
  <c r="K147" i="1"/>
  <c r="K136" i="1"/>
  <c r="K277" i="1"/>
  <c r="K203" i="1"/>
  <c r="K234" i="1"/>
  <c r="K250" i="1"/>
  <c r="K5" i="1"/>
  <c r="K37" i="1"/>
  <c r="K61" i="1"/>
  <c r="K167" i="1"/>
  <c r="K106" i="1"/>
  <c r="K111" i="1"/>
  <c r="K170" i="1"/>
  <c r="K117" i="1"/>
  <c r="K225" i="1"/>
  <c r="K310" i="1"/>
  <c r="K80" i="1"/>
  <c r="K75" i="1"/>
  <c r="K256" i="1"/>
  <c r="K283" i="1"/>
  <c r="K76" i="1"/>
  <c r="K92" i="1"/>
  <c r="K275" i="1"/>
  <c r="K207" i="1"/>
  <c r="K235" i="1"/>
  <c r="K72" i="1"/>
  <c r="K212" i="1"/>
  <c r="K118" i="1"/>
  <c r="K41" i="1"/>
  <c r="K206" i="1"/>
  <c r="K10" i="1"/>
  <c r="K281" i="1"/>
  <c r="K255" i="1"/>
  <c r="K82" i="1"/>
  <c r="K89" i="1"/>
  <c r="K23" i="1"/>
  <c r="K210" i="1"/>
  <c r="K247" i="1"/>
  <c r="K98" i="1"/>
  <c r="K273" i="1"/>
  <c r="K262" i="1"/>
  <c r="K290" i="1"/>
  <c r="K204" i="1"/>
  <c r="K294" i="1"/>
  <c r="K32" i="1"/>
  <c r="K18" i="1"/>
  <c r="K238" i="1"/>
  <c r="K88" i="1"/>
  <c r="K54" i="1"/>
  <c r="K115" i="1"/>
  <c r="K151" i="1"/>
  <c r="K244" i="1"/>
  <c r="K58" i="1"/>
  <c r="K285" i="1"/>
  <c r="K279" i="1"/>
  <c r="K240" i="1"/>
  <c r="K228" i="1"/>
  <c r="K261" i="1"/>
  <c r="K253" i="1"/>
  <c r="K245" i="1"/>
  <c r="K311" i="1"/>
  <c r="K299" i="1"/>
  <c r="K289" i="1"/>
  <c r="K229" i="1"/>
  <c r="K269" i="1"/>
  <c r="K79" i="1"/>
  <c r="K130" i="1"/>
  <c r="K59" i="1"/>
  <c r="K312" i="1"/>
  <c r="K226" i="1"/>
  <c r="K286" i="1"/>
  <c r="K218" i="1"/>
  <c r="K95" i="1"/>
  <c r="K93" i="1"/>
  <c r="K22" i="1"/>
  <c r="K263" i="1"/>
  <c r="K209" i="1"/>
  <c r="K266" i="1"/>
  <c r="K8" i="1"/>
  <c r="K161" i="1"/>
  <c r="K313" i="1"/>
  <c r="K9" i="1"/>
  <c r="K175" i="1"/>
  <c r="K280" i="1"/>
  <c r="K291" i="1"/>
  <c r="K102" i="1"/>
  <c r="K287" i="1"/>
  <c r="K24" i="1"/>
  <c r="K184" i="1"/>
  <c r="K28" i="1"/>
  <c r="K20" i="1"/>
  <c r="K46" i="1"/>
  <c r="K140" i="1"/>
  <c r="K145" i="1"/>
  <c r="K274" i="1"/>
  <c r="K254" i="1"/>
  <c r="K134" i="1"/>
  <c r="K214" i="1"/>
  <c r="K198" i="1"/>
  <c r="K113" i="1"/>
  <c r="K267" i="1"/>
  <c r="K230" i="1"/>
  <c r="K127" i="1"/>
  <c r="K249" i="1"/>
  <c r="K162" i="1"/>
  <c r="K222" i="1"/>
  <c r="K40" i="1"/>
  <c r="K186" i="1"/>
  <c r="K185" i="1"/>
  <c r="K86" i="1"/>
  <c r="K45" i="1"/>
  <c r="K38" i="1"/>
  <c r="K194" i="1"/>
  <c r="K64" i="1"/>
  <c r="K123" i="1"/>
  <c r="K211" i="1"/>
  <c r="K33" i="1"/>
  <c r="K53" i="1"/>
  <c r="K12" i="1"/>
  <c r="K126" i="1"/>
  <c r="K27" i="1"/>
  <c r="K36" i="1"/>
  <c r="K284" i="1"/>
  <c r="K257" i="1"/>
  <c r="K168" i="1"/>
  <c r="K91" i="1"/>
  <c r="K187" i="1"/>
  <c r="K35" i="1"/>
  <c r="K47" i="1"/>
  <c r="K42" i="1"/>
  <c r="K6" i="1"/>
  <c r="K282" i="1"/>
  <c r="K314" i="1"/>
  <c r="K105" i="1"/>
  <c r="K236" i="1"/>
  <c r="K100" i="1"/>
  <c r="K109" i="1"/>
  <c r="K124" i="1"/>
  <c r="K300" i="1"/>
  <c r="K169" i="1"/>
  <c r="K129" i="1"/>
  <c r="K202" i="1"/>
  <c r="K183" i="1"/>
  <c r="K34" i="1"/>
  <c r="K138" i="1"/>
  <c r="K56" i="1"/>
  <c r="K243" i="1"/>
  <c r="K227" i="1"/>
  <c r="K65" i="1"/>
  <c r="K292" i="1"/>
  <c r="K55" i="1"/>
  <c r="Q137" i="1" l="1"/>
  <c r="P143" i="1"/>
  <c r="P139" i="1"/>
  <c r="P130" i="1"/>
  <c r="P145" i="1"/>
  <c r="P119" i="1"/>
  <c r="P110" i="1"/>
  <c r="P93" i="1"/>
  <c r="P83" i="1"/>
  <c r="P76" i="1"/>
  <c r="Q76" i="1" s="1"/>
  <c r="S76" i="1" s="1"/>
  <c r="P62" i="1"/>
  <c r="Q62" i="1" s="1"/>
  <c r="S62" i="1" s="1"/>
  <c r="P49" i="1"/>
  <c r="Q49" i="1" s="1"/>
  <c r="S49" i="1" s="1"/>
  <c r="P31" i="1"/>
  <c r="Q31" i="1" s="1"/>
  <c r="S31" i="1" s="1"/>
  <c r="P44" i="1"/>
  <c r="Q44" i="1" s="1"/>
  <c r="S44" i="1" s="1"/>
  <c r="P37" i="1"/>
  <c r="Q37" i="1" s="1"/>
  <c r="S37" i="1" s="1"/>
  <c r="L404" i="1"/>
  <c r="P23" i="1"/>
  <c r="Q23" i="1" s="1"/>
  <c r="S23" i="1" s="1"/>
  <c r="P26" i="1"/>
  <c r="Q26" i="1" s="1"/>
  <c r="S26" i="1" s="1"/>
  <c r="P20" i="1"/>
  <c r="Q20" i="1" s="1"/>
  <c r="S20" i="1" s="1"/>
  <c r="Q18" i="1"/>
  <c r="S18" i="1" s="1"/>
  <c r="Q8" i="1"/>
  <c r="S8" i="1" s="1"/>
  <c r="P12" i="1"/>
  <c r="P104" i="1"/>
  <c r="P72" i="1"/>
  <c r="Q72" i="1" s="1"/>
  <c r="S72" i="1" s="1"/>
  <c r="P66" i="1"/>
  <c r="P65" i="1"/>
  <c r="P17" i="1"/>
  <c r="Q17" i="1" s="1"/>
  <c r="P42" i="1"/>
  <c r="P82" i="1"/>
  <c r="P124" i="1"/>
  <c r="P64" i="1"/>
  <c r="P57" i="1"/>
  <c r="Q57" i="1" s="1"/>
  <c r="P135" i="1"/>
  <c r="P78" i="1"/>
  <c r="Q78" i="1" s="1"/>
  <c r="P136" i="1"/>
  <c r="P5" i="1"/>
  <c r="P111" i="1"/>
  <c r="P95" i="1"/>
  <c r="P296" i="1"/>
  <c r="Q296" i="1" s="1"/>
  <c r="S296" i="1" s="1"/>
  <c r="P289" i="1"/>
  <c r="Q289" i="1" s="1"/>
  <c r="S289" i="1" s="1"/>
  <c r="P291" i="1"/>
  <c r="Q291" i="1" s="1"/>
  <c r="S291" i="1" s="1"/>
  <c r="P99" i="1"/>
  <c r="Q276" i="1"/>
  <c r="S276" i="1" s="1"/>
  <c r="P38" i="1"/>
  <c r="P265" i="1"/>
  <c r="P269" i="1"/>
  <c r="Q269" i="1" s="1"/>
  <c r="S269" i="1" s="1"/>
  <c r="P231" i="1"/>
  <c r="P235" i="1"/>
  <c r="P246" i="1"/>
  <c r="P240" i="1"/>
  <c r="P253" i="1"/>
  <c r="P257" i="1"/>
  <c r="Q252" i="1"/>
  <c r="S252" i="1" s="1"/>
  <c r="P206" i="1"/>
  <c r="Q206" i="1" s="1"/>
  <c r="S206" i="1" s="1"/>
  <c r="P221" i="1"/>
  <c r="Q221" i="1" s="1"/>
  <c r="S221" i="1" s="1"/>
  <c r="P228" i="1"/>
  <c r="Q228" i="1" s="1"/>
  <c r="S228" i="1" s="1"/>
  <c r="P214" i="1"/>
  <c r="Q214" i="1" s="1"/>
  <c r="S214" i="1" s="1"/>
  <c r="P180" i="1"/>
  <c r="P198" i="1"/>
  <c r="P186" i="1"/>
  <c r="P183" i="1"/>
  <c r="P178" i="1"/>
  <c r="P39" i="1"/>
  <c r="P156" i="1"/>
  <c r="P34" i="1"/>
  <c r="P126" i="1"/>
  <c r="Q126" i="1" s="1"/>
  <c r="P96" i="1"/>
  <c r="P102" i="1"/>
  <c r="P21" i="1"/>
  <c r="P122" i="1"/>
  <c r="P116" i="1"/>
  <c r="P61" i="1"/>
  <c r="Q61" i="1" s="1"/>
  <c r="P29" i="1"/>
  <c r="P147" i="1"/>
  <c r="P127" i="1"/>
  <c r="P91" i="1"/>
  <c r="P98" i="1"/>
  <c r="P32" i="1"/>
  <c r="P100" i="1"/>
  <c r="P74" i="1"/>
  <c r="Q74" i="1" s="1"/>
  <c r="P73" i="1"/>
  <c r="Q73" i="1" s="1"/>
  <c r="P24" i="1"/>
  <c r="P28" i="1"/>
  <c r="P84" i="1"/>
  <c r="P144" i="1"/>
  <c r="P77" i="1"/>
  <c r="P85" i="1"/>
  <c r="P54" i="1"/>
  <c r="Q54" i="1" s="1"/>
  <c r="P36" i="1"/>
  <c r="P155" i="1"/>
  <c r="P205" i="1"/>
  <c r="P105" i="1"/>
  <c r="P272" i="1"/>
  <c r="P138" i="1"/>
  <c r="P220" i="1"/>
  <c r="P307" i="1"/>
  <c r="Q307" i="1" s="1"/>
  <c r="S307" i="1" s="1"/>
  <c r="P264" i="1"/>
  <c r="P150" i="1"/>
  <c r="P282" i="1"/>
  <c r="P280" i="1"/>
  <c r="P218" i="1"/>
  <c r="P245" i="1"/>
  <c r="P88" i="1"/>
  <c r="P207" i="1"/>
  <c r="P159" i="1"/>
  <c r="P51" i="1"/>
  <c r="Q51" i="1" s="1"/>
  <c r="P71" i="1"/>
  <c r="Q71" i="1" s="1"/>
  <c r="P81" i="1"/>
  <c r="P40" i="1"/>
  <c r="P274" i="1"/>
  <c r="P89" i="1"/>
  <c r="P106" i="1"/>
  <c r="P103" i="1"/>
  <c r="P15" i="1"/>
  <c r="Q15" i="1" s="1"/>
  <c r="P215" i="1"/>
  <c r="P14" i="1"/>
  <c r="Q14" i="1" s="1"/>
  <c r="P306" i="1"/>
  <c r="Q306" i="1" s="1"/>
  <c r="S306" i="1" s="1"/>
  <c r="P173" i="1"/>
  <c r="P50" i="1"/>
  <c r="P188" i="1"/>
  <c r="P16" i="1"/>
  <c r="Q16" i="1" s="1"/>
  <c r="P237" i="1"/>
  <c r="P169" i="1"/>
  <c r="P86" i="1"/>
  <c r="P299" i="1"/>
  <c r="Q299" i="1" s="1"/>
  <c r="S299" i="1" s="1"/>
  <c r="P210" i="1"/>
  <c r="P190" i="1"/>
  <c r="P125" i="1"/>
  <c r="P202" i="1"/>
  <c r="P53" i="1"/>
  <c r="Q53" i="1" s="1"/>
  <c r="P9" i="1"/>
  <c r="Q9" i="1" s="1"/>
  <c r="P226" i="1"/>
  <c r="P261" i="1"/>
  <c r="P224" i="1"/>
  <c r="P172" i="1"/>
  <c r="P233" i="1"/>
  <c r="P223" i="1"/>
  <c r="P47" i="1"/>
  <c r="P162" i="1"/>
  <c r="P140" i="1"/>
  <c r="P255" i="1"/>
  <c r="P142" i="1"/>
  <c r="P309" i="1"/>
  <c r="Q309" i="1" s="1"/>
  <c r="S309" i="1" s="1"/>
  <c r="P293" i="1"/>
  <c r="P30" i="1"/>
  <c r="P199" i="1"/>
  <c r="P7" i="1"/>
  <c r="Q7" i="1" s="1"/>
  <c r="P112" i="1"/>
  <c r="Q112" i="1" s="1"/>
  <c r="P213" i="1"/>
  <c r="P52" i="1"/>
  <c r="Q52" i="1" s="1"/>
  <c r="P278" i="1"/>
  <c r="P217" i="1"/>
  <c r="P132" i="1"/>
  <c r="P59" i="1"/>
  <c r="Q59" i="1" s="1"/>
  <c r="P294" i="1"/>
  <c r="P46" i="1"/>
  <c r="P55" i="1"/>
  <c r="Q55" i="1" s="1"/>
  <c r="P187" i="1"/>
  <c r="P123" i="1"/>
  <c r="P279" i="1"/>
  <c r="P10" i="1"/>
  <c r="Q10" i="1" s="1"/>
  <c r="P295" i="1"/>
  <c r="P166" i="1"/>
  <c r="P90" i="1"/>
  <c r="P208" i="1"/>
  <c r="P148" i="1"/>
  <c r="P174" i="1"/>
  <c r="P153" i="1"/>
  <c r="P19" i="1"/>
  <c r="Q19" i="1" s="1"/>
  <c r="P201" i="1"/>
  <c r="P200" i="1"/>
  <c r="P69" i="1"/>
  <c r="Q69" i="1" s="1"/>
  <c r="P301" i="1"/>
  <c r="P79" i="1"/>
  <c r="Q79" i="1" s="1"/>
  <c r="P290" i="1"/>
  <c r="P250" i="1"/>
  <c r="P109" i="1"/>
  <c r="P168" i="1"/>
  <c r="P194" i="1"/>
  <c r="P184" i="1"/>
  <c r="P209" i="1"/>
  <c r="P41" i="1"/>
  <c r="P80" i="1"/>
  <c r="P177" i="1"/>
  <c r="P193" i="1"/>
  <c r="P25" i="1"/>
  <c r="P258" i="1"/>
  <c r="P154" i="1"/>
  <c r="P152" i="1"/>
  <c r="P108" i="1"/>
  <c r="P101" i="1"/>
  <c r="P171" i="1"/>
  <c r="P133" i="1"/>
  <c r="P68" i="1"/>
  <c r="Q68" i="1" s="1"/>
  <c r="P241" i="1"/>
  <c r="P113" i="1"/>
  <c r="P229" i="1"/>
  <c r="P273" i="1"/>
  <c r="P203" i="1"/>
  <c r="P128" i="1"/>
  <c r="P43" i="1"/>
  <c r="P243" i="1"/>
  <c r="P284" i="1"/>
  <c r="P287" i="1"/>
  <c r="P22" i="1"/>
  <c r="P151" i="1"/>
  <c r="P212" i="1"/>
  <c r="P13" i="1"/>
  <c r="Q13" i="1" s="1"/>
  <c r="P232" i="1"/>
  <c r="P11" i="1"/>
  <c r="Q11" i="1" s="1"/>
  <c r="P219" i="1"/>
  <c r="P260" i="1"/>
  <c r="P141" i="1"/>
  <c r="P70" i="1"/>
  <c r="Q70" i="1" s="1"/>
  <c r="P60" i="1"/>
  <c r="Q60" i="1" s="1"/>
  <c r="P149" i="1"/>
  <c r="P288" i="1"/>
  <c r="C196" i="1"/>
  <c r="C13" i="1"/>
  <c r="C221" i="1"/>
  <c r="Q143" i="1" l="1"/>
  <c r="S143" i="1" s="1"/>
  <c r="Q139" i="1"/>
  <c r="S139" i="1" s="1"/>
  <c r="Q130" i="1"/>
  <c r="S130" i="1" s="1"/>
  <c r="Q145" i="1"/>
  <c r="S145" i="1" s="1"/>
  <c r="Q135" i="1"/>
  <c r="S135" i="1" s="1"/>
  <c r="Q136" i="1"/>
  <c r="S136" i="1" s="1"/>
  <c r="Q147" i="1"/>
  <c r="S147" i="1" s="1"/>
  <c r="Q127" i="1"/>
  <c r="S127" i="1" s="1"/>
  <c r="Q144" i="1"/>
  <c r="S144" i="1" s="1"/>
  <c r="Q138" i="1"/>
  <c r="Q140" i="1"/>
  <c r="S140" i="1" s="1"/>
  <c r="Q142" i="1"/>
  <c r="S142" i="1" s="1"/>
  <c r="Q132" i="1"/>
  <c r="S132" i="1" s="1"/>
  <c r="Q148" i="1"/>
  <c r="S148" i="1" s="1"/>
  <c r="Q133" i="1"/>
  <c r="S133" i="1" s="1"/>
  <c r="Q128" i="1"/>
  <c r="S128" i="1" s="1"/>
  <c r="Q141" i="1"/>
  <c r="S141" i="1" s="1"/>
  <c r="Q149" i="1"/>
  <c r="S149" i="1" s="1"/>
  <c r="Q125" i="1"/>
  <c r="S125" i="1" s="1"/>
  <c r="Q113" i="1"/>
  <c r="Q123" i="1"/>
  <c r="S123" i="1" s="1"/>
  <c r="Q119" i="1"/>
  <c r="S119" i="1" s="1"/>
  <c r="Q122" i="1"/>
  <c r="S122" i="1" s="1"/>
  <c r="Q116" i="1"/>
  <c r="Q86" i="1"/>
  <c r="Q83" i="1"/>
  <c r="S83" i="1" s="1"/>
  <c r="Q108" i="1"/>
  <c r="S108" i="1" s="1"/>
  <c r="Q93" i="1"/>
  <c r="S93" i="1" s="1"/>
  <c r="Q80" i="1"/>
  <c r="Q89" i="1"/>
  <c r="Q81" i="1"/>
  <c r="S81" i="1" s="1"/>
  <c r="Q101" i="1"/>
  <c r="S101" i="1" s="1"/>
  <c r="Q105" i="1"/>
  <c r="Q102" i="1"/>
  <c r="S102" i="1" s="1"/>
  <c r="Q110" i="1"/>
  <c r="S110" i="1" s="1"/>
  <c r="Q109" i="1"/>
  <c r="Q88" i="1"/>
  <c r="Q100" i="1"/>
  <c r="S100" i="1" s="1"/>
  <c r="Q96" i="1"/>
  <c r="S96" i="1" s="1"/>
  <c r="Q95" i="1"/>
  <c r="S95" i="1" s="1"/>
  <c r="Q106" i="1"/>
  <c r="Q85" i="1"/>
  <c r="Q84" i="1"/>
  <c r="S84" i="1" s="1"/>
  <c r="Q99" i="1"/>
  <c r="Q90" i="1"/>
  <c r="Q111" i="1"/>
  <c r="S111" i="1" s="1"/>
  <c r="Q91" i="1"/>
  <c r="S91" i="1" s="1"/>
  <c r="Q103" i="1"/>
  <c r="S103" i="1" s="1"/>
  <c r="Q98" i="1"/>
  <c r="S98" i="1" s="1"/>
  <c r="Q77" i="1"/>
  <c r="S77" i="1" s="1"/>
  <c r="Q50" i="1"/>
  <c r="Q47" i="1"/>
  <c r="Q46" i="1"/>
  <c r="S46" i="1" s="1"/>
  <c r="Q43" i="1"/>
  <c r="S43" i="1" s="1"/>
  <c r="Q41" i="1"/>
  <c r="S41" i="1" s="1"/>
  <c r="Q40" i="1"/>
  <c r="S40" i="1" s="1"/>
  <c r="Q39" i="1"/>
  <c r="S39" i="1" s="1"/>
  <c r="Q38" i="1"/>
  <c r="Q36" i="1"/>
  <c r="Q34" i="1"/>
  <c r="Q32" i="1"/>
  <c r="S32" i="1" s="1"/>
  <c r="Q30" i="1"/>
  <c r="S30" i="1" s="1"/>
  <c r="Q29" i="1"/>
  <c r="S29" i="1" s="1"/>
  <c r="Q28" i="1"/>
  <c r="S28" i="1" s="1"/>
  <c r="Q24" i="1"/>
  <c r="Q25" i="1"/>
  <c r="S25" i="1" s="1"/>
  <c r="Q21" i="1"/>
  <c r="S21" i="1" s="1"/>
  <c r="Q22" i="1"/>
  <c r="Q5" i="1"/>
  <c r="Q124" i="1"/>
  <c r="S124" i="1" s="1"/>
  <c r="Q104" i="1"/>
  <c r="S104" i="1" s="1"/>
  <c r="Q12" i="1"/>
  <c r="S12" i="1" s="1"/>
  <c r="Q65" i="1"/>
  <c r="Q64" i="1"/>
  <c r="S64" i="1" s="1"/>
  <c r="Q82" i="1"/>
  <c r="S82" i="1" s="1"/>
  <c r="Q42" i="1"/>
  <c r="S42" i="1" s="1"/>
  <c r="Q66" i="1"/>
  <c r="S17" i="1"/>
  <c r="S15" i="1"/>
  <c r="S6" i="1"/>
  <c r="S57" i="1"/>
  <c r="S78" i="1"/>
  <c r="S61" i="1"/>
  <c r="S137" i="1"/>
  <c r="Q295" i="1"/>
  <c r="S295" i="1" s="1"/>
  <c r="Q294" i="1"/>
  <c r="S294" i="1" s="1"/>
  <c r="Q293" i="1"/>
  <c r="S293" i="1" s="1"/>
  <c r="Q290" i="1"/>
  <c r="S290" i="1" s="1"/>
  <c r="Q284" i="1"/>
  <c r="S284" i="1" s="1"/>
  <c r="Q280" i="1"/>
  <c r="S280" i="1" s="1"/>
  <c r="Q282" i="1"/>
  <c r="S282" i="1" s="1"/>
  <c r="Q288" i="1"/>
  <c r="S288" i="1" s="1"/>
  <c r="Q279" i="1"/>
  <c r="S279" i="1" s="1"/>
  <c r="Q278" i="1"/>
  <c r="S278" i="1" s="1"/>
  <c r="Q274" i="1"/>
  <c r="S274" i="1" s="1"/>
  <c r="Q273" i="1"/>
  <c r="S273" i="1" s="1"/>
  <c r="Q265" i="1"/>
  <c r="S265" i="1" s="1"/>
  <c r="Q301" i="1"/>
  <c r="S301" i="1" s="1"/>
  <c r="Q272" i="1"/>
  <c r="S272" i="1" s="1"/>
  <c r="Q261" i="1"/>
  <c r="S261" i="1" s="1"/>
  <c r="Q231" i="1"/>
  <c r="S231" i="1" s="1"/>
  <c r="Q240" i="1"/>
  <c r="S240" i="1" s="1"/>
  <c r="Q253" i="1"/>
  <c r="S253" i="1" s="1"/>
  <c r="Q257" i="1"/>
  <c r="S257" i="1" s="1"/>
  <c r="Q260" i="1"/>
  <c r="S260" i="1" s="1"/>
  <c r="Q246" i="1"/>
  <c r="S246" i="1" s="1"/>
  <c r="Q235" i="1"/>
  <c r="S235" i="1" s="1"/>
  <c r="Q255" i="1"/>
  <c r="S255" i="1" s="1"/>
  <c r="Q250" i="1"/>
  <c r="S250" i="1" s="1"/>
  <c r="Q243" i="1"/>
  <c r="S243" i="1" s="1"/>
  <c r="Q245" i="1"/>
  <c r="S245" i="1" s="1"/>
  <c r="Q241" i="1"/>
  <c r="S241" i="1" s="1"/>
  <c r="Q237" i="1"/>
  <c r="S237" i="1" s="1"/>
  <c r="Q233" i="1"/>
  <c r="S233" i="1" s="1"/>
  <c r="Q232" i="1"/>
  <c r="S232" i="1" s="1"/>
  <c r="Q229" i="1"/>
  <c r="S229" i="1" s="1"/>
  <c r="Q224" i="1"/>
  <c r="S224" i="1" s="1"/>
  <c r="Q226" i="1"/>
  <c r="S226" i="1" s="1"/>
  <c r="Q264" i="1"/>
  <c r="S264" i="1" s="1"/>
  <c r="Q223" i="1"/>
  <c r="S223" i="1" s="1"/>
  <c r="Q220" i="1"/>
  <c r="S220" i="1" s="1"/>
  <c r="Q218" i="1"/>
  <c r="S218" i="1" s="1"/>
  <c r="Q219" i="1"/>
  <c r="S219" i="1" s="1"/>
  <c r="Q217" i="1"/>
  <c r="S217" i="1" s="1"/>
  <c r="Q180" i="1"/>
  <c r="S180" i="1" s="1"/>
  <c r="Q198" i="1"/>
  <c r="S198" i="1" s="1"/>
  <c r="Q186" i="1"/>
  <c r="S186" i="1" s="1"/>
  <c r="Q183" i="1"/>
  <c r="S183" i="1" s="1"/>
  <c r="Q156" i="1"/>
  <c r="S156" i="1" s="1"/>
  <c r="Q258" i="1"/>
  <c r="S258" i="1" s="1"/>
  <c r="Q209" i="1"/>
  <c r="S209" i="1" s="1"/>
  <c r="Q212" i="1"/>
  <c r="S212" i="1" s="1"/>
  <c r="Q213" i="1"/>
  <c r="S213" i="1" s="1"/>
  <c r="Q208" i="1"/>
  <c r="S208" i="1" s="1"/>
  <c r="Q287" i="1"/>
  <c r="S287" i="1" s="1"/>
  <c r="Q207" i="1"/>
  <c r="S207" i="1" s="1"/>
  <c r="Q205" i="1"/>
  <c r="S205" i="1" s="1"/>
  <c r="Q203" i="1"/>
  <c r="S203" i="1" s="1"/>
  <c r="Q202" i="1"/>
  <c r="S202" i="1" s="1"/>
  <c r="Q201" i="1"/>
  <c r="S201" i="1" s="1"/>
  <c r="Q194" i="1"/>
  <c r="S194" i="1" s="1"/>
  <c r="Q190" i="1"/>
  <c r="S190" i="1" s="1"/>
  <c r="Q187" i="1"/>
  <c r="S187" i="1" s="1"/>
  <c r="Q188" i="1"/>
  <c r="S188" i="1" s="1"/>
  <c r="Q184" i="1"/>
  <c r="S184" i="1" s="1"/>
  <c r="Q178" i="1"/>
  <c r="S178" i="1" s="1"/>
  <c r="Q177" i="1"/>
  <c r="S177" i="1" s="1"/>
  <c r="Q174" i="1"/>
  <c r="S174" i="1" s="1"/>
  <c r="Q173" i="1"/>
  <c r="S173" i="1" s="1"/>
  <c r="Q172" i="1"/>
  <c r="S172" i="1" s="1"/>
  <c r="Q171" i="1"/>
  <c r="S171" i="1" s="1"/>
  <c r="Q168" i="1"/>
  <c r="S168" i="1" s="1"/>
  <c r="Q166" i="1"/>
  <c r="S166" i="1" s="1"/>
  <c r="Q162" i="1"/>
  <c r="S162" i="1" s="1"/>
  <c r="Q159" i="1"/>
  <c r="S159" i="1" s="1"/>
  <c r="Q169" i="1"/>
  <c r="S169" i="1" s="1"/>
  <c r="Q155" i="1"/>
  <c r="S155" i="1" s="1"/>
  <c r="Q154" i="1"/>
  <c r="S154" i="1" s="1"/>
  <c r="Q153" i="1"/>
  <c r="S153" i="1" s="1"/>
  <c r="Q152" i="1"/>
  <c r="S152" i="1" s="1"/>
  <c r="Q151" i="1"/>
  <c r="S151" i="1" s="1"/>
  <c r="Q150" i="1"/>
  <c r="S150" i="1" s="1"/>
  <c r="Q210" i="1"/>
  <c r="S210" i="1" s="1"/>
  <c r="S68" i="1"/>
  <c r="S126" i="1"/>
  <c r="S16" i="1"/>
  <c r="S70" i="1"/>
  <c r="Q199" i="1"/>
  <c r="S199" i="1" s="1"/>
  <c r="S79" i="1"/>
  <c r="Q215" i="1"/>
  <c r="S215" i="1" s="1"/>
  <c r="S60" i="1"/>
  <c r="Q200" i="1"/>
  <c r="S200" i="1" s="1"/>
  <c r="S52" i="1"/>
  <c r="S112" i="1"/>
  <c r="S53" i="1"/>
  <c r="S51" i="1"/>
  <c r="S14" i="1"/>
  <c r="S74" i="1"/>
  <c r="S73" i="1"/>
  <c r="S59" i="1"/>
  <c r="Q193" i="1"/>
  <c r="S193" i="1" s="1"/>
  <c r="S69" i="1"/>
  <c r="S19" i="1"/>
  <c r="S71" i="1"/>
  <c r="I268" i="1"/>
  <c r="C268" i="1"/>
  <c r="C43" i="1"/>
  <c r="I43" i="1"/>
  <c r="C241" i="1"/>
  <c r="I241" i="1"/>
  <c r="C205" i="1"/>
  <c r="I205" i="1"/>
  <c r="S113" i="1" l="1"/>
  <c r="S116" i="1"/>
  <c r="S86" i="1"/>
  <c r="S109" i="1"/>
  <c r="S88" i="1"/>
  <c r="S99" i="1"/>
  <c r="S80" i="1"/>
  <c r="S90" i="1"/>
  <c r="S65" i="1"/>
  <c r="S66" i="1"/>
  <c r="S38" i="1"/>
  <c r="S34" i="1"/>
  <c r="S5" i="1"/>
  <c r="S13" i="1"/>
  <c r="S11" i="1"/>
  <c r="S9" i="1"/>
  <c r="S22" i="1"/>
  <c r="S47" i="1"/>
  <c r="S55" i="1"/>
  <c r="S24" i="1"/>
  <c r="S7" i="1"/>
  <c r="S10" i="1"/>
  <c r="S36" i="1"/>
  <c r="S138" i="1"/>
  <c r="S106" i="1"/>
  <c r="S105" i="1"/>
  <c r="S50" i="1"/>
  <c r="S85" i="1"/>
  <c r="S54" i="1"/>
  <c r="S89" i="1"/>
  <c r="Q3" i="1"/>
  <c r="N404" i="1" l="1"/>
  <c r="S2" i="1"/>
  <c r="R3" i="1"/>
  <c r="S3" i="1" s="1"/>
  <c r="A5" i="2"/>
  <c r="G2001" i="2"/>
  <c r="K2" i="2" s="1"/>
  <c r="I71" i="1" l="1"/>
  <c r="F5" i="2" s="1"/>
  <c r="I182" i="1"/>
  <c r="I29" i="1"/>
  <c r="I301" i="1"/>
  <c r="I78" i="1"/>
  <c r="I302" i="1"/>
  <c r="I155" i="1"/>
  <c r="I172" i="1"/>
  <c r="I128" i="1"/>
  <c r="I132" i="1"/>
  <c r="I51" i="1"/>
  <c r="I68" i="1"/>
  <c r="I69" i="1"/>
  <c r="I242" i="1"/>
  <c r="I217" i="1"/>
  <c r="I239" i="1"/>
  <c r="I271" i="1"/>
  <c r="I237" i="1"/>
  <c r="I84" i="1"/>
  <c r="I221" i="1"/>
  <c r="I272" i="1"/>
  <c r="I110" i="1"/>
  <c r="I133" i="1"/>
  <c r="I143" i="1"/>
  <c r="I288" i="1"/>
  <c r="I200" i="1"/>
  <c r="I73" i="1"/>
  <c r="I278" i="1"/>
  <c r="I150" i="1"/>
  <c r="I304" i="1"/>
  <c r="I16" i="1"/>
  <c r="I171" i="1"/>
  <c r="I31" i="1"/>
  <c r="I157" i="1"/>
  <c r="I146" i="1"/>
  <c r="I144" i="1"/>
  <c r="I201" i="1"/>
  <c r="I52" i="1"/>
  <c r="I149" i="1"/>
  <c r="I195" i="1"/>
  <c r="I223" i="1"/>
  <c r="I216" i="1"/>
  <c r="I60" i="1"/>
  <c r="I158" i="1"/>
  <c r="I164" i="1"/>
  <c r="I101" i="1"/>
  <c r="I296" i="1"/>
  <c r="I165" i="1"/>
  <c r="I259" i="1"/>
  <c r="I188" i="1"/>
  <c r="I57" i="1"/>
  <c r="I19" i="1"/>
  <c r="I139" i="1"/>
  <c r="I213" i="1"/>
  <c r="I21" i="1"/>
  <c r="I50" i="1"/>
  <c r="I87" i="1"/>
  <c r="I125" i="1"/>
  <c r="I49" i="1"/>
  <c r="I70" i="1"/>
  <c r="I122" i="1"/>
  <c r="I108" i="1"/>
  <c r="I121" i="1"/>
  <c r="I153" i="1"/>
  <c r="I163" i="1"/>
  <c r="I112" i="1"/>
  <c r="I180" i="1"/>
  <c r="I173" i="1"/>
  <c r="I181" i="1"/>
  <c r="I264" i="1"/>
  <c r="I62" i="1"/>
  <c r="I141" i="1"/>
  <c r="I297" i="1"/>
  <c r="I152" i="1"/>
  <c r="I197" i="1"/>
  <c r="I174" i="1"/>
  <c r="I231" i="1"/>
  <c r="I7" i="1"/>
  <c r="I305" i="1"/>
  <c r="I306" i="1"/>
  <c r="I176" i="1"/>
  <c r="I307" i="1"/>
  <c r="I308" i="1"/>
  <c r="I260" i="1"/>
  <c r="I135" i="1"/>
  <c r="I154" i="1"/>
  <c r="I97" i="1"/>
  <c r="I148" i="1"/>
  <c r="I83" i="1"/>
  <c r="I199" i="1"/>
  <c r="I81" i="1"/>
  <c r="I66" i="1"/>
  <c r="I258" i="1"/>
  <c r="I119" i="1"/>
  <c r="I208" i="1"/>
  <c r="I270" i="1"/>
  <c r="I30" i="1"/>
  <c r="I48" i="1"/>
  <c r="I215" i="1"/>
  <c r="I156" i="1"/>
  <c r="I220" i="1"/>
  <c r="I116" i="1"/>
  <c r="I25" i="1"/>
  <c r="I63" i="1"/>
  <c r="I193" i="1"/>
  <c r="I248" i="1"/>
  <c r="I166" i="1"/>
  <c r="I233" i="1"/>
  <c r="I13" i="1"/>
  <c r="I179" i="1"/>
  <c r="I295" i="1"/>
  <c r="I277" i="1"/>
  <c r="I5" i="1"/>
  <c r="I167" i="1"/>
  <c r="I106" i="1"/>
  <c r="I111" i="1"/>
  <c r="I225" i="1"/>
  <c r="I310" i="1"/>
  <c r="I118" i="1"/>
  <c r="I41" i="1"/>
  <c r="I281" i="1"/>
  <c r="I255" i="1"/>
  <c r="I89" i="1"/>
  <c r="I23" i="1"/>
  <c r="I98" i="1"/>
  <c r="I273" i="1"/>
  <c r="I262" i="1"/>
  <c r="I290" i="1"/>
  <c r="I32" i="1"/>
  <c r="I18" i="1"/>
  <c r="I238" i="1"/>
  <c r="I88" i="1"/>
  <c r="I54" i="1"/>
  <c r="I115" i="1"/>
  <c r="I151" i="1"/>
  <c r="I240" i="1"/>
  <c r="I228" i="1"/>
  <c r="I261" i="1"/>
  <c r="I311" i="1"/>
  <c r="I299" i="1"/>
  <c r="I312" i="1"/>
  <c r="I226" i="1"/>
  <c r="I286" i="1"/>
  <c r="I218" i="1"/>
  <c r="I95" i="1"/>
  <c r="I263" i="1"/>
  <c r="I209" i="1"/>
  <c r="I9" i="1"/>
  <c r="I175" i="1"/>
  <c r="I140" i="1"/>
  <c r="I254" i="1"/>
  <c r="I214" i="1"/>
  <c r="I198" i="1"/>
  <c r="I113" i="1"/>
  <c r="I162" i="1"/>
  <c r="I185" i="1"/>
  <c r="I86" i="1"/>
  <c r="I45" i="1"/>
  <c r="I38" i="1"/>
  <c r="I33" i="1"/>
  <c r="I53" i="1"/>
  <c r="I284" i="1"/>
  <c r="I91" i="1"/>
  <c r="I47" i="1"/>
  <c r="I282" i="1"/>
  <c r="I314" i="1"/>
  <c r="I105" i="1"/>
  <c r="I236" i="1"/>
  <c r="I100" i="1"/>
  <c r="I109" i="1"/>
  <c r="I169" i="1"/>
  <c r="I56" i="1"/>
  <c r="I243" i="1"/>
  <c r="I65" i="1"/>
  <c r="I55" i="1"/>
  <c r="F1276" i="2"/>
  <c r="F1277" i="2"/>
  <c r="F1278" i="2"/>
  <c r="F1279" i="2"/>
  <c r="F1280" i="2"/>
  <c r="F1281" i="2"/>
  <c r="F1282" i="2"/>
  <c r="F1283" i="2"/>
  <c r="F1284" i="2"/>
  <c r="F1285" i="2"/>
  <c r="F1286" i="2"/>
  <c r="F1287" i="2"/>
  <c r="F1288" i="2"/>
  <c r="F1289" i="2"/>
  <c r="F1290" i="2"/>
  <c r="F1291" i="2"/>
  <c r="F1292" i="2"/>
  <c r="F1293" i="2"/>
  <c r="F1294" i="2"/>
  <c r="F1295" i="2"/>
  <c r="F1296" i="2"/>
  <c r="F1297" i="2"/>
  <c r="F1298" i="2"/>
  <c r="F1299" i="2"/>
  <c r="F1300" i="2"/>
  <c r="F1301" i="2"/>
  <c r="F1302" i="2"/>
  <c r="F1303" i="2"/>
  <c r="F1304" i="2"/>
  <c r="F1305" i="2"/>
  <c r="F1306" i="2"/>
  <c r="F1307" i="2"/>
  <c r="F1308" i="2"/>
  <c r="F1309" i="2"/>
  <c r="F1310" i="2"/>
  <c r="F1311" i="2"/>
  <c r="F1312" i="2"/>
  <c r="F1313" i="2"/>
  <c r="F1314" i="2"/>
  <c r="F1315" i="2"/>
  <c r="F1316" i="2"/>
  <c r="F1317" i="2"/>
  <c r="F1318" i="2"/>
  <c r="F1319" i="2"/>
  <c r="F1320" i="2"/>
  <c r="F1321" i="2"/>
  <c r="F1322" i="2"/>
  <c r="F1323" i="2"/>
  <c r="F1324" i="2"/>
  <c r="F1325" i="2"/>
  <c r="F1326" i="2"/>
  <c r="F1327" i="2"/>
  <c r="F1328" i="2"/>
  <c r="F1329" i="2"/>
  <c r="F1330" i="2"/>
  <c r="F1331" i="2"/>
  <c r="F1332" i="2"/>
  <c r="F1333" i="2"/>
  <c r="F1334" i="2"/>
  <c r="F1335" i="2"/>
  <c r="F1336" i="2"/>
  <c r="F1337" i="2"/>
  <c r="F1338" i="2"/>
  <c r="F1339" i="2"/>
  <c r="F1340" i="2"/>
  <c r="F1341" i="2"/>
  <c r="F1342" i="2"/>
  <c r="F1343" i="2"/>
  <c r="F1344" i="2"/>
  <c r="F1345" i="2"/>
  <c r="F1346" i="2"/>
  <c r="F1347" i="2"/>
  <c r="F1348" i="2"/>
  <c r="F1349" i="2"/>
  <c r="F1350" i="2"/>
  <c r="F1351" i="2"/>
  <c r="F1352" i="2"/>
  <c r="F1353" i="2"/>
  <c r="F1354" i="2"/>
  <c r="F1355" i="2"/>
  <c r="F1356" i="2"/>
  <c r="F1357" i="2"/>
  <c r="F1358" i="2"/>
  <c r="F1359" i="2"/>
  <c r="F1360" i="2"/>
  <c r="F1361" i="2"/>
  <c r="F1362" i="2"/>
  <c r="F1363" i="2"/>
  <c r="F1364" i="2"/>
  <c r="F1365" i="2"/>
  <c r="F1366" i="2"/>
  <c r="F1367" i="2"/>
  <c r="F1368" i="2"/>
  <c r="F1369" i="2"/>
  <c r="F1370" i="2"/>
  <c r="F1371" i="2"/>
  <c r="F1372" i="2"/>
  <c r="F1373" i="2"/>
  <c r="F1374" i="2"/>
  <c r="F1375" i="2"/>
  <c r="F1376" i="2"/>
  <c r="F1377" i="2"/>
  <c r="F1378" i="2"/>
  <c r="F1379" i="2"/>
  <c r="F1380" i="2"/>
  <c r="F1381" i="2"/>
  <c r="F1382" i="2"/>
  <c r="F1383" i="2"/>
  <c r="F1384" i="2"/>
  <c r="F1385" i="2"/>
  <c r="F1386" i="2"/>
  <c r="F1387" i="2"/>
  <c r="F1388" i="2"/>
  <c r="F1389" i="2"/>
  <c r="F1390" i="2"/>
  <c r="F1391" i="2"/>
  <c r="F1392" i="2"/>
  <c r="F1393" i="2"/>
  <c r="F1394" i="2"/>
  <c r="F1395" i="2"/>
  <c r="F1396" i="2"/>
  <c r="F1397" i="2"/>
  <c r="F1398" i="2"/>
  <c r="F1399" i="2"/>
  <c r="F1400" i="2"/>
  <c r="F1401" i="2"/>
  <c r="F1402" i="2"/>
  <c r="F1403" i="2"/>
  <c r="F1404" i="2"/>
  <c r="F1405" i="2"/>
  <c r="F1406" i="2"/>
  <c r="F1407" i="2"/>
  <c r="F1408" i="2"/>
  <c r="F1409" i="2"/>
  <c r="F1410" i="2"/>
  <c r="F1411" i="2"/>
  <c r="F1412" i="2"/>
  <c r="F1413" i="2"/>
  <c r="F1414" i="2"/>
  <c r="F1415" i="2"/>
  <c r="F1416" i="2"/>
  <c r="F1417" i="2"/>
  <c r="F1418" i="2"/>
  <c r="F1419" i="2"/>
  <c r="F1420" i="2"/>
  <c r="F1421" i="2"/>
  <c r="F1422" i="2"/>
  <c r="F1423" i="2"/>
  <c r="F1424" i="2"/>
  <c r="F1425" i="2"/>
  <c r="F1426" i="2"/>
  <c r="F1427" i="2"/>
  <c r="F1428" i="2"/>
  <c r="F1429" i="2"/>
  <c r="F1430" i="2"/>
  <c r="F1431" i="2"/>
  <c r="F1432" i="2"/>
  <c r="F1433" i="2"/>
  <c r="F1434" i="2"/>
  <c r="F1435" i="2"/>
  <c r="F1436" i="2"/>
  <c r="F1437" i="2"/>
  <c r="F1438" i="2"/>
  <c r="F1439" i="2"/>
  <c r="F1440" i="2"/>
  <c r="F1441" i="2"/>
  <c r="F1442" i="2"/>
  <c r="F1443" i="2"/>
  <c r="F1444" i="2"/>
  <c r="F1445" i="2"/>
  <c r="F1446" i="2"/>
  <c r="F1447" i="2"/>
  <c r="F1448" i="2"/>
  <c r="F1449" i="2"/>
  <c r="F1450" i="2"/>
  <c r="F1451" i="2"/>
  <c r="F1452" i="2"/>
  <c r="F1453" i="2"/>
  <c r="F1454" i="2"/>
  <c r="F1455" i="2"/>
  <c r="F1456" i="2"/>
  <c r="F1457" i="2"/>
  <c r="F1458" i="2"/>
  <c r="F1459" i="2"/>
  <c r="F1460" i="2"/>
  <c r="F1461" i="2"/>
  <c r="F1462" i="2"/>
  <c r="F1463" i="2"/>
  <c r="F1464" i="2"/>
  <c r="F1465" i="2"/>
  <c r="F1466" i="2"/>
  <c r="F1467" i="2"/>
  <c r="F1468" i="2"/>
  <c r="F1469" i="2"/>
  <c r="F1470" i="2"/>
  <c r="F1471" i="2"/>
  <c r="F1472" i="2"/>
  <c r="F1473" i="2"/>
  <c r="F1474" i="2"/>
  <c r="F1475" i="2"/>
  <c r="F1476" i="2"/>
  <c r="F1477" i="2"/>
  <c r="F1478" i="2"/>
  <c r="F1479" i="2"/>
  <c r="F1480" i="2"/>
  <c r="F1481" i="2"/>
  <c r="F1482" i="2"/>
  <c r="F1483" i="2"/>
  <c r="F1484" i="2"/>
  <c r="F1485" i="2"/>
  <c r="F1486" i="2"/>
  <c r="F1487" i="2"/>
  <c r="F1488" i="2"/>
  <c r="F1489" i="2"/>
  <c r="F1490" i="2"/>
  <c r="F1491" i="2"/>
  <c r="F1492" i="2"/>
  <c r="F1493" i="2"/>
  <c r="F1494" i="2"/>
  <c r="F1495" i="2"/>
  <c r="F1496" i="2"/>
  <c r="F1497" i="2"/>
  <c r="F1498" i="2"/>
  <c r="F1499" i="2"/>
  <c r="F1500" i="2"/>
  <c r="F1501" i="2"/>
  <c r="F1502" i="2"/>
  <c r="F1503" i="2"/>
  <c r="F1504" i="2"/>
  <c r="F1505" i="2"/>
  <c r="F1506" i="2"/>
  <c r="F1507" i="2"/>
  <c r="F1508" i="2"/>
  <c r="F1509" i="2"/>
  <c r="F1510" i="2"/>
  <c r="F1511" i="2"/>
  <c r="F1512" i="2"/>
  <c r="F1513" i="2"/>
  <c r="F1514" i="2"/>
  <c r="F1515" i="2"/>
  <c r="F1516" i="2"/>
  <c r="F1517" i="2"/>
  <c r="F1518" i="2"/>
  <c r="F1519" i="2"/>
  <c r="F1520" i="2"/>
  <c r="F1521" i="2"/>
  <c r="F1522" i="2"/>
  <c r="F1523" i="2"/>
  <c r="F1524" i="2"/>
  <c r="F1525" i="2"/>
  <c r="F1526" i="2"/>
  <c r="F1527" i="2"/>
  <c r="F1528" i="2"/>
  <c r="F1529" i="2"/>
  <c r="F1530" i="2"/>
  <c r="F1531" i="2"/>
  <c r="F1532" i="2"/>
  <c r="F1533" i="2"/>
  <c r="F1534" i="2"/>
  <c r="F1535" i="2"/>
  <c r="F1536" i="2"/>
  <c r="F1537" i="2"/>
  <c r="F1538" i="2"/>
  <c r="F1539" i="2"/>
  <c r="F1540" i="2"/>
  <c r="F1541" i="2"/>
  <c r="F1542" i="2"/>
  <c r="F1543" i="2"/>
  <c r="F1544" i="2"/>
  <c r="F1545" i="2"/>
  <c r="F1546" i="2"/>
  <c r="F1547" i="2"/>
  <c r="F1548" i="2"/>
  <c r="F1549" i="2"/>
  <c r="F1550" i="2"/>
  <c r="F1551" i="2"/>
  <c r="F1552" i="2"/>
  <c r="F1553" i="2"/>
  <c r="F1554" i="2"/>
  <c r="F1555" i="2"/>
  <c r="F1556" i="2"/>
  <c r="F1557" i="2"/>
  <c r="F1558" i="2"/>
  <c r="F1559" i="2"/>
  <c r="F1560" i="2"/>
  <c r="F1561" i="2"/>
  <c r="F1562" i="2"/>
  <c r="F1563" i="2"/>
  <c r="F1564" i="2"/>
  <c r="F1565" i="2"/>
  <c r="F1566" i="2"/>
  <c r="F1567" i="2"/>
  <c r="F1568" i="2"/>
  <c r="F1569" i="2"/>
  <c r="F1570" i="2"/>
  <c r="F1571" i="2"/>
  <c r="F1572" i="2"/>
  <c r="F1573" i="2"/>
  <c r="F1574" i="2"/>
  <c r="F1575" i="2"/>
  <c r="F1576" i="2"/>
  <c r="F1577" i="2"/>
  <c r="F1578" i="2"/>
  <c r="F1579" i="2"/>
  <c r="F1580" i="2"/>
  <c r="F1581" i="2"/>
  <c r="F1582" i="2"/>
  <c r="F1583" i="2"/>
  <c r="F1584" i="2"/>
  <c r="F1585" i="2"/>
  <c r="F1586" i="2"/>
  <c r="F1587" i="2"/>
  <c r="F1588" i="2"/>
  <c r="F1589" i="2"/>
  <c r="F1590" i="2"/>
  <c r="F1591" i="2"/>
  <c r="F1592" i="2"/>
  <c r="F1593" i="2"/>
  <c r="F1594" i="2"/>
  <c r="F1595" i="2"/>
  <c r="F1596" i="2"/>
  <c r="F1597" i="2"/>
  <c r="F1598" i="2"/>
  <c r="F1599" i="2"/>
  <c r="F1600" i="2"/>
  <c r="F1601" i="2"/>
  <c r="F1602" i="2"/>
  <c r="F1603" i="2"/>
  <c r="F1604" i="2"/>
  <c r="F1605" i="2"/>
  <c r="F1606" i="2"/>
  <c r="F1607" i="2"/>
  <c r="F1608" i="2"/>
  <c r="F1609" i="2"/>
  <c r="F1610" i="2"/>
  <c r="F1611" i="2"/>
  <c r="F1612" i="2"/>
  <c r="F1613" i="2"/>
  <c r="F1614" i="2"/>
  <c r="F1615" i="2"/>
  <c r="F1616" i="2"/>
  <c r="F1617" i="2"/>
  <c r="F1618" i="2"/>
  <c r="F1619" i="2"/>
  <c r="F1620" i="2"/>
  <c r="F1621" i="2"/>
  <c r="F1622" i="2"/>
  <c r="F1623" i="2"/>
  <c r="F1624" i="2"/>
  <c r="F1625" i="2"/>
  <c r="F1626" i="2"/>
  <c r="F1627" i="2"/>
  <c r="F1628" i="2"/>
  <c r="F1629" i="2"/>
  <c r="F1630" i="2"/>
  <c r="F1631" i="2"/>
  <c r="F1632" i="2"/>
  <c r="F1633" i="2"/>
  <c r="F1634" i="2"/>
  <c r="F1635" i="2"/>
  <c r="F1636" i="2"/>
  <c r="F1637" i="2"/>
  <c r="F1638" i="2"/>
  <c r="F1639" i="2"/>
  <c r="F1640" i="2"/>
  <c r="F1641" i="2"/>
  <c r="F1642" i="2"/>
  <c r="F1643" i="2"/>
  <c r="F1644" i="2"/>
  <c r="F1645" i="2"/>
  <c r="F1646" i="2"/>
  <c r="F1647" i="2"/>
  <c r="F1648" i="2"/>
  <c r="F1649" i="2"/>
  <c r="F1650" i="2"/>
  <c r="F1651" i="2"/>
  <c r="F1652" i="2"/>
  <c r="F1653" i="2"/>
  <c r="F1654" i="2"/>
  <c r="F1655" i="2"/>
  <c r="F1656" i="2"/>
  <c r="F1657" i="2"/>
  <c r="F1658" i="2"/>
  <c r="F1659" i="2"/>
  <c r="F1660" i="2"/>
  <c r="F1661" i="2"/>
  <c r="F1662" i="2"/>
  <c r="F1663" i="2"/>
  <c r="F1664" i="2"/>
  <c r="F1665" i="2"/>
  <c r="F1666" i="2"/>
  <c r="F1667" i="2"/>
  <c r="F1668" i="2"/>
  <c r="F1669" i="2"/>
  <c r="F1670" i="2"/>
  <c r="F1671" i="2"/>
  <c r="F1672" i="2"/>
  <c r="F1673" i="2"/>
  <c r="F1674" i="2"/>
  <c r="F1675" i="2"/>
  <c r="F1676" i="2"/>
  <c r="F1677" i="2"/>
  <c r="F1678" i="2"/>
  <c r="F1679" i="2"/>
  <c r="F1680" i="2"/>
  <c r="F1681" i="2"/>
  <c r="F1682" i="2"/>
  <c r="F1683" i="2"/>
  <c r="F1684" i="2"/>
  <c r="F1685" i="2"/>
  <c r="F1686" i="2"/>
  <c r="F1687" i="2"/>
  <c r="F1688" i="2"/>
  <c r="F1689" i="2"/>
  <c r="F1690" i="2"/>
  <c r="F1691" i="2"/>
  <c r="F1692" i="2"/>
  <c r="F1693" i="2"/>
  <c r="F1694" i="2"/>
  <c r="F1695" i="2"/>
  <c r="F1696" i="2"/>
  <c r="F1697" i="2"/>
  <c r="F1698" i="2"/>
  <c r="F1699" i="2"/>
  <c r="F1700" i="2"/>
  <c r="F1701" i="2"/>
  <c r="F1702" i="2"/>
  <c r="F1703" i="2"/>
  <c r="F1704" i="2"/>
  <c r="F1705" i="2"/>
  <c r="F1706" i="2"/>
  <c r="F1707" i="2"/>
  <c r="F1708" i="2"/>
  <c r="F1709" i="2"/>
  <c r="F1710" i="2"/>
  <c r="F1711" i="2"/>
  <c r="F1712" i="2"/>
  <c r="F1713" i="2"/>
  <c r="F1714" i="2"/>
  <c r="F1715" i="2"/>
  <c r="F1716" i="2"/>
  <c r="F1717" i="2"/>
  <c r="F1718" i="2"/>
  <c r="F1719" i="2"/>
  <c r="F1720" i="2"/>
  <c r="F1721" i="2"/>
  <c r="F1722" i="2"/>
  <c r="F1723" i="2"/>
  <c r="F1724" i="2"/>
  <c r="F1725" i="2"/>
  <c r="F1726" i="2"/>
  <c r="F1727" i="2"/>
  <c r="F1728" i="2"/>
  <c r="F1729" i="2"/>
  <c r="F1730" i="2"/>
  <c r="F1731" i="2"/>
  <c r="F1732" i="2"/>
  <c r="F1733" i="2"/>
  <c r="F1734" i="2"/>
  <c r="F1735" i="2"/>
  <c r="F1736" i="2"/>
  <c r="F1737" i="2"/>
  <c r="F1738" i="2"/>
  <c r="F1739" i="2"/>
  <c r="F1740" i="2"/>
  <c r="F1741" i="2"/>
  <c r="F1742" i="2"/>
  <c r="F1743" i="2"/>
  <c r="F1744" i="2"/>
  <c r="F1745" i="2"/>
  <c r="F1746" i="2"/>
  <c r="F1747" i="2"/>
  <c r="F1748" i="2"/>
  <c r="F1749" i="2"/>
  <c r="F1750" i="2"/>
  <c r="F1751" i="2"/>
  <c r="F1752" i="2"/>
  <c r="F1753" i="2"/>
  <c r="F1754" i="2"/>
  <c r="F1755" i="2"/>
  <c r="F1756" i="2"/>
  <c r="F1757" i="2"/>
  <c r="F1758" i="2"/>
  <c r="F1759" i="2"/>
  <c r="F1760" i="2"/>
  <c r="F1761" i="2"/>
  <c r="F1762" i="2"/>
  <c r="F1763" i="2"/>
  <c r="F1764" i="2"/>
  <c r="F1765" i="2"/>
  <c r="F1766" i="2"/>
  <c r="F1767" i="2"/>
  <c r="F1768" i="2"/>
  <c r="F1769" i="2"/>
  <c r="F1770" i="2"/>
  <c r="F1771" i="2"/>
  <c r="F1772" i="2"/>
  <c r="F1773" i="2"/>
  <c r="F1774" i="2"/>
  <c r="F1775" i="2"/>
  <c r="F1776" i="2"/>
  <c r="F1777" i="2"/>
  <c r="F1778" i="2"/>
  <c r="F1779" i="2"/>
  <c r="F1780" i="2"/>
  <c r="F1781" i="2"/>
  <c r="F1782" i="2"/>
  <c r="F1783" i="2"/>
  <c r="F1784" i="2"/>
  <c r="F1785" i="2"/>
  <c r="F1786" i="2"/>
  <c r="F1787" i="2"/>
  <c r="F1788" i="2"/>
  <c r="F1789" i="2"/>
  <c r="F1790" i="2"/>
  <c r="F1791" i="2"/>
  <c r="F1792" i="2"/>
  <c r="F1793" i="2"/>
  <c r="F1794" i="2"/>
  <c r="F1795" i="2"/>
  <c r="F1796" i="2"/>
  <c r="F1797" i="2"/>
  <c r="F1798" i="2"/>
  <c r="F1799" i="2"/>
  <c r="F1800" i="2"/>
  <c r="F1801" i="2"/>
  <c r="F1802" i="2"/>
  <c r="F1803" i="2"/>
  <c r="F1804" i="2"/>
  <c r="F1805" i="2"/>
  <c r="F1806" i="2"/>
  <c r="F1807" i="2"/>
  <c r="F1808" i="2"/>
  <c r="F1809" i="2"/>
  <c r="F1810" i="2"/>
  <c r="F1811" i="2"/>
  <c r="F1812" i="2"/>
  <c r="F1813" i="2"/>
  <c r="F1814" i="2"/>
  <c r="F1815" i="2"/>
  <c r="F1816" i="2"/>
  <c r="F1817" i="2"/>
  <c r="F1818" i="2"/>
  <c r="F1819" i="2"/>
  <c r="F1820" i="2"/>
  <c r="F1821" i="2"/>
  <c r="F1822" i="2"/>
  <c r="F1823" i="2"/>
  <c r="F1824" i="2"/>
  <c r="F1825" i="2"/>
  <c r="F1826" i="2"/>
  <c r="F1827" i="2"/>
  <c r="F1828" i="2"/>
  <c r="F1829" i="2"/>
  <c r="F1830" i="2"/>
  <c r="F1831" i="2"/>
  <c r="F1832" i="2"/>
  <c r="F1833" i="2"/>
  <c r="F1834" i="2"/>
  <c r="F1835" i="2"/>
  <c r="F1836" i="2"/>
  <c r="F1837" i="2"/>
  <c r="F1838" i="2"/>
  <c r="F1839" i="2"/>
  <c r="F1840" i="2"/>
  <c r="F1841" i="2"/>
  <c r="F1842" i="2"/>
  <c r="F1843" i="2"/>
  <c r="F1844" i="2"/>
  <c r="F1845" i="2"/>
  <c r="F1846" i="2"/>
  <c r="F1847" i="2"/>
  <c r="F1848" i="2"/>
  <c r="F1849" i="2"/>
  <c r="F1850" i="2"/>
  <c r="F1851" i="2"/>
  <c r="F1852" i="2"/>
  <c r="F1853" i="2"/>
  <c r="F1854" i="2"/>
  <c r="F1855" i="2"/>
  <c r="F1856" i="2"/>
  <c r="F1857" i="2"/>
  <c r="F1858" i="2"/>
  <c r="F1859" i="2"/>
  <c r="F1860" i="2"/>
  <c r="F1861" i="2"/>
  <c r="F1862" i="2"/>
  <c r="F1863" i="2"/>
  <c r="F1864" i="2"/>
  <c r="F1865" i="2"/>
  <c r="F1866" i="2"/>
  <c r="F1867" i="2"/>
  <c r="F1868" i="2"/>
  <c r="F1869" i="2"/>
  <c r="F1870" i="2"/>
  <c r="F1871" i="2"/>
  <c r="F1872" i="2"/>
  <c r="F1873" i="2"/>
  <c r="F1874" i="2"/>
  <c r="F1875" i="2"/>
  <c r="F1876" i="2"/>
  <c r="F1877" i="2"/>
  <c r="F1878" i="2"/>
  <c r="F1879" i="2"/>
  <c r="F1880" i="2"/>
  <c r="F1881" i="2"/>
  <c r="F1882" i="2"/>
  <c r="F1883" i="2"/>
  <c r="F1884" i="2"/>
  <c r="F1885" i="2"/>
  <c r="F1886" i="2"/>
  <c r="F1887" i="2"/>
  <c r="F1888" i="2"/>
  <c r="F1889" i="2"/>
  <c r="F1890" i="2"/>
  <c r="F1891" i="2"/>
  <c r="F1892" i="2"/>
  <c r="F1893" i="2"/>
  <c r="F1894" i="2"/>
  <c r="F1895" i="2"/>
  <c r="F1896" i="2"/>
  <c r="F1897" i="2"/>
  <c r="F1898" i="2"/>
  <c r="F1899" i="2"/>
  <c r="F1900" i="2"/>
  <c r="F1901" i="2"/>
  <c r="F1902" i="2"/>
  <c r="F1903" i="2"/>
  <c r="F1904" i="2"/>
  <c r="F1905" i="2"/>
  <c r="F1906" i="2"/>
  <c r="F1907" i="2"/>
  <c r="F1908" i="2"/>
  <c r="F1909" i="2"/>
  <c r="F1910" i="2"/>
  <c r="F1911" i="2"/>
  <c r="F1912" i="2"/>
  <c r="F1913" i="2"/>
  <c r="F1914" i="2"/>
  <c r="F1915" i="2"/>
  <c r="F1916" i="2"/>
  <c r="F1917" i="2"/>
  <c r="F1918" i="2"/>
  <c r="F1919" i="2"/>
  <c r="F1920" i="2"/>
  <c r="F1921" i="2"/>
  <c r="F1922" i="2"/>
  <c r="F1923" i="2"/>
  <c r="F1924" i="2"/>
  <c r="F1925" i="2"/>
  <c r="F1926" i="2"/>
  <c r="F1927" i="2"/>
  <c r="F1928" i="2"/>
  <c r="F1929" i="2"/>
  <c r="F1930" i="2"/>
  <c r="F1931" i="2"/>
  <c r="F1932" i="2"/>
  <c r="F1933" i="2"/>
  <c r="F1934" i="2"/>
  <c r="F1935" i="2"/>
  <c r="F1936" i="2"/>
  <c r="F1937" i="2"/>
  <c r="F1938" i="2"/>
  <c r="F1939" i="2"/>
  <c r="F1940" i="2"/>
  <c r="F1941" i="2"/>
  <c r="F1942" i="2"/>
  <c r="F1943" i="2"/>
  <c r="F1944" i="2"/>
  <c r="F1945" i="2"/>
  <c r="F1946" i="2"/>
  <c r="F1947" i="2"/>
  <c r="F1948" i="2"/>
  <c r="F1949" i="2"/>
  <c r="F1950" i="2"/>
  <c r="F1951" i="2"/>
  <c r="F1952" i="2"/>
  <c r="F1953" i="2"/>
  <c r="F1954" i="2"/>
  <c r="F1955" i="2"/>
  <c r="F1956" i="2"/>
  <c r="F1957" i="2"/>
  <c r="F1958" i="2"/>
  <c r="F1959" i="2"/>
  <c r="F1960" i="2"/>
  <c r="F1961" i="2"/>
  <c r="F1962" i="2"/>
  <c r="F1963" i="2"/>
  <c r="F1964" i="2"/>
  <c r="F1965" i="2"/>
  <c r="F1966" i="2"/>
  <c r="F1967" i="2"/>
  <c r="F1968" i="2"/>
  <c r="F1969" i="2"/>
  <c r="F1970" i="2"/>
  <c r="F1971" i="2"/>
  <c r="F1972" i="2"/>
  <c r="F1973" i="2"/>
  <c r="F1974" i="2"/>
  <c r="F1975" i="2"/>
  <c r="F1976" i="2"/>
  <c r="F1977" i="2"/>
  <c r="F1978" i="2"/>
  <c r="F1979" i="2"/>
  <c r="F1980" i="2"/>
  <c r="F1981" i="2"/>
  <c r="F1982" i="2"/>
  <c r="F1983" i="2"/>
  <c r="F1984" i="2"/>
  <c r="F1985" i="2"/>
  <c r="F1986" i="2"/>
  <c r="F1987" i="2"/>
  <c r="F1988" i="2"/>
  <c r="F1989" i="2"/>
  <c r="F1990" i="2"/>
  <c r="F1991" i="2"/>
  <c r="F1992" i="2"/>
  <c r="F1993" i="2"/>
  <c r="F1994" i="2"/>
  <c r="F1995" i="2"/>
  <c r="F1996" i="2"/>
  <c r="F1997" i="2"/>
  <c r="F1998" i="2"/>
  <c r="F1999" i="2"/>
  <c r="F2000" i="2"/>
  <c r="J2000" i="2"/>
  <c r="H2000" i="2"/>
  <c r="A2000" i="2"/>
  <c r="J1999" i="2"/>
  <c r="H1999" i="2"/>
  <c r="A1999" i="2"/>
  <c r="J1998" i="2"/>
  <c r="H1998" i="2"/>
  <c r="A1998" i="2"/>
  <c r="J1997" i="2"/>
  <c r="H1997" i="2"/>
  <c r="A1997" i="2"/>
  <c r="J1996" i="2"/>
  <c r="H1996" i="2"/>
  <c r="A1996" i="2"/>
  <c r="J1995" i="2"/>
  <c r="H1995" i="2"/>
  <c r="A1995" i="2"/>
  <c r="J1994" i="2"/>
  <c r="H1994" i="2"/>
  <c r="A1994" i="2"/>
  <c r="J1993" i="2"/>
  <c r="H1993" i="2"/>
  <c r="A1993" i="2"/>
  <c r="J1992" i="2"/>
  <c r="H1992" i="2"/>
  <c r="A1992" i="2"/>
  <c r="J1991" i="2"/>
  <c r="H1991" i="2"/>
  <c r="A1991" i="2"/>
  <c r="J1990" i="2"/>
  <c r="H1990" i="2"/>
  <c r="A1990" i="2"/>
  <c r="J1989" i="2"/>
  <c r="H1989" i="2"/>
  <c r="A1989" i="2"/>
  <c r="J1988" i="2"/>
  <c r="H1988" i="2"/>
  <c r="A1988" i="2"/>
  <c r="J1987" i="2"/>
  <c r="H1987" i="2"/>
  <c r="A1987" i="2"/>
  <c r="J1986" i="2"/>
  <c r="H1986" i="2"/>
  <c r="A1986" i="2"/>
  <c r="J1985" i="2"/>
  <c r="H1985" i="2"/>
  <c r="A1985" i="2"/>
  <c r="J1984" i="2"/>
  <c r="H1984" i="2"/>
  <c r="A1984" i="2"/>
  <c r="J1983" i="2"/>
  <c r="H1983" i="2"/>
  <c r="A1983" i="2"/>
  <c r="J1982" i="2"/>
  <c r="H1982" i="2"/>
  <c r="A1982" i="2"/>
  <c r="J1981" i="2"/>
  <c r="H1981" i="2"/>
  <c r="A1981" i="2"/>
  <c r="J1980" i="2"/>
  <c r="H1980" i="2"/>
  <c r="A1980" i="2"/>
  <c r="J1979" i="2"/>
  <c r="H1979" i="2"/>
  <c r="A1979" i="2"/>
  <c r="J1978" i="2"/>
  <c r="H1978" i="2"/>
  <c r="A1978" i="2"/>
  <c r="J1977" i="2"/>
  <c r="H1977" i="2"/>
  <c r="A1977" i="2"/>
  <c r="J1976" i="2"/>
  <c r="H1976" i="2"/>
  <c r="A1976" i="2"/>
  <c r="J1975" i="2"/>
  <c r="H1975" i="2"/>
  <c r="A1975" i="2"/>
  <c r="J1974" i="2"/>
  <c r="H1974" i="2"/>
  <c r="A1974" i="2"/>
  <c r="J1973" i="2"/>
  <c r="H1973" i="2"/>
  <c r="A1973" i="2"/>
  <c r="J1972" i="2"/>
  <c r="H1972" i="2"/>
  <c r="A1972" i="2"/>
  <c r="J1971" i="2"/>
  <c r="H1971" i="2"/>
  <c r="A1971" i="2"/>
  <c r="J1970" i="2"/>
  <c r="H1970" i="2"/>
  <c r="A1970" i="2"/>
  <c r="J1969" i="2"/>
  <c r="H1969" i="2"/>
  <c r="A1969" i="2"/>
  <c r="J1968" i="2"/>
  <c r="H1968" i="2"/>
  <c r="A1968" i="2"/>
  <c r="J1967" i="2"/>
  <c r="H1967" i="2"/>
  <c r="A1967" i="2"/>
  <c r="J1966" i="2"/>
  <c r="H1966" i="2"/>
  <c r="A1966" i="2"/>
  <c r="J1965" i="2"/>
  <c r="H1965" i="2"/>
  <c r="A1965" i="2"/>
  <c r="J1964" i="2"/>
  <c r="H1964" i="2"/>
  <c r="A1964" i="2"/>
  <c r="J1963" i="2"/>
  <c r="H1963" i="2"/>
  <c r="A1963" i="2"/>
  <c r="J1962" i="2"/>
  <c r="H1962" i="2"/>
  <c r="A1962" i="2"/>
  <c r="J1961" i="2"/>
  <c r="H1961" i="2"/>
  <c r="A1961" i="2"/>
  <c r="J1960" i="2"/>
  <c r="H1960" i="2"/>
  <c r="A1960" i="2"/>
  <c r="J1959" i="2"/>
  <c r="H1959" i="2"/>
  <c r="A1959" i="2"/>
  <c r="J1958" i="2"/>
  <c r="H1958" i="2"/>
  <c r="A1958" i="2"/>
  <c r="J1957" i="2"/>
  <c r="H1957" i="2"/>
  <c r="A1957" i="2"/>
  <c r="J1956" i="2"/>
  <c r="H1956" i="2"/>
  <c r="A1956" i="2"/>
  <c r="J1955" i="2"/>
  <c r="H1955" i="2"/>
  <c r="A1955" i="2"/>
  <c r="J1954" i="2"/>
  <c r="H1954" i="2"/>
  <c r="A1954" i="2"/>
  <c r="J1953" i="2"/>
  <c r="H1953" i="2"/>
  <c r="A1953" i="2"/>
  <c r="J1952" i="2"/>
  <c r="H1952" i="2"/>
  <c r="A1952" i="2"/>
  <c r="J1951" i="2"/>
  <c r="H1951" i="2"/>
  <c r="A1951" i="2"/>
  <c r="J1950" i="2"/>
  <c r="H1950" i="2"/>
  <c r="A1950" i="2"/>
  <c r="J1949" i="2"/>
  <c r="H1949" i="2"/>
  <c r="A1949" i="2"/>
  <c r="J1948" i="2"/>
  <c r="H1948" i="2"/>
  <c r="A1948" i="2"/>
  <c r="J1947" i="2"/>
  <c r="H1947" i="2"/>
  <c r="A1947" i="2"/>
  <c r="J1946" i="2"/>
  <c r="H1946" i="2"/>
  <c r="A1946" i="2"/>
  <c r="J1945" i="2"/>
  <c r="H1945" i="2"/>
  <c r="A1945" i="2"/>
  <c r="J1944" i="2"/>
  <c r="H1944" i="2"/>
  <c r="A1944" i="2"/>
  <c r="J1943" i="2"/>
  <c r="H1943" i="2"/>
  <c r="A1943" i="2"/>
  <c r="J1942" i="2"/>
  <c r="H1942" i="2"/>
  <c r="A1942" i="2"/>
  <c r="J1941" i="2"/>
  <c r="H1941" i="2"/>
  <c r="A1941" i="2"/>
  <c r="J1940" i="2"/>
  <c r="H1940" i="2"/>
  <c r="A1940" i="2"/>
  <c r="J1939" i="2"/>
  <c r="H1939" i="2"/>
  <c r="A1939" i="2"/>
  <c r="J1938" i="2"/>
  <c r="H1938" i="2"/>
  <c r="A1938" i="2"/>
  <c r="J1937" i="2"/>
  <c r="H1937" i="2"/>
  <c r="A1937" i="2"/>
  <c r="J1936" i="2"/>
  <c r="H1936" i="2"/>
  <c r="A1936" i="2"/>
  <c r="J1935" i="2"/>
  <c r="H1935" i="2"/>
  <c r="A1935" i="2"/>
  <c r="J1934" i="2"/>
  <c r="H1934" i="2"/>
  <c r="A1934" i="2"/>
  <c r="J1933" i="2"/>
  <c r="H1933" i="2"/>
  <c r="A1933" i="2"/>
  <c r="J1932" i="2"/>
  <c r="H1932" i="2"/>
  <c r="A1932" i="2"/>
  <c r="J1931" i="2"/>
  <c r="H1931" i="2"/>
  <c r="A1931" i="2"/>
  <c r="J1930" i="2"/>
  <c r="H1930" i="2"/>
  <c r="A1930" i="2"/>
  <c r="J1929" i="2"/>
  <c r="H1929" i="2"/>
  <c r="A1929" i="2"/>
  <c r="J1928" i="2"/>
  <c r="H1928" i="2"/>
  <c r="A1928" i="2"/>
  <c r="J1927" i="2"/>
  <c r="H1927" i="2"/>
  <c r="A1927" i="2"/>
  <c r="J1926" i="2"/>
  <c r="H1926" i="2"/>
  <c r="A1926" i="2"/>
  <c r="J1925" i="2"/>
  <c r="H1925" i="2"/>
  <c r="A1925" i="2"/>
  <c r="J1924" i="2"/>
  <c r="H1924" i="2"/>
  <c r="A1924" i="2"/>
  <c r="J1923" i="2"/>
  <c r="H1923" i="2"/>
  <c r="A1923" i="2"/>
  <c r="J1922" i="2"/>
  <c r="H1922" i="2"/>
  <c r="A1922" i="2"/>
  <c r="J1921" i="2"/>
  <c r="H1921" i="2"/>
  <c r="A1921" i="2"/>
  <c r="J1920" i="2"/>
  <c r="H1920" i="2"/>
  <c r="A1920" i="2"/>
  <c r="J1919" i="2"/>
  <c r="H1919" i="2"/>
  <c r="A1919" i="2"/>
  <c r="J1918" i="2"/>
  <c r="H1918" i="2"/>
  <c r="A1918" i="2"/>
  <c r="J1917" i="2"/>
  <c r="H1917" i="2"/>
  <c r="A1917" i="2"/>
  <c r="J1916" i="2"/>
  <c r="H1916" i="2"/>
  <c r="A1916" i="2"/>
  <c r="J1915" i="2"/>
  <c r="H1915" i="2"/>
  <c r="A1915" i="2"/>
  <c r="J1914" i="2"/>
  <c r="H1914" i="2"/>
  <c r="A1914" i="2"/>
  <c r="J1913" i="2"/>
  <c r="H1913" i="2"/>
  <c r="A1913" i="2"/>
  <c r="J1912" i="2"/>
  <c r="H1912" i="2"/>
  <c r="A1912" i="2"/>
  <c r="J1911" i="2"/>
  <c r="H1911" i="2"/>
  <c r="A1911" i="2"/>
  <c r="J1910" i="2"/>
  <c r="H1910" i="2"/>
  <c r="A1910" i="2"/>
  <c r="J1909" i="2"/>
  <c r="H1909" i="2"/>
  <c r="A1909" i="2"/>
  <c r="J1908" i="2"/>
  <c r="H1908" i="2"/>
  <c r="A1908" i="2"/>
  <c r="J1907" i="2"/>
  <c r="H1907" i="2"/>
  <c r="A1907" i="2"/>
  <c r="J1906" i="2"/>
  <c r="H1906" i="2"/>
  <c r="A1906" i="2"/>
  <c r="J1905" i="2"/>
  <c r="H1905" i="2"/>
  <c r="A1905" i="2"/>
  <c r="J1904" i="2"/>
  <c r="H1904" i="2"/>
  <c r="A1904" i="2"/>
  <c r="J1903" i="2"/>
  <c r="H1903" i="2"/>
  <c r="A1903" i="2"/>
  <c r="J1902" i="2"/>
  <c r="H1902" i="2"/>
  <c r="A1902" i="2"/>
  <c r="J1901" i="2"/>
  <c r="H1901" i="2"/>
  <c r="A1901" i="2"/>
  <c r="J1900" i="2"/>
  <c r="H1900" i="2"/>
  <c r="A1900" i="2"/>
  <c r="J1899" i="2"/>
  <c r="H1899" i="2"/>
  <c r="A1899" i="2"/>
  <c r="J1898" i="2"/>
  <c r="H1898" i="2"/>
  <c r="A1898" i="2"/>
  <c r="J1897" i="2"/>
  <c r="H1897" i="2"/>
  <c r="A1897" i="2"/>
  <c r="J1896" i="2"/>
  <c r="H1896" i="2"/>
  <c r="A1896" i="2"/>
  <c r="J1895" i="2"/>
  <c r="H1895" i="2"/>
  <c r="A1895" i="2"/>
  <c r="J1894" i="2"/>
  <c r="H1894" i="2"/>
  <c r="A1894" i="2"/>
  <c r="J1893" i="2"/>
  <c r="H1893" i="2"/>
  <c r="A1893" i="2"/>
  <c r="J1892" i="2"/>
  <c r="H1892" i="2"/>
  <c r="A1892" i="2"/>
  <c r="J1891" i="2"/>
  <c r="H1891" i="2"/>
  <c r="A1891" i="2"/>
  <c r="J1890" i="2"/>
  <c r="H1890" i="2"/>
  <c r="A1890" i="2"/>
  <c r="J1889" i="2"/>
  <c r="H1889" i="2"/>
  <c r="A1889" i="2"/>
  <c r="J1888" i="2"/>
  <c r="H1888" i="2"/>
  <c r="A1888" i="2"/>
  <c r="J1887" i="2"/>
  <c r="H1887" i="2"/>
  <c r="A1887" i="2"/>
  <c r="J1886" i="2"/>
  <c r="H1886" i="2"/>
  <c r="A1886" i="2"/>
  <c r="J1885" i="2"/>
  <c r="H1885" i="2"/>
  <c r="A1885" i="2"/>
  <c r="J1884" i="2"/>
  <c r="H1884" i="2"/>
  <c r="A1884" i="2"/>
  <c r="J1883" i="2"/>
  <c r="H1883" i="2"/>
  <c r="A1883" i="2"/>
  <c r="J1882" i="2"/>
  <c r="H1882" i="2"/>
  <c r="A1882" i="2"/>
  <c r="J1881" i="2"/>
  <c r="H1881" i="2"/>
  <c r="A1881" i="2"/>
  <c r="J1880" i="2"/>
  <c r="H1880" i="2"/>
  <c r="A1880" i="2"/>
  <c r="J1879" i="2"/>
  <c r="H1879" i="2"/>
  <c r="A1879" i="2"/>
  <c r="J1878" i="2"/>
  <c r="H1878" i="2"/>
  <c r="A1878" i="2"/>
  <c r="J1877" i="2"/>
  <c r="H1877" i="2"/>
  <c r="A1877" i="2"/>
  <c r="J1876" i="2"/>
  <c r="H1876" i="2"/>
  <c r="A1876" i="2"/>
  <c r="J1875" i="2"/>
  <c r="H1875" i="2"/>
  <c r="A1875" i="2"/>
  <c r="J1874" i="2"/>
  <c r="H1874" i="2"/>
  <c r="A1874" i="2"/>
  <c r="J1873" i="2"/>
  <c r="H1873" i="2"/>
  <c r="A1873" i="2"/>
  <c r="J1872" i="2"/>
  <c r="H1872" i="2"/>
  <c r="A1872" i="2"/>
  <c r="J1871" i="2"/>
  <c r="H1871" i="2"/>
  <c r="A1871" i="2"/>
  <c r="J1870" i="2"/>
  <c r="H1870" i="2"/>
  <c r="A1870" i="2"/>
  <c r="J1869" i="2"/>
  <c r="H1869" i="2"/>
  <c r="A1869" i="2"/>
  <c r="J1868" i="2"/>
  <c r="H1868" i="2"/>
  <c r="A1868" i="2"/>
  <c r="J1867" i="2"/>
  <c r="H1867" i="2"/>
  <c r="A1867" i="2"/>
  <c r="J1866" i="2"/>
  <c r="H1866" i="2"/>
  <c r="A1866" i="2"/>
  <c r="J1865" i="2"/>
  <c r="H1865" i="2"/>
  <c r="A1865" i="2"/>
  <c r="J1864" i="2"/>
  <c r="H1864" i="2"/>
  <c r="A1864" i="2"/>
  <c r="J1863" i="2"/>
  <c r="H1863" i="2"/>
  <c r="A1863" i="2"/>
  <c r="J1862" i="2"/>
  <c r="H1862" i="2"/>
  <c r="A1862" i="2"/>
  <c r="J1861" i="2"/>
  <c r="H1861" i="2"/>
  <c r="A1861" i="2"/>
  <c r="J1860" i="2"/>
  <c r="H1860" i="2"/>
  <c r="A1860" i="2"/>
  <c r="J1859" i="2"/>
  <c r="H1859" i="2"/>
  <c r="A1859" i="2"/>
  <c r="J1858" i="2"/>
  <c r="H1858" i="2"/>
  <c r="A1858" i="2"/>
  <c r="J1857" i="2"/>
  <c r="H1857" i="2"/>
  <c r="A1857" i="2"/>
  <c r="J1856" i="2"/>
  <c r="H1856" i="2"/>
  <c r="A1856" i="2"/>
  <c r="J1855" i="2"/>
  <c r="H1855" i="2"/>
  <c r="A1855" i="2"/>
  <c r="J1854" i="2"/>
  <c r="H1854" i="2"/>
  <c r="A1854" i="2"/>
  <c r="J1853" i="2"/>
  <c r="H1853" i="2"/>
  <c r="A1853" i="2"/>
  <c r="J1852" i="2"/>
  <c r="H1852" i="2"/>
  <c r="A1852" i="2"/>
  <c r="J1851" i="2"/>
  <c r="H1851" i="2"/>
  <c r="A1851" i="2"/>
  <c r="J1850" i="2"/>
  <c r="H1850" i="2"/>
  <c r="A1850" i="2"/>
  <c r="J1849" i="2"/>
  <c r="H1849" i="2"/>
  <c r="A1849" i="2"/>
  <c r="J1848" i="2"/>
  <c r="H1848" i="2"/>
  <c r="A1848" i="2"/>
  <c r="J1847" i="2"/>
  <c r="H1847" i="2"/>
  <c r="A1847" i="2"/>
  <c r="J1846" i="2"/>
  <c r="H1846" i="2"/>
  <c r="A1846" i="2"/>
  <c r="J1845" i="2"/>
  <c r="H1845" i="2"/>
  <c r="A1845" i="2"/>
  <c r="J1844" i="2"/>
  <c r="H1844" i="2"/>
  <c r="A1844" i="2"/>
  <c r="J1843" i="2"/>
  <c r="H1843" i="2"/>
  <c r="A1843" i="2"/>
  <c r="J1842" i="2"/>
  <c r="H1842" i="2"/>
  <c r="A1842" i="2"/>
  <c r="J1841" i="2"/>
  <c r="H1841" i="2"/>
  <c r="A1841" i="2"/>
  <c r="J1840" i="2"/>
  <c r="H1840" i="2"/>
  <c r="A1840" i="2"/>
  <c r="J1839" i="2"/>
  <c r="H1839" i="2"/>
  <c r="A1839" i="2"/>
  <c r="J1838" i="2"/>
  <c r="H1838" i="2"/>
  <c r="A1838" i="2"/>
  <c r="J1837" i="2"/>
  <c r="H1837" i="2"/>
  <c r="A1837" i="2"/>
  <c r="J1836" i="2"/>
  <c r="H1836" i="2"/>
  <c r="A1836" i="2"/>
  <c r="J1835" i="2"/>
  <c r="H1835" i="2"/>
  <c r="A1835" i="2"/>
  <c r="J1834" i="2"/>
  <c r="H1834" i="2"/>
  <c r="A1834" i="2"/>
  <c r="J1833" i="2"/>
  <c r="H1833" i="2"/>
  <c r="A1833" i="2"/>
  <c r="J1832" i="2"/>
  <c r="H1832" i="2"/>
  <c r="A1832" i="2"/>
  <c r="J1831" i="2"/>
  <c r="H1831" i="2"/>
  <c r="A1831" i="2"/>
  <c r="J1830" i="2"/>
  <c r="H1830" i="2"/>
  <c r="A1830" i="2"/>
  <c r="J1829" i="2"/>
  <c r="H1829" i="2"/>
  <c r="A1829" i="2"/>
  <c r="J1828" i="2"/>
  <c r="H1828" i="2"/>
  <c r="A1828" i="2"/>
  <c r="J1827" i="2"/>
  <c r="H1827" i="2"/>
  <c r="A1827" i="2"/>
  <c r="J1826" i="2"/>
  <c r="H1826" i="2"/>
  <c r="A1826" i="2"/>
  <c r="J1825" i="2"/>
  <c r="H1825" i="2"/>
  <c r="A1825" i="2"/>
  <c r="J1824" i="2"/>
  <c r="H1824" i="2"/>
  <c r="A1824" i="2"/>
  <c r="J1823" i="2"/>
  <c r="H1823" i="2"/>
  <c r="A1823" i="2"/>
  <c r="J1822" i="2"/>
  <c r="H1822" i="2"/>
  <c r="A1822" i="2"/>
  <c r="J1821" i="2"/>
  <c r="H1821" i="2"/>
  <c r="A1821" i="2"/>
  <c r="J1820" i="2"/>
  <c r="H1820" i="2"/>
  <c r="A1820" i="2"/>
  <c r="J1819" i="2"/>
  <c r="H1819" i="2"/>
  <c r="A1819" i="2"/>
  <c r="J1818" i="2"/>
  <c r="H1818" i="2"/>
  <c r="A1818" i="2"/>
  <c r="J1817" i="2"/>
  <c r="H1817" i="2"/>
  <c r="A1817" i="2"/>
  <c r="J1816" i="2"/>
  <c r="H1816" i="2"/>
  <c r="A1816" i="2"/>
  <c r="J1815" i="2"/>
  <c r="H1815" i="2"/>
  <c r="A1815" i="2"/>
  <c r="J1814" i="2"/>
  <c r="H1814" i="2"/>
  <c r="A1814" i="2"/>
  <c r="J1813" i="2"/>
  <c r="H1813" i="2"/>
  <c r="A1813" i="2"/>
  <c r="J1812" i="2"/>
  <c r="H1812" i="2"/>
  <c r="A1812" i="2"/>
  <c r="J1811" i="2"/>
  <c r="H1811" i="2"/>
  <c r="A1811" i="2"/>
  <c r="J1810" i="2"/>
  <c r="H1810" i="2"/>
  <c r="A1810" i="2"/>
  <c r="J1809" i="2"/>
  <c r="H1809" i="2"/>
  <c r="A1809" i="2"/>
  <c r="J1808" i="2"/>
  <c r="H1808" i="2"/>
  <c r="A1808" i="2"/>
  <c r="J1807" i="2"/>
  <c r="H1807" i="2"/>
  <c r="A1807" i="2"/>
  <c r="J1806" i="2"/>
  <c r="H1806" i="2"/>
  <c r="A1806" i="2"/>
  <c r="J1805" i="2"/>
  <c r="H1805" i="2"/>
  <c r="A1805" i="2"/>
  <c r="J1804" i="2"/>
  <c r="H1804" i="2"/>
  <c r="A1804" i="2"/>
  <c r="J1803" i="2"/>
  <c r="H1803" i="2"/>
  <c r="A1803" i="2"/>
  <c r="J1802" i="2"/>
  <c r="H1802" i="2"/>
  <c r="A1802" i="2"/>
  <c r="J1801" i="2"/>
  <c r="H1801" i="2"/>
  <c r="A1801" i="2"/>
  <c r="J1800" i="2"/>
  <c r="H1800" i="2"/>
  <c r="A1800" i="2"/>
  <c r="J1799" i="2"/>
  <c r="H1799" i="2"/>
  <c r="A1799" i="2"/>
  <c r="J1798" i="2"/>
  <c r="H1798" i="2"/>
  <c r="A1798" i="2"/>
  <c r="J1797" i="2"/>
  <c r="H1797" i="2"/>
  <c r="A1797" i="2"/>
  <c r="J1796" i="2"/>
  <c r="H1796" i="2"/>
  <c r="A1796" i="2"/>
  <c r="J1795" i="2"/>
  <c r="H1795" i="2"/>
  <c r="A1795" i="2"/>
  <c r="J1794" i="2"/>
  <c r="H1794" i="2"/>
  <c r="A1794" i="2"/>
  <c r="J1793" i="2"/>
  <c r="H1793" i="2"/>
  <c r="A1793" i="2"/>
  <c r="J1792" i="2"/>
  <c r="H1792" i="2"/>
  <c r="A1792" i="2"/>
  <c r="J1791" i="2"/>
  <c r="H1791" i="2"/>
  <c r="A1791" i="2"/>
  <c r="J1790" i="2"/>
  <c r="H1790" i="2"/>
  <c r="A1790" i="2"/>
  <c r="J1789" i="2"/>
  <c r="H1789" i="2"/>
  <c r="A1789" i="2"/>
  <c r="J1788" i="2"/>
  <c r="H1788" i="2"/>
  <c r="A1788" i="2"/>
  <c r="J1787" i="2"/>
  <c r="H1787" i="2"/>
  <c r="A1787" i="2"/>
  <c r="J1786" i="2"/>
  <c r="H1786" i="2"/>
  <c r="A1786" i="2"/>
  <c r="J1785" i="2"/>
  <c r="H1785" i="2"/>
  <c r="A1785" i="2"/>
  <c r="J1784" i="2"/>
  <c r="H1784" i="2"/>
  <c r="A1784" i="2"/>
  <c r="J1783" i="2"/>
  <c r="H1783" i="2"/>
  <c r="A1783" i="2"/>
  <c r="J1782" i="2"/>
  <c r="H1782" i="2"/>
  <c r="A1782" i="2"/>
  <c r="J1781" i="2"/>
  <c r="H1781" i="2"/>
  <c r="A1781" i="2"/>
  <c r="J1780" i="2"/>
  <c r="H1780" i="2"/>
  <c r="A1780" i="2"/>
  <c r="J1779" i="2"/>
  <c r="H1779" i="2"/>
  <c r="A1779" i="2"/>
  <c r="J1778" i="2"/>
  <c r="H1778" i="2"/>
  <c r="A1778" i="2"/>
  <c r="J1777" i="2"/>
  <c r="H1777" i="2"/>
  <c r="A1777" i="2"/>
  <c r="J1776" i="2"/>
  <c r="H1776" i="2"/>
  <c r="A1776" i="2"/>
  <c r="J1775" i="2"/>
  <c r="H1775" i="2"/>
  <c r="A1775" i="2"/>
  <c r="J1774" i="2"/>
  <c r="H1774" i="2"/>
  <c r="A1774" i="2"/>
  <c r="J1773" i="2"/>
  <c r="H1773" i="2"/>
  <c r="A1773" i="2"/>
  <c r="J1772" i="2"/>
  <c r="H1772" i="2"/>
  <c r="A1772" i="2"/>
  <c r="J1771" i="2"/>
  <c r="H1771" i="2"/>
  <c r="A1771" i="2"/>
  <c r="J1770" i="2"/>
  <c r="H1770" i="2"/>
  <c r="A1770" i="2"/>
  <c r="J1769" i="2"/>
  <c r="H1769" i="2"/>
  <c r="A1769" i="2"/>
  <c r="J1768" i="2"/>
  <c r="H1768" i="2"/>
  <c r="A1768" i="2"/>
  <c r="J1767" i="2"/>
  <c r="H1767" i="2"/>
  <c r="A1767" i="2"/>
  <c r="J1766" i="2"/>
  <c r="H1766" i="2"/>
  <c r="A1766" i="2"/>
  <c r="J1765" i="2"/>
  <c r="H1765" i="2"/>
  <c r="A1765" i="2"/>
  <c r="J1764" i="2"/>
  <c r="H1764" i="2"/>
  <c r="A1764" i="2"/>
  <c r="J1763" i="2"/>
  <c r="H1763" i="2"/>
  <c r="A1763" i="2"/>
  <c r="J1762" i="2"/>
  <c r="H1762" i="2"/>
  <c r="A1762" i="2"/>
  <c r="J1761" i="2"/>
  <c r="H1761" i="2"/>
  <c r="A1761" i="2"/>
  <c r="J1760" i="2"/>
  <c r="H1760" i="2"/>
  <c r="A1760" i="2"/>
  <c r="J1759" i="2"/>
  <c r="H1759" i="2"/>
  <c r="A1759" i="2"/>
  <c r="J1758" i="2"/>
  <c r="H1758" i="2"/>
  <c r="A1758" i="2"/>
  <c r="J1757" i="2"/>
  <c r="H1757" i="2"/>
  <c r="A1757" i="2"/>
  <c r="J1756" i="2"/>
  <c r="H1756" i="2"/>
  <c r="A1756" i="2"/>
  <c r="J1755" i="2"/>
  <c r="H1755" i="2"/>
  <c r="A1755" i="2"/>
  <c r="J1754" i="2"/>
  <c r="H1754" i="2"/>
  <c r="A1754" i="2"/>
  <c r="J1753" i="2"/>
  <c r="H1753" i="2"/>
  <c r="A1753" i="2"/>
  <c r="J1752" i="2"/>
  <c r="H1752" i="2"/>
  <c r="A1752" i="2"/>
  <c r="J1751" i="2"/>
  <c r="H1751" i="2"/>
  <c r="A1751" i="2"/>
  <c r="J1750" i="2"/>
  <c r="H1750" i="2"/>
  <c r="A1750" i="2"/>
  <c r="J1749" i="2"/>
  <c r="H1749" i="2"/>
  <c r="A1749" i="2"/>
  <c r="J1748" i="2"/>
  <c r="H1748" i="2"/>
  <c r="A1748" i="2"/>
  <c r="J1747" i="2"/>
  <c r="H1747" i="2"/>
  <c r="A1747" i="2"/>
  <c r="J1746" i="2"/>
  <c r="H1746" i="2"/>
  <c r="A1746" i="2"/>
  <c r="J1745" i="2"/>
  <c r="H1745" i="2"/>
  <c r="A1745" i="2"/>
  <c r="J1744" i="2"/>
  <c r="H1744" i="2"/>
  <c r="A1744" i="2"/>
  <c r="J1743" i="2"/>
  <c r="H1743" i="2"/>
  <c r="A1743" i="2"/>
  <c r="J1742" i="2"/>
  <c r="H1742" i="2"/>
  <c r="A1742" i="2"/>
  <c r="J1741" i="2"/>
  <c r="H1741" i="2"/>
  <c r="A1741" i="2"/>
  <c r="J1740" i="2"/>
  <c r="H1740" i="2"/>
  <c r="A1740" i="2"/>
  <c r="J1739" i="2"/>
  <c r="H1739" i="2"/>
  <c r="A1739" i="2"/>
  <c r="J1738" i="2"/>
  <c r="H1738" i="2"/>
  <c r="A1738" i="2"/>
  <c r="J1737" i="2"/>
  <c r="H1737" i="2"/>
  <c r="A1737" i="2"/>
  <c r="J1736" i="2"/>
  <c r="H1736" i="2"/>
  <c r="A1736" i="2"/>
  <c r="J1735" i="2"/>
  <c r="H1735" i="2"/>
  <c r="A1735" i="2"/>
  <c r="J1734" i="2"/>
  <c r="H1734" i="2"/>
  <c r="A1734" i="2"/>
  <c r="J1733" i="2"/>
  <c r="H1733" i="2"/>
  <c r="A1733" i="2"/>
  <c r="J1732" i="2"/>
  <c r="H1732" i="2"/>
  <c r="A1732" i="2"/>
  <c r="J1731" i="2"/>
  <c r="H1731" i="2"/>
  <c r="A1731" i="2"/>
  <c r="J1730" i="2"/>
  <c r="H1730" i="2"/>
  <c r="A1730" i="2"/>
  <c r="J1729" i="2"/>
  <c r="H1729" i="2"/>
  <c r="A1729" i="2"/>
  <c r="J1728" i="2"/>
  <c r="H1728" i="2"/>
  <c r="A1728" i="2"/>
  <c r="J1727" i="2"/>
  <c r="H1727" i="2"/>
  <c r="A1727" i="2"/>
  <c r="J1726" i="2"/>
  <c r="H1726" i="2"/>
  <c r="A1726" i="2"/>
  <c r="J1725" i="2"/>
  <c r="H1725" i="2"/>
  <c r="A1725" i="2"/>
  <c r="J1724" i="2"/>
  <c r="H1724" i="2"/>
  <c r="A1724" i="2"/>
  <c r="J1723" i="2"/>
  <c r="H1723" i="2"/>
  <c r="A1723" i="2"/>
  <c r="J1722" i="2"/>
  <c r="H1722" i="2"/>
  <c r="A1722" i="2"/>
  <c r="J1721" i="2"/>
  <c r="H1721" i="2"/>
  <c r="A1721" i="2"/>
  <c r="J1720" i="2"/>
  <c r="H1720" i="2"/>
  <c r="A1720" i="2"/>
  <c r="J1719" i="2"/>
  <c r="H1719" i="2"/>
  <c r="A1719" i="2"/>
  <c r="J1718" i="2"/>
  <c r="H1718" i="2"/>
  <c r="A1718" i="2"/>
  <c r="J1717" i="2"/>
  <c r="H1717" i="2"/>
  <c r="A1717" i="2"/>
  <c r="J1716" i="2"/>
  <c r="H1716" i="2"/>
  <c r="A1716" i="2"/>
  <c r="J1715" i="2"/>
  <c r="H1715" i="2"/>
  <c r="A1715" i="2"/>
  <c r="J1714" i="2"/>
  <c r="H1714" i="2"/>
  <c r="A1714" i="2"/>
  <c r="J1713" i="2"/>
  <c r="H1713" i="2"/>
  <c r="A1713" i="2"/>
  <c r="J1712" i="2"/>
  <c r="H1712" i="2"/>
  <c r="A1712" i="2"/>
  <c r="J1711" i="2"/>
  <c r="H1711" i="2"/>
  <c r="A1711" i="2"/>
  <c r="J1710" i="2"/>
  <c r="H1710" i="2"/>
  <c r="A1710" i="2"/>
  <c r="J1709" i="2"/>
  <c r="H1709" i="2"/>
  <c r="A1709" i="2"/>
  <c r="J1708" i="2"/>
  <c r="H1708" i="2"/>
  <c r="A1708" i="2"/>
  <c r="J1707" i="2"/>
  <c r="H1707" i="2"/>
  <c r="A1707" i="2"/>
  <c r="J1706" i="2"/>
  <c r="H1706" i="2"/>
  <c r="A1706" i="2"/>
  <c r="J1705" i="2"/>
  <c r="H1705" i="2"/>
  <c r="A1705" i="2"/>
  <c r="J1704" i="2"/>
  <c r="H1704" i="2"/>
  <c r="A1704" i="2"/>
  <c r="J1703" i="2"/>
  <c r="H1703" i="2"/>
  <c r="A1703" i="2"/>
  <c r="J1702" i="2"/>
  <c r="H1702" i="2"/>
  <c r="A1702" i="2"/>
  <c r="J1701" i="2"/>
  <c r="H1701" i="2"/>
  <c r="A1701" i="2"/>
  <c r="J1700" i="2"/>
  <c r="H1700" i="2"/>
  <c r="A1700" i="2"/>
  <c r="J1699" i="2"/>
  <c r="H1699" i="2"/>
  <c r="A1699" i="2"/>
  <c r="J1698" i="2"/>
  <c r="H1698" i="2"/>
  <c r="A1698" i="2"/>
  <c r="J1697" i="2"/>
  <c r="H1697" i="2"/>
  <c r="A1697" i="2"/>
  <c r="J1696" i="2"/>
  <c r="H1696" i="2"/>
  <c r="A1696" i="2"/>
  <c r="J1695" i="2"/>
  <c r="H1695" i="2"/>
  <c r="A1695" i="2"/>
  <c r="J1694" i="2"/>
  <c r="H1694" i="2"/>
  <c r="A1694" i="2"/>
  <c r="J1693" i="2"/>
  <c r="H1693" i="2"/>
  <c r="A1693" i="2"/>
  <c r="J1692" i="2"/>
  <c r="H1692" i="2"/>
  <c r="A1692" i="2"/>
  <c r="J1691" i="2"/>
  <c r="H1691" i="2"/>
  <c r="A1691" i="2"/>
  <c r="J1690" i="2"/>
  <c r="H1690" i="2"/>
  <c r="A1690" i="2"/>
  <c r="J1689" i="2"/>
  <c r="H1689" i="2"/>
  <c r="A1689" i="2"/>
  <c r="J1688" i="2"/>
  <c r="H1688" i="2"/>
  <c r="A1688" i="2"/>
  <c r="J1687" i="2"/>
  <c r="H1687" i="2"/>
  <c r="A1687" i="2"/>
  <c r="J1686" i="2"/>
  <c r="H1686" i="2"/>
  <c r="A1686" i="2"/>
  <c r="J1685" i="2"/>
  <c r="H1685" i="2"/>
  <c r="A1685" i="2"/>
  <c r="J1684" i="2"/>
  <c r="H1684" i="2"/>
  <c r="A1684" i="2"/>
  <c r="J1683" i="2"/>
  <c r="H1683" i="2"/>
  <c r="A1683" i="2"/>
  <c r="J1682" i="2"/>
  <c r="H1682" i="2"/>
  <c r="A1682" i="2"/>
  <c r="J1681" i="2"/>
  <c r="H1681" i="2"/>
  <c r="A1681" i="2"/>
  <c r="J1680" i="2"/>
  <c r="H1680" i="2"/>
  <c r="A1680" i="2"/>
  <c r="J1679" i="2"/>
  <c r="H1679" i="2"/>
  <c r="A1679" i="2"/>
  <c r="J1678" i="2"/>
  <c r="H1678" i="2"/>
  <c r="A1678" i="2"/>
  <c r="J1677" i="2"/>
  <c r="H1677" i="2"/>
  <c r="A1677" i="2"/>
  <c r="J1676" i="2"/>
  <c r="H1676" i="2"/>
  <c r="A1676" i="2"/>
  <c r="J1675" i="2"/>
  <c r="H1675" i="2"/>
  <c r="A1675" i="2"/>
  <c r="J1674" i="2"/>
  <c r="H1674" i="2"/>
  <c r="A1674" i="2"/>
  <c r="J1673" i="2"/>
  <c r="H1673" i="2"/>
  <c r="A1673" i="2"/>
  <c r="J1672" i="2"/>
  <c r="H1672" i="2"/>
  <c r="A1672" i="2"/>
  <c r="J1671" i="2"/>
  <c r="H1671" i="2"/>
  <c r="A1671" i="2"/>
  <c r="J1670" i="2"/>
  <c r="H1670" i="2"/>
  <c r="A1670" i="2"/>
  <c r="J1669" i="2"/>
  <c r="H1669" i="2"/>
  <c r="A1669" i="2"/>
  <c r="J1668" i="2"/>
  <c r="H1668" i="2"/>
  <c r="A1668" i="2"/>
  <c r="J1667" i="2"/>
  <c r="H1667" i="2"/>
  <c r="A1667" i="2"/>
  <c r="J1666" i="2"/>
  <c r="H1666" i="2"/>
  <c r="A1666" i="2"/>
  <c r="J1665" i="2"/>
  <c r="H1665" i="2"/>
  <c r="A1665" i="2"/>
  <c r="J1664" i="2"/>
  <c r="H1664" i="2"/>
  <c r="A1664" i="2"/>
  <c r="J1663" i="2"/>
  <c r="H1663" i="2"/>
  <c r="A1663" i="2"/>
  <c r="J1662" i="2"/>
  <c r="H1662" i="2"/>
  <c r="A1662" i="2"/>
  <c r="J1661" i="2"/>
  <c r="H1661" i="2"/>
  <c r="A1661" i="2"/>
  <c r="J1660" i="2"/>
  <c r="H1660" i="2"/>
  <c r="A1660" i="2"/>
  <c r="J1659" i="2"/>
  <c r="H1659" i="2"/>
  <c r="A1659" i="2"/>
  <c r="J1658" i="2"/>
  <c r="H1658" i="2"/>
  <c r="A1658" i="2"/>
  <c r="J1657" i="2"/>
  <c r="H1657" i="2"/>
  <c r="A1657" i="2"/>
  <c r="J1656" i="2"/>
  <c r="H1656" i="2"/>
  <c r="A1656" i="2"/>
  <c r="J1655" i="2"/>
  <c r="H1655" i="2"/>
  <c r="A1655" i="2"/>
  <c r="J1654" i="2"/>
  <c r="H1654" i="2"/>
  <c r="A1654" i="2"/>
  <c r="J1653" i="2"/>
  <c r="H1653" i="2"/>
  <c r="A1653" i="2"/>
  <c r="J1652" i="2"/>
  <c r="H1652" i="2"/>
  <c r="A1652" i="2"/>
  <c r="J1651" i="2"/>
  <c r="H1651" i="2"/>
  <c r="A1651" i="2"/>
  <c r="J1650" i="2"/>
  <c r="H1650" i="2"/>
  <c r="A1650" i="2"/>
  <c r="J1649" i="2"/>
  <c r="H1649" i="2"/>
  <c r="A1649" i="2"/>
  <c r="J1648" i="2"/>
  <c r="H1648" i="2"/>
  <c r="A1648" i="2"/>
  <c r="J1647" i="2"/>
  <c r="H1647" i="2"/>
  <c r="A1647" i="2"/>
  <c r="J1646" i="2"/>
  <c r="H1646" i="2"/>
  <c r="A1646" i="2"/>
  <c r="J1645" i="2"/>
  <c r="H1645" i="2"/>
  <c r="A1645" i="2"/>
  <c r="J1644" i="2"/>
  <c r="H1644" i="2"/>
  <c r="A1644" i="2"/>
  <c r="J1643" i="2"/>
  <c r="H1643" i="2"/>
  <c r="A1643" i="2"/>
  <c r="J1642" i="2"/>
  <c r="H1642" i="2"/>
  <c r="A1642" i="2"/>
  <c r="J1641" i="2"/>
  <c r="H1641" i="2"/>
  <c r="A1641" i="2"/>
  <c r="J1640" i="2"/>
  <c r="H1640" i="2"/>
  <c r="A1640" i="2"/>
  <c r="J1639" i="2"/>
  <c r="H1639" i="2"/>
  <c r="A1639" i="2"/>
  <c r="J1638" i="2"/>
  <c r="H1638" i="2"/>
  <c r="A1638" i="2"/>
  <c r="J1637" i="2"/>
  <c r="H1637" i="2"/>
  <c r="A1637" i="2"/>
  <c r="J1636" i="2"/>
  <c r="H1636" i="2"/>
  <c r="A1636" i="2"/>
  <c r="J1635" i="2"/>
  <c r="H1635" i="2"/>
  <c r="A1635" i="2"/>
  <c r="J1634" i="2"/>
  <c r="H1634" i="2"/>
  <c r="A1634" i="2"/>
  <c r="J1633" i="2"/>
  <c r="H1633" i="2"/>
  <c r="A1633" i="2"/>
  <c r="J1632" i="2"/>
  <c r="H1632" i="2"/>
  <c r="A1632" i="2"/>
  <c r="J1631" i="2"/>
  <c r="H1631" i="2"/>
  <c r="A1631" i="2"/>
  <c r="J1630" i="2"/>
  <c r="H1630" i="2"/>
  <c r="A1630" i="2"/>
  <c r="J1629" i="2"/>
  <c r="H1629" i="2"/>
  <c r="A1629" i="2"/>
  <c r="J1628" i="2"/>
  <c r="H1628" i="2"/>
  <c r="A1628" i="2"/>
  <c r="J1627" i="2"/>
  <c r="H1627" i="2"/>
  <c r="A1627" i="2"/>
  <c r="J1626" i="2"/>
  <c r="H1626" i="2"/>
  <c r="A1626" i="2"/>
  <c r="J1625" i="2"/>
  <c r="H1625" i="2"/>
  <c r="A1625" i="2"/>
  <c r="J1624" i="2"/>
  <c r="H1624" i="2"/>
  <c r="A1624" i="2"/>
  <c r="J1623" i="2"/>
  <c r="H1623" i="2"/>
  <c r="A1623" i="2"/>
  <c r="J1622" i="2"/>
  <c r="H1622" i="2"/>
  <c r="A1622" i="2"/>
  <c r="J1621" i="2"/>
  <c r="H1621" i="2"/>
  <c r="A1621" i="2"/>
  <c r="J1620" i="2"/>
  <c r="H1620" i="2"/>
  <c r="A1620" i="2"/>
  <c r="J1619" i="2"/>
  <c r="H1619" i="2"/>
  <c r="A1619" i="2"/>
  <c r="J1618" i="2"/>
  <c r="H1618" i="2"/>
  <c r="A1618" i="2"/>
  <c r="J1617" i="2"/>
  <c r="H1617" i="2"/>
  <c r="A1617" i="2"/>
  <c r="J1616" i="2"/>
  <c r="H1616" i="2"/>
  <c r="A1616" i="2"/>
  <c r="J1615" i="2"/>
  <c r="H1615" i="2"/>
  <c r="A1615" i="2"/>
  <c r="J1614" i="2"/>
  <c r="H1614" i="2"/>
  <c r="A1614" i="2"/>
  <c r="J1613" i="2"/>
  <c r="H1613" i="2"/>
  <c r="A1613" i="2"/>
  <c r="J1612" i="2"/>
  <c r="H1612" i="2"/>
  <c r="A1612" i="2"/>
  <c r="J1611" i="2"/>
  <c r="H1611" i="2"/>
  <c r="A1611" i="2"/>
  <c r="J1610" i="2"/>
  <c r="H1610" i="2"/>
  <c r="A1610" i="2"/>
  <c r="J1609" i="2"/>
  <c r="H1609" i="2"/>
  <c r="A1609" i="2"/>
  <c r="J1608" i="2"/>
  <c r="H1608" i="2"/>
  <c r="A1608" i="2"/>
  <c r="J1607" i="2"/>
  <c r="H1607" i="2"/>
  <c r="A1607" i="2"/>
  <c r="J1606" i="2"/>
  <c r="H1606" i="2"/>
  <c r="A1606" i="2"/>
  <c r="J1605" i="2"/>
  <c r="H1605" i="2"/>
  <c r="A1605" i="2"/>
  <c r="J1604" i="2"/>
  <c r="H1604" i="2"/>
  <c r="A1604" i="2"/>
  <c r="J1603" i="2"/>
  <c r="H1603" i="2"/>
  <c r="A1603" i="2"/>
  <c r="J1602" i="2"/>
  <c r="H1602" i="2"/>
  <c r="A1602" i="2"/>
  <c r="J1601" i="2"/>
  <c r="H1601" i="2"/>
  <c r="A1601" i="2"/>
  <c r="J1600" i="2"/>
  <c r="H1600" i="2"/>
  <c r="A1600" i="2"/>
  <c r="J1599" i="2"/>
  <c r="H1599" i="2"/>
  <c r="A1599" i="2"/>
  <c r="J1598" i="2"/>
  <c r="H1598" i="2"/>
  <c r="A1598" i="2"/>
  <c r="J1597" i="2"/>
  <c r="H1597" i="2"/>
  <c r="A1597" i="2"/>
  <c r="J1596" i="2"/>
  <c r="H1596" i="2"/>
  <c r="A1596" i="2"/>
  <c r="J1595" i="2"/>
  <c r="H1595" i="2"/>
  <c r="A1595" i="2"/>
  <c r="J1594" i="2"/>
  <c r="H1594" i="2"/>
  <c r="A1594" i="2"/>
  <c r="J1593" i="2"/>
  <c r="H1593" i="2"/>
  <c r="A1593" i="2"/>
  <c r="J1592" i="2"/>
  <c r="H1592" i="2"/>
  <c r="A1592" i="2"/>
  <c r="J1591" i="2"/>
  <c r="H1591" i="2"/>
  <c r="A1591" i="2"/>
  <c r="J1590" i="2"/>
  <c r="H1590" i="2"/>
  <c r="A1590" i="2"/>
  <c r="J1589" i="2"/>
  <c r="H1589" i="2"/>
  <c r="A1589" i="2"/>
  <c r="J1588" i="2"/>
  <c r="H1588" i="2"/>
  <c r="A1588" i="2"/>
  <c r="J1587" i="2"/>
  <c r="H1587" i="2"/>
  <c r="A1587" i="2"/>
  <c r="J1586" i="2"/>
  <c r="H1586" i="2"/>
  <c r="A1586" i="2"/>
  <c r="J1585" i="2"/>
  <c r="H1585" i="2"/>
  <c r="A1585" i="2"/>
  <c r="J1584" i="2"/>
  <c r="H1584" i="2"/>
  <c r="A1584" i="2"/>
  <c r="J1583" i="2"/>
  <c r="H1583" i="2"/>
  <c r="A1583" i="2"/>
  <c r="J1582" i="2"/>
  <c r="H1582" i="2"/>
  <c r="A1582" i="2"/>
  <c r="J1581" i="2"/>
  <c r="H1581" i="2"/>
  <c r="A1581" i="2"/>
  <c r="J1580" i="2"/>
  <c r="H1580" i="2"/>
  <c r="A1580" i="2"/>
  <c r="J1579" i="2"/>
  <c r="H1579" i="2"/>
  <c r="A1579" i="2"/>
  <c r="J1578" i="2"/>
  <c r="H1578" i="2"/>
  <c r="A1578" i="2"/>
  <c r="J1577" i="2"/>
  <c r="H1577" i="2"/>
  <c r="A1577" i="2"/>
  <c r="J1576" i="2"/>
  <c r="H1576" i="2"/>
  <c r="A1576" i="2"/>
  <c r="J1575" i="2"/>
  <c r="H1575" i="2"/>
  <c r="A1575" i="2"/>
  <c r="J1574" i="2"/>
  <c r="H1574" i="2"/>
  <c r="A1574" i="2"/>
  <c r="J1573" i="2"/>
  <c r="H1573" i="2"/>
  <c r="A1573" i="2"/>
  <c r="J1572" i="2"/>
  <c r="H1572" i="2"/>
  <c r="A1572" i="2"/>
  <c r="J1571" i="2"/>
  <c r="H1571" i="2"/>
  <c r="A1571" i="2"/>
  <c r="J1570" i="2"/>
  <c r="H1570" i="2"/>
  <c r="A1570" i="2"/>
  <c r="J1569" i="2"/>
  <c r="H1569" i="2"/>
  <c r="A1569" i="2"/>
  <c r="J1568" i="2"/>
  <c r="H1568" i="2"/>
  <c r="A1568" i="2"/>
  <c r="J1567" i="2"/>
  <c r="H1567" i="2"/>
  <c r="A1567" i="2"/>
  <c r="J1566" i="2"/>
  <c r="H1566" i="2"/>
  <c r="A1566" i="2"/>
  <c r="J1565" i="2"/>
  <c r="H1565" i="2"/>
  <c r="A1565" i="2"/>
  <c r="J1564" i="2"/>
  <c r="H1564" i="2"/>
  <c r="A1564" i="2"/>
  <c r="J1563" i="2"/>
  <c r="H1563" i="2"/>
  <c r="A1563" i="2"/>
  <c r="J1562" i="2"/>
  <c r="H1562" i="2"/>
  <c r="A1562" i="2"/>
  <c r="J1561" i="2"/>
  <c r="H1561" i="2"/>
  <c r="A1561" i="2"/>
  <c r="J1560" i="2"/>
  <c r="H1560" i="2"/>
  <c r="A1560" i="2"/>
  <c r="J1559" i="2"/>
  <c r="H1559" i="2"/>
  <c r="A1559" i="2"/>
  <c r="J1558" i="2"/>
  <c r="H1558" i="2"/>
  <c r="A1558" i="2"/>
  <c r="J1557" i="2"/>
  <c r="H1557" i="2"/>
  <c r="A1557" i="2"/>
  <c r="J1556" i="2"/>
  <c r="H1556" i="2"/>
  <c r="A1556" i="2"/>
  <c r="J1555" i="2"/>
  <c r="H1555" i="2"/>
  <c r="A1555" i="2"/>
  <c r="J1554" i="2"/>
  <c r="H1554" i="2"/>
  <c r="A1554" i="2"/>
  <c r="J1553" i="2"/>
  <c r="H1553" i="2"/>
  <c r="A1553" i="2"/>
  <c r="J1552" i="2"/>
  <c r="H1552" i="2"/>
  <c r="A1552" i="2"/>
  <c r="J1551" i="2"/>
  <c r="H1551" i="2"/>
  <c r="A1551" i="2"/>
  <c r="J1550" i="2"/>
  <c r="H1550" i="2"/>
  <c r="A1550" i="2"/>
  <c r="J1549" i="2"/>
  <c r="H1549" i="2"/>
  <c r="A1549" i="2"/>
  <c r="J1548" i="2"/>
  <c r="H1548" i="2"/>
  <c r="A1548" i="2"/>
  <c r="J1547" i="2"/>
  <c r="H1547" i="2"/>
  <c r="A1547" i="2"/>
  <c r="J1546" i="2"/>
  <c r="H1546" i="2"/>
  <c r="A1546" i="2"/>
  <c r="J1545" i="2"/>
  <c r="H1545" i="2"/>
  <c r="A1545" i="2"/>
  <c r="J1544" i="2"/>
  <c r="H1544" i="2"/>
  <c r="A1544" i="2"/>
  <c r="J1543" i="2"/>
  <c r="H1543" i="2"/>
  <c r="A1543" i="2"/>
  <c r="J1542" i="2"/>
  <c r="H1542" i="2"/>
  <c r="A1542" i="2"/>
  <c r="J1541" i="2"/>
  <c r="H1541" i="2"/>
  <c r="A1541" i="2"/>
  <c r="J1540" i="2"/>
  <c r="H1540" i="2"/>
  <c r="A1540" i="2"/>
  <c r="J1539" i="2"/>
  <c r="H1539" i="2"/>
  <c r="A1539" i="2"/>
  <c r="J1538" i="2"/>
  <c r="H1538" i="2"/>
  <c r="A1538" i="2"/>
  <c r="J1537" i="2"/>
  <c r="H1537" i="2"/>
  <c r="A1537" i="2"/>
  <c r="J1536" i="2"/>
  <c r="H1536" i="2"/>
  <c r="A1536" i="2"/>
  <c r="J1535" i="2"/>
  <c r="H1535" i="2"/>
  <c r="A1535" i="2"/>
  <c r="J1534" i="2"/>
  <c r="H1534" i="2"/>
  <c r="A1534" i="2"/>
  <c r="J1533" i="2"/>
  <c r="H1533" i="2"/>
  <c r="A1533" i="2"/>
  <c r="J1532" i="2"/>
  <c r="H1532" i="2"/>
  <c r="A1532" i="2"/>
  <c r="J1531" i="2"/>
  <c r="H1531" i="2"/>
  <c r="A1531" i="2"/>
  <c r="J1530" i="2"/>
  <c r="H1530" i="2"/>
  <c r="A1530" i="2"/>
  <c r="J1529" i="2"/>
  <c r="H1529" i="2"/>
  <c r="A1529" i="2"/>
  <c r="J1528" i="2"/>
  <c r="H1528" i="2"/>
  <c r="A1528" i="2"/>
  <c r="J1527" i="2"/>
  <c r="H1527" i="2"/>
  <c r="A1527" i="2"/>
  <c r="J1526" i="2"/>
  <c r="H1526" i="2"/>
  <c r="A1526" i="2"/>
  <c r="J1525" i="2"/>
  <c r="H1525" i="2"/>
  <c r="A1525" i="2"/>
  <c r="J1524" i="2"/>
  <c r="H1524" i="2"/>
  <c r="A1524" i="2"/>
  <c r="J1523" i="2"/>
  <c r="H1523" i="2"/>
  <c r="A1523" i="2"/>
  <c r="J1522" i="2"/>
  <c r="H1522" i="2"/>
  <c r="A1522" i="2"/>
  <c r="J1521" i="2"/>
  <c r="H1521" i="2"/>
  <c r="A1521" i="2"/>
  <c r="J1520" i="2"/>
  <c r="H1520" i="2"/>
  <c r="A1520" i="2"/>
  <c r="J1519" i="2"/>
  <c r="H1519" i="2"/>
  <c r="A1519" i="2"/>
  <c r="J1518" i="2"/>
  <c r="H1518" i="2"/>
  <c r="A1518" i="2"/>
  <c r="J1517" i="2"/>
  <c r="H1517" i="2"/>
  <c r="A1517" i="2"/>
  <c r="J1516" i="2"/>
  <c r="H1516" i="2"/>
  <c r="A1516" i="2"/>
  <c r="J1515" i="2"/>
  <c r="H1515" i="2"/>
  <c r="A1515" i="2"/>
  <c r="J1514" i="2"/>
  <c r="H1514" i="2"/>
  <c r="A1514" i="2"/>
  <c r="J1513" i="2"/>
  <c r="H1513" i="2"/>
  <c r="A1513" i="2"/>
  <c r="J1512" i="2"/>
  <c r="H1512" i="2"/>
  <c r="A1512" i="2"/>
  <c r="J1511" i="2"/>
  <c r="H1511" i="2"/>
  <c r="A1511" i="2"/>
  <c r="J1510" i="2"/>
  <c r="H1510" i="2"/>
  <c r="A1510" i="2"/>
  <c r="J1509" i="2"/>
  <c r="H1509" i="2"/>
  <c r="A1509" i="2"/>
  <c r="J1508" i="2"/>
  <c r="H1508" i="2"/>
  <c r="A1508" i="2"/>
  <c r="J1507" i="2"/>
  <c r="H1507" i="2"/>
  <c r="A1507" i="2"/>
  <c r="J1506" i="2"/>
  <c r="H1506" i="2"/>
  <c r="A1506" i="2"/>
  <c r="J1505" i="2"/>
  <c r="H1505" i="2"/>
  <c r="A1505" i="2"/>
  <c r="J1504" i="2"/>
  <c r="H1504" i="2"/>
  <c r="A1504" i="2"/>
  <c r="J1503" i="2"/>
  <c r="H1503" i="2"/>
  <c r="A1503" i="2"/>
  <c r="J1502" i="2"/>
  <c r="H1502" i="2"/>
  <c r="A1502" i="2"/>
  <c r="J1501" i="2"/>
  <c r="H1501" i="2"/>
  <c r="A1501" i="2"/>
  <c r="J1500" i="2"/>
  <c r="H1500" i="2"/>
  <c r="A1500" i="2"/>
  <c r="J1499" i="2"/>
  <c r="H1499" i="2"/>
  <c r="A1499" i="2"/>
  <c r="J1498" i="2"/>
  <c r="H1498" i="2"/>
  <c r="A1498" i="2"/>
  <c r="J1497" i="2"/>
  <c r="H1497" i="2"/>
  <c r="A1497" i="2"/>
  <c r="J1496" i="2"/>
  <c r="H1496" i="2"/>
  <c r="A1496" i="2"/>
  <c r="J1495" i="2"/>
  <c r="H1495" i="2"/>
  <c r="A1495" i="2"/>
  <c r="J1494" i="2"/>
  <c r="H1494" i="2"/>
  <c r="A1494" i="2"/>
  <c r="J1493" i="2"/>
  <c r="H1493" i="2"/>
  <c r="A1493" i="2"/>
  <c r="J1492" i="2"/>
  <c r="H1492" i="2"/>
  <c r="A1492" i="2"/>
  <c r="J1491" i="2"/>
  <c r="H1491" i="2"/>
  <c r="A1491" i="2"/>
  <c r="J1490" i="2"/>
  <c r="H1490" i="2"/>
  <c r="A1490" i="2"/>
  <c r="J1489" i="2"/>
  <c r="H1489" i="2"/>
  <c r="A1489" i="2"/>
  <c r="J1488" i="2"/>
  <c r="H1488" i="2"/>
  <c r="A1488" i="2"/>
  <c r="J1487" i="2"/>
  <c r="H1487" i="2"/>
  <c r="A1487" i="2"/>
  <c r="J1486" i="2"/>
  <c r="H1486" i="2"/>
  <c r="A1486" i="2"/>
  <c r="J1485" i="2"/>
  <c r="H1485" i="2"/>
  <c r="A1485" i="2"/>
  <c r="J1484" i="2"/>
  <c r="H1484" i="2"/>
  <c r="A1484" i="2"/>
  <c r="J1483" i="2"/>
  <c r="H1483" i="2"/>
  <c r="A1483" i="2"/>
  <c r="J1482" i="2"/>
  <c r="H1482" i="2"/>
  <c r="A1482" i="2"/>
  <c r="J1481" i="2"/>
  <c r="H1481" i="2"/>
  <c r="A1481" i="2"/>
  <c r="J1480" i="2"/>
  <c r="H1480" i="2"/>
  <c r="A1480" i="2"/>
  <c r="J1479" i="2"/>
  <c r="H1479" i="2"/>
  <c r="A1479" i="2"/>
  <c r="J1478" i="2"/>
  <c r="H1478" i="2"/>
  <c r="A1478" i="2"/>
  <c r="J1477" i="2"/>
  <c r="H1477" i="2"/>
  <c r="A1477" i="2"/>
  <c r="J1476" i="2"/>
  <c r="H1476" i="2"/>
  <c r="A1476" i="2"/>
  <c r="J1475" i="2"/>
  <c r="H1475" i="2"/>
  <c r="A1475" i="2"/>
  <c r="J1474" i="2"/>
  <c r="H1474" i="2"/>
  <c r="A1474" i="2"/>
  <c r="J1473" i="2"/>
  <c r="H1473" i="2"/>
  <c r="A1473" i="2"/>
  <c r="J1472" i="2"/>
  <c r="H1472" i="2"/>
  <c r="A1472" i="2"/>
  <c r="J1471" i="2"/>
  <c r="H1471" i="2"/>
  <c r="A1471" i="2"/>
  <c r="J1470" i="2"/>
  <c r="H1470" i="2"/>
  <c r="A1470" i="2"/>
  <c r="J1469" i="2"/>
  <c r="H1469" i="2"/>
  <c r="A1469" i="2"/>
  <c r="J1468" i="2"/>
  <c r="H1468" i="2"/>
  <c r="A1468" i="2"/>
  <c r="J1467" i="2"/>
  <c r="H1467" i="2"/>
  <c r="A1467" i="2"/>
  <c r="J1466" i="2"/>
  <c r="H1466" i="2"/>
  <c r="A1466" i="2"/>
  <c r="J1465" i="2"/>
  <c r="H1465" i="2"/>
  <c r="A1465" i="2"/>
  <c r="J1464" i="2"/>
  <c r="H1464" i="2"/>
  <c r="A1464" i="2"/>
  <c r="J1463" i="2"/>
  <c r="H1463" i="2"/>
  <c r="A1463" i="2"/>
  <c r="J1462" i="2"/>
  <c r="H1462" i="2"/>
  <c r="A1462" i="2"/>
  <c r="J1461" i="2"/>
  <c r="H1461" i="2"/>
  <c r="A1461" i="2"/>
  <c r="J1460" i="2"/>
  <c r="H1460" i="2"/>
  <c r="A1460" i="2"/>
  <c r="J1459" i="2"/>
  <c r="H1459" i="2"/>
  <c r="A1459" i="2"/>
  <c r="J1458" i="2"/>
  <c r="H1458" i="2"/>
  <c r="A1458" i="2"/>
  <c r="J1457" i="2"/>
  <c r="H1457" i="2"/>
  <c r="A1457" i="2"/>
  <c r="J1456" i="2"/>
  <c r="H1456" i="2"/>
  <c r="A1456" i="2"/>
  <c r="J1455" i="2"/>
  <c r="H1455" i="2"/>
  <c r="A1455" i="2"/>
  <c r="J1454" i="2"/>
  <c r="H1454" i="2"/>
  <c r="A1454" i="2"/>
  <c r="J1453" i="2"/>
  <c r="H1453" i="2"/>
  <c r="A1453" i="2"/>
  <c r="J1452" i="2"/>
  <c r="H1452" i="2"/>
  <c r="A1452" i="2"/>
  <c r="J1451" i="2"/>
  <c r="H1451" i="2"/>
  <c r="A1451" i="2"/>
  <c r="J1450" i="2"/>
  <c r="H1450" i="2"/>
  <c r="A1450" i="2"/>
  <c r="J1449" i="2"/>
  <c r="H1449" i="2"/>
  <c r="A1449" i="2"/>
  <c r="J1448" i="2"/>
  <c r="H1448" i="2"/>
  <c r="A1448" i="2"/>
  <c r="J1447" i="2"/>
  <c r="H1447" i="2"/>
  <c r="A1447" i="2"/>
  <c r="J1446" i="2"/>
  <c r="H1446" i="2"/>
  <c r="A1446" i="2"/>
  <c r="J1445" i="2"/>
  <c r="H1445" i="2"/>
  <c r="A1445" i="2"/>
  <c r="J1444" i="2"/>
  <c r="H1444" i="2"/>
  <c r="A1444" i="2"/>
  <c r="J1443" i="2"/>
  <c r="H1443" i="2"/>
  <c r="A1443" i="2"/>
  <c r="J1442" i="2"/>
  <c r="H1442" i="2"/>
  <c r="A1442" i="2"/>
  <c r="J1441" i="2"/>
  <c r="H1441" i="2"/>
  <c r="A1441" i="2"/>
  <c r="J1440" i="2"/>
  <c r="H1440" i="2"/>
  <c r="A1440" i="2"/>
  <c r="J1439" i="2"/>
  <c r="H1439" i="2"/>
  <c r="A1439" i="2"/>
  <c r="J1438" i="2"/>
  <c r="H1438" i="2"/>
  <c r="A1438" i="2"/>
  <c r="J1437" i="2"/>
  <c r="H1437" i="2"/>
  <c r="A1437" i="2"/>
  <c r="J1436" i="2"/>
  <c r="H1436" i="2"/>
  <c r="A1436" i="2"/>
  <c r="J1435" i="2"/>
  <c r="H1435" i="2"/>
  <c r="A1435" i="2"/>
  <c r="J1434" i="2"/>
  <c r="H1434" i="2"/>
  <c r="A1434" i="2"/>
  <c r="J1433" i="2"/>
  <c r="H1433" i="2"/>
  <c r="A1433" i="2"/>
  <c r="J1432" i="2"/>
  <c r="H1432" i="2"/>
  <c r="A1432" i="2"/>
  <c r="J1431" i="2"/>
  <c r="H1431" i="2"/>
  <c r="A1431" i="2"/>
  <c r="J1430" i="2"/>
  <c r="H1430" i="2"/>
  <c r="A1430" i="2"/>
  <c r="J1429" i="2"/>
  <c r="H1429" i="2"/>
  <c r="A1429" i="2"/>
  <c r="J1428" i="2"/>
  <c r="H1428" i="2"/>
  <c r="A1428" i="2"/>
  <c r="J1427" i="2"/>
  <c r="H1427" i="2"/>
  <c r="A1427" i="2"/>
  <c r="J1426" i="2"/>
  <c r="H1426" i="2"/>
  <c r="A1426" i="2"/>
  <c r="J1425" i="2"/>
  <c r="H1425" i="2"/>
  <c r="A1425" i="2"/>
  <c r="J1424" i="2"/>
  <c r="H1424" i="2"/>
  <c r="A1424" i="2"/>
  <c r="J1423" i="2"/>
  <c r="H1423" i="2"/>
  <c r="A1423" i="2"/>
  <c r="J1422" i="2"/>
  <c r="H1422" i="2"/>
  <c r="A1422" i="2"/>
  <c r="J1421" i="2"/>
  <c r="H1421" i="2"/>
  <c r="A1421" i="2"/>
  <c r="J1420" i="2"/>
  <c r="H1420" i="2"/>
  <c r="A1420" i="2"/>
  <c r="J1419" i="2"/>
  <c r="H1419" i="2"/>
  <c r="A1419" i="2"/>
  <c r="J1418" i="2"/>
  <c r="H1418" i="2"/>
  <c r="A1418" i="2"/>
  <c r="J1417" i="2"/>
  <c r="H1417" i="2"/>
  <c r="A1417" i="2"/>
  <c r="J1416" i="2"/>
  <c r="H1416" i="2"/>
  <c r="A1416" i="2"/>
  <c r="J1415" i="2"/>
  <c r="H1415" i="2"/>
  <c r="A1415" i="2"/>
  <c r="J1414" i="2"/>
  <c r="H1414" i="2"/>
  <c r="A1414" i="2"/>
  <c r="J1413" i="2"/>
  <c r="H1413" i="2"/>
  <c r="A1413" i="2"/>
  <c r="J1412" i="2"/>
  <c r="H1412" i="2"/>
  <c r="A1412" i="2"/>
  <c r="J1411" i="2"/>
  <c r="H1411" i="2"/>
  <c r="A1411" i="2"/>
  <c r="J1410" i="2"/>
  <c r="H1410" i="2"/>
  <c r="A1410" i="2"/>
  <c r="J1409" i="2"/>
  <c r="H1409" i="2"/>
  <c r="A1409" i="2"/>
  <c r="J1408" i="2"/>
  <c r="H1408" i="2"/>
  <c r="A1408" i="2"/>
  <c r="J1407" i="2"/>
  <c r="H1407" i="2"/>
  <c r="A1407" i="2"/>
  <c r="J1406" i="2"/>
  <c r="H1406" i="2"/>
  <c r="A1406" i="2"/>
  <c r="J1405" i="2"/>
  <c r="H1405" i="2"/>
  <c r="A1405" i="2"/>
  <c r="J1404" i="2"/>
  <c r="H1404" i="2"/>
  <c r="A1404" i="2"/>
  <c r="J1403" i="2"/>
  <c r="H1403" i="2"/>
  <c r="A1403" i="2"/>
  <c r="J1402" i="2"/>
  <c r="H1402" i="2"/>
  <c r="A1402" i="2"/>
  <c r="J1401" i="2"/>
  <c r="H1401" i="2"/>
  <c r="A1401" i="2"/>
  <c r="J1400" i="2"/>
  <c r="H1400" i="2"/>
  <c r="A1400" i="2"/>
  <c r="J1399" i="2"/>
  <c r="H1399" i="2"/>
  <c r="A1399" i="2"/>
  <c r="J1398" i="2"/>
  <c r="H1398" i="2"/>
  <c r="A1398" i="2"/>
  <c r="J1397" i="2"/>
  <c r="H1397" i="2"/>
  <c r="A1397" i="2"/>
  <c r="J1396" i="2"/>
  <c r="H1396" i="2"/>
  <c r="A1396" i="2"/>
  <c r="J1395" i="2"/>
  <c r="H1395" i="2"/>
  <c r="A1395" i="2"/>
  <c r="J1394" i="2"/>
  <c r="H1394" i="2"/>
  <c r="A1394" i="2"/>
  <c r="J1393" i="2"/>
  <c r="H1393" i="2"/>
  <c r="A1393" i="2"/>
  <c r="J1392" i="2"/>
  <c r="H1392" i="2"/>
  <c r="A1392" i="2"/>
  <c r="J1391" i="2"/>
  <c r="H1391" i="2"/>
  <c r="A1391" i="2"/>
  <c r="J1390" i="2"/>
  <c r="H1390" i="2"/>
  <c r="A1390" i="2"/>
  <c r="J1389" i="2"/>
  <c r="H1389" i="2"/>
  <c r="A1389" i="2"/>
  <c r="J1388" i="2"/>
  <c r="H1388" i="2"/>
  <c r="A1388" i="2"/>
  <c r="J1387" i="2"/>
  <c r="H1387" i="2"/>
  <c r="A1387" i="2"/>
  <c r="J1386" i="2"/>
  <c r="H1386" i="2"/>
  <c r="A1386" i="2"/>
  <c r="J1385" i="2"/>
  <c r="H1385" i="2"/>
  <c r="A1385" i="2"/>
  <c r="J1384" i="2"/>
  <c r="H1384" i="2"/>
  <c r="A1384" i="2"/>
  <c r="J1383" i="2"/>
  <c r="H1383" i="2"/>
  <c r="A1383" i="2"/>
  <c r="J1382" i="2"/>
  <c r="H1382" i="2"/>
  <c r="A1382" i="2"/>
  <c r="J1381" i="2"/>
  <c r="H1381" i="2"/>
  <c r="A1381" i="2"/>
  <c r="J1380" i="2"/>
  <c r="H1380" i="2"/>
  <c r="A1380" i="2"/>
  <c r="J1379" i="2"/>
  <c r="H1379" i="2"/>
  <c r="A1379" i="2"/>
  <c r="J1378" i="2"/>
  <c r="H1378" i="2"/>
  <c r="A1378" i="2"/>
  <c r="J1377" i="2"/>
  <c r="H1377" i="2"/>
  <c r="A1377" i="2"/>
  <c r="J1376" i="2"/>
  <c r="H1376" i="2"/>
  <c r="A1376" i="2"/>
  <c r="J1375" i="2"/>
  <c r="H1375" i="2"/>
  <c r="A1375" i="2"/>
  <c r="J1374" i="2"/>
  <c r="H1374" i="2"/>
  <c r="A1374" i="2"/>
  <c r="J1373" i="2"/>
  <c r="H1373" i="2"/>
  <c r="A1373" i="2"/>
  <c r="J1372" i="2"/>
  <c r="H1372" i="2"/>
  <c r="A1372" i="2"/>
  <c r="J1371" i="2"/>
  <c r="H1371" i="2"/>
  <c r="A1371" i="2"/>
  <c r="J1370" i="2"/>
  <c r="H1370" i="2"/>
  <c r="A1370" i="2"/>
  <c r="J1369" i="2"/>
  <c r="H1369" i="2"/>
  <c r="A1369" i="2"/>
  <c r="J1368" i="2"/>
  <c r="H1368" i="2"/>
  <c r="A1368" i="2"/>
  <c r="J1367" i="2"/>
  <c r="H1367" i="2"/>
  <c r="A1367" i="2"/>
  <c r="J1366" i="2"/>
  <c r="H1366" i="2"/>
  <c r="A1366" i="2"/>
  <c r="J1365" i="2"/>
  <c r="H1365" i="2"/>
  <c r="A1365" i="2"/>
  <c r="J1364" i="2"/>
  <c r="H1364" i="2"/>
  <c r="A1364" i="2"/>
  <c r="J1363" i="2"/>
  <c r="H1363" i="2"/>
  <c r="A1363" i="2"/>
  <c r="J1362" i="2"/>
  <c r="H1362" i="2"/>
  <c r="A1362" i="2"/>
  <c r="J1361" i="2"/>
  <c r="H1361" i="2"/>
  <c r="A1361" i="2"/>
  <c r="J1360" i="2"/>
  <c r="H1360" i="2"/>
  <c r="A1360" i="2"/>
  <c r="J1359" i="2"/>
  <c r="H1359" i="2"/>
  <c r="A1359" i="2"/>
  <c r="J1358" i="2"/>
  <c r="H1358" i="2"/>
  <c r="A1358" i="2"/>
  <c r="J1357" i="2"/>
  <c r="H1357" i="2"/>
  <c r="A1357" i="2"/>
  <c r="J1356" i="2"/>
  <c r="H1356" i="2"/>
  <c r="A1356" i="2"/>
  <c r="J1355" i="2"/>
  <c r="H1355" i="2"/>
  <c r="A1355" i="2"/>
  <c r="J1354" i="2"/>
  <c r="H1354" i="2"/>
  <c r="A1354" i="2"/>
  <c r="J1353" i="2"/>
  <c r="H1353" i="2"/>
  <c r="A1353" i="2"/>
  <c r="J1352" i="2"/>
  <c r="H1352" i="2"/>
  <c r="A1352" i="2"/>
  <c r="J1351" i="2"/>
  <c r="H1351" i="2"/>
  <c r="A1351" i="2"/>
  <c r="J1350" i="2"/>
  <c r="H1350" i="2"/>
  <c r="A1350" i="2"/>
  <c r="J1349" i="2"/>
  <c r="H1349" i="2"/>
  <c r="A1349" i="2"/>
  <c r="J1348" i="2"/>
  <c r="H1348" i="2"/>
  <c r="A1348" i="2"/>
  <c r="J1347" i="2"/>
  <c r="H1347" i="2"/>
  <c r="A1347" i="2"/>
  <c r="J1346" i="2"/>
  <c r="H1346" i="2"/>
  <c r="A1346" i="2"/>
  <c r="J1345" i="2"/>
  <c r="H1345" i="2"/>
  <c r="A1345" i="2"/>
  <c r="J1344" i="2"/>
  <c r="H1344" i="2"/>
  <c r="A1344" i="2"/>
  <c r="J1343" i="2"/>
  <c r="H1343" i="2"/>
  <c r="A1343" i="2"/>
  <c r="J1342" i="2"/>
  <c r="H1342" i="2"/>
  <c r="A1342" i="2"/>
  <c r="J1341" i="2"/>
  <c r="H1341" i="2"/>
  <c r="A1341" i="2"/>
  <c r="J1340" i="2"/>
  <c r="H1340" i="2"/>
  <c r="A1340" i="2"/>
  <c r="J1339" i="2"/>
  <c r="H1339" i="2"/>
  <c r="A1339" i="2"/>
  <c r="J1338" i="2"/>
  <c r="H1338" i="2"/>
  <c r="A1338" i="2"/>
  <c r="J1337" i="2"/>
  <c r="H1337" i="2"/>
  <c r="A1337" i="2"/>
  <c r="J1336" i="2"/>
  <c r="H1336" i="2"/>
  <c r="A1336" i="2"/>
  <c r="J1335" i="2"/>
  <c r="H1335" i="2"/>
  <c r="A1335" i="2"/>
  <c r="J1334" i="2"/>
  <c r="H1334" i="2"/>
  <c r="A1334" i="2"/>
  <c r="J1333" i="2"/>
  <c r="H1333" i="2"/>
  <c r="A1333" i="2"/>
  <c r="J1332" i="2"/>
  <c r="H1332" i="2"/>
  <c r="A1332" i="2"/>
  <c r="J1331" i="2"/>
  <c r="H1331" i="2"/>
  <c r="A1331" i="2"/>
  <c r="J1330" i="2"/>
  <c r="H1330" i="2"/>
  <c r="A1330" i="2"/>
  <c r="J1329" i="2"/>
  <c r="H1329" i="2"/>
  <c r="A1329" i="2"/>
  <c r="J1328" i="2"/>
  <c r="H1328" i="2"/>
  <c r="A1328" i="2"/>
  <c r="J1327" i="2"/>
  <c r="H1327" i="2"/>
  <c r="A1327" i="2"/>
  <c r="J1326" i="2"/>
  <c r="H1326" i="2"/>
  <c r="A1326" i="2"/>
  <c r="J1325" i="2"/>
  <c r="H1325" i="2"/>
  <c r="A1325" i="2"/>
  <c r="J1324" i="2"/>
  <c r="H1324" i="2"/>
  <c r="A1324" i="2"/>
  <c r="J1323" i="2"/>
  <c r="H1323" i="2"/>
  <c r="A1323" i="2"/>
  <c r="J1322" i="2"/>
  <c r="H1322" i="2"/>
  <c r="A1322" i="2"/>
  <c r="J1321" i="2"/>
  <c r="H1321" i="2"/>
  <c r="A1321" i="2"/>
  <c r="J1320" i="2"/>
  <c r="H1320" i="2"/>
  <c r="A1320" i="2"/>
  <c r="J1319" i="2"/>
  <c r="H1319" i="2"/>
  <c r="A1319" i="2"/>
  <c r="J1318" i="2"/>
  <c r="H1318" i="2"/>
  <c r="A1318" i="2"/>
  <c r="J1317" i="2"/>
  <c r="H1317" i="2"/>
  <c r="A1317" i="2"/>
  <c r="J1316" i="2"/>
  <c r="H1316" i="2"/>
  <c r="A1316" i="2"/>
  <c r="J1315" i="2"/>
  <c r="H1315" i="2"/>
  <c r="A1315" i="2"/>
  <c r="J1314" i="2"/>
  <c r="H1314" i="2"/>
  <c r="A1314" i="2"/>
  <c r="J1313" i="2"/>
  <c r="H1313" i="2"/>
  <c r="A1313" i="2"/>
  <c r="J1312" i="2"/>
  <c r="H1312" i="2"/>
  <c r="A1312" i="2"/>
  <c r="J1311" i="2"/>
  <c r="H1311" i="2"/>
  <c r="A1311" i="2"/>
  <c r="J1310" i="2"/>
  <c r="H1310" i="2"/>
  <c r="A1310" i="2"/>
  <c r="J1309" i="2"/>
  <c r="H1309" i="2"/>
  <c r="A1309" i="2"/>
  <c r="J1308" i="2"/>
  <c r="H1308" i="2"/>
  <c r="A1308" i="2"/>
  <c r="J1307" i="2"/>
  <c r="H1307" i="2"/>
  <c r="A1307" i="2"/>
  <c r="J1306" i="2"/>
  <c r="H1306" i="2"/>
  <c r="A1306" i="2"/>
  <c r="J1305" i="2"/>
  <c r="H1305" i="2"/>
  <c r="A1305" i="2"/>
  <c r="J1304" i="2"/>
  <c r="H1304" i="2"/>
  <c r="A1304" i="2"/>
  <c r="J1303" i="2"/>
  <c r="H1303" i="2"/>
  <c r="A1303" i="2"/>
  <c r="J1302" i="2"/>
  <c r="H1302" i="2"/>
  <c r="A1302" i="2"/>
  <c r="J1301" i="2"/>
  <c r="H1301" i="2"/>
  <c r="A1301" i="2"/>
  <c r="J1300" i="2"/>
  <c r="H1300" i="2"/>
  <c r="A1300" i="2"/>
  <c r="J1299" i="2"/>
  <c r="H1299" i="2"/>
  <c r="A1299" i="2"/>
  <c r="J1298" i="2"/>
  <c r="H1298" i="2"/>
  <c r="A1298" i="2"/>
  <c r="J1297" i="2"/>
  <c r="H1297" i="2"/>
  <c r="A1297" i="2"/>
  <c r="J1296" i="2"/>
  <c r="H1296" i="2"/>
  <c r="A1296" i="2"/>
  <c r="J1295" i="2"/>
  <c r="H1295" i="2"/>
  <c r="A1295" i="2"/>
  <c r="J1294" i="2"/>
  <c r="H1294" i="2"/>
  <c r="A1294" i="2"/>
  <c r="J1293" i="2"/>
  <c r="H1293" i="2"/>
  <c r="A1293" i="2"/>
  <c r="J1292" i="2"/>
  <c r="H1292" i="2"/>
  <c r="A1292" i="2"/>
  <c r="J1291" i="2"/>
  <c r="H1291" i="2"/>
  <c r="A1291" i="2"/>
  <c r="J1290" i="2"/>
  <c r="H1290" i="2"/>
  <c r="A1290" i="2"/>
  <c r="J1289" i="2"/>
  <c r="H1289" i="2"/>
  <c r="A1289" i="2"/>
  <c r="J1288" i="2"/>
  <c r="H1288" i="2"/>
  <c r="A1288" i="2"/>
  <c r="J1287" i="2"/>
  <c r="H1287" i="2"/>
  <c r="A1287" i="2"/>
  <c r="J1286" i="2"/>
  <c r="H1286" i="2"/>
  <c r="A1286" i="2"/>
  <c r="J1285" i="2"/>
  <c r="H1285" i="2"/>
  <c r="A1285" i="2"/>
  <c r="J1284" i="2"/>
  <c r="H1284" i="2"/>
  <c r="A1284" i="2"/>
  <c r="J1283" i="2"/>
  <c r="H1283" i="2"/>
  <c r="A1283" i="2"/>
  <c r="J1282" i="2"/>
  <c r="H1282" i="2"/>
  <c r="A1282" i="2"/>
  <c r="J1281" i="2"/>
  <c r="H1281" i="2"/>
  <c r="A1281" i="2"/>
  <c r="J1280" i="2"/>
  <c r="H1280" i="2"/>
  <c r="A1280" i="2"/>
  <c r="J1279" i="2"/>
  <c r="H1279" i="2"/>
  <c r="A1279" i="2"/>
  <c r="J1278" i="2"/>
  <c r="H1278" i="2"/>
  <c r="A1278" i="2"/>
  <c r="J1277" i="2"/>
  <c r="H1277" i="2"/>
  <c r="A1277" i="2"/>
  <c r="J1276" i="2"/>
  <c r="H1276" i="2"/>
  <c r="A1276" i="2"/>
  <c r="J1275" i="2"/>
  <c r="H1275" i="2"/>
  <c r="A1275" i="2"/>
  <c r="J1274" i="2"/>
  <c r="H1274" i="2"/>
  <c r="A1274" i="2"/>
  <c r="J1273" i="2"/>
  <c r="H1273" i="2"/>
  <c r="A1273" i="2"/>
  <c r="J1272" i="2"/>
  <c r="H1272" i="2"/>
  <c r="A1272" i="2"/>
  <c r="J1271" i="2"/>
  <c r="H1271" i="2"/>
  <c r="A1271" i="2"/>
  <c r="J1270" i="2"/>
  <c r="H1270" i="2"/>
  <c r="A1270" i="2"/>
  <c r="J1269" i="2"/>
  <c r="H1269" i="2"/>
  <c r="A1269" i="2"/>
  <c r="J1268" i="2"/>
  <c r="H1268" i="2"/>
  <c r="A1268" i="2"/>
  <c r="J1267" i="2"/>
  <c r="H1267" i="2"/>
  <c r="A1267" i="2"/>
  <c r="J1266" i="2"/>
  <c r="H1266" i="2"/>
  <c r="A1266" i="2"/>
  <c r="J1265" i="2"/>
  <c r="H1265" i="2"/>
  <c r="A1265" i="2"/>
  <c r="J1264" i="2"/>
  <c r="H1264" i="2"/>
  <c r="A1264" i="2"/>
  <c r="J1263" i="2"/>
  <c r="H1263" i="2"/>
  <c r="A1263" i="2"/>
  <c r="J1262" i="2"/>
  <c r="H1262" i="2"/>
  <c r="A1262" i="2"/>
  <c r="J1261" i="2"/>
  <c r="H1261" i="2"/>
  <c r="A1261" i="2"/>
  <c r="J1260" i="2"/>
  <c r="H1260" i="2"/>
  <c r="A1260" i="2"/>
  <c r="J1259" i="2"/>
  <c r="H1259" i="2"/>
  <c r="A1259" i="2"/>
  <c r="J1258" i="2"/>
  <c r="H1258" i="2"/>
  <c r="A1258" i="2"/>
  <c r="J1257" i="2"/>
  <c r="H1257" i="2"/>
  <c r="A1257" i="2"/>
  <c r="J1256" i="2"/>
  <c r="H1256" i="2"/>
  <c r="A1256" i="2"/>
  <c r="J1255" i="2"/>
  <c r="H1255" i="2"/>
  <c r="A1255" i="2"/>
  <c r="J1254" i="2"/>
  <c r="H1254" i="2"/>
  <c r="A1254" i="2"/>
  <c r="J1253" i="2"/>
  <c r="H1253" i="2"/>
  <c r="A1253" i="2"/>
  <c r="J1252" i="2"/>
  <c r="H1252" i="2"/>
  <c r="A1252" i="2"/>
  <c r="J1251" i="2"/>
  <c r="H1251" i="2"/>
  <c r="A1251" i="2"/>
  <c r="J1250" i="2"/>
  <c r="H1250" i="2"/>
  <c r="A1250" i="2"/>
  <c r="J1249" i="2"/>
  <c r="H1249" i="2"/>
  <c r="A1249" i="2"/>
  <c r="J1248" i="2"/>
  <c r="H1248" i="2"/>
  <c r="A1248" i="2"/>
  <c r="J1247" i="2"/>
  <c r="H1247" i="2"/>
  <c r="A1247" i="2"/>
  <c r="J1246" i="2"/>
  <c r="H1246" i="2"/>
  <c r="A1246" i="2"/>
  <c r="J1245" i="2"/>
  <c r="H1245" i="2"/>
  <c r="A1245" i="2"/>
  <c r="J1244" i="2"/>
  <c r="H1244" i="2"/>
  <c r="A1244" i="2"/>
  <c r="J1243" i="2"/>
  <c r="H1243" i="2"/>
  <c r="A1243" i="2"/>
  <c r="J1242" i="2"/>
  <c r="H1242" i="2"/>
  <c r="A1242" i="2"/>
  <c r="J1241" i="2"/>
  <c r="H1241" i="2"/>
  <c r="A1241" i="2"/>
  <c r="J1240" i="2"/>
  <c r="H1240" i="2"/>
  <c r="A1240" i="2"/>
  <c r="J1239" i="2"/>
  <c r="H1239" i="2"/>
  <c r="A1239" i="2"/>
  <c r="J1238" i="2"/>
  <c r="H1238" i="2"/>
  <c r="A1238" i="2"/>
  <c r="J1237" i="2"/>
  <c r="H1237" i="2"/>
  <c r="A1237" i="2"/>
  <c r="J1236" i="2"/>
  <c r="H1236" i="2"/>
  <c r="A1236" i="2"/>
  <c r="J1235" i="2"/>
  <c r="H1235" i="2"/>
  <c r="A1235" i="2"/>
  <c r="J1234" i="2"/>
  <c r="H1234" i="2"/>
  <c r="A1234" i="2"/>
  <c r="J1233" i="2"/>
  <c r="H1233" i="2"/>
  <c r="A1233" i="2"/>
  <c r="J1232" i="2"/>
  <c r="H1232" i="2"/>
  <c r="A1232" i="2"/>
  <c r="J1231" i="2"/>
  <c r="H1231" i="2"/>
  <c r="A1231" i="2"/>
  <c r="J1230" i="2"/>
  <c r="H1230" i="2"/>
  <c r="A1230" i="2"/>
  <c r="J1229" i="2"/>
  <c r="H1229" i="2"/>
  <c r="A1229" i="2"/>
  <c r="J1228" i="2"/>
  <c r="H1228" i="2"/>
  <c r="A1228" i="2"/>
  <c r="J1227" i="2"/>
  <c r="H1227" i="2"/>
  <c r="A1227" i="2"/>
  <c r="J1226" i="2"/>
  <c r="H1226" i="2"/>
  <c r="A1226" i="2"/>
  <c r="J1225" i="2"/>
  <c r="H1225" i="2"/>
  <c r="A1225" i="2"/>
  <c r="J1224" i="2"/>
  <c r="H1224" i="2"/>
  <c r="A1224" i="2"/>
  <c r="J1223" i="2"/>
  <c r="H1223" i="2"/>
  <c r="A1223" i="2"/>
  <c r="J1222" i="2"/>
  <c r="H1222" i="2"/>
  <c r="A1222" i="2"/>
  <c r="J1221" i="2"/>
  <c r="H1221" i="2"/>
  <c r="A1221" i="2"/>
  <c r="J1220" i="2"/>
  <c r="H1220" i="2"/>
  <c r="A1220" i="2"/>
  <c r="J1219" i="2"/>
  <c r="H1219" i="2"/>
  <c r="A1219" i="2"/>
  <c r="J1218" i="2"/>
  <c r="H1218" i="2"/>
  <c r="A1218" i="2"/>
  <c r="J1217" i="2"/>
  <c r="H1217" i="2"/>
  <c r="A1217" i="2"/>
  <c r="J1216" i="2"/>
  <c r="H1216" i="2"/>
  <c r="A1216" i="2"/>
  <c r="J1215" i="2"/>
  <c r="H1215" i="2"/>
  <c r="A1215" i="2"/>
  <c r="J1214" i="2"/>
  <c r="H1214" i="2"/>
  <c r="A1214" i="2"/>
  <c r="J1213" i="2"/>
  <c r="H1213" i="2"/>
  <c r="A1213" i="2"/>
  <c r="J1212" i="2"/>
  <c r="H1212" i="2"/>
  <c r="A1212" i="2"/>
  <c r="J1211" i="2"/>
  <c r="H1211" i="2"/>
  <c r="A1211" i="2"/>
  <c r="J1210" i="2"/>
  <c r="H1210" i="2"/>
  <c r="A1210" i="2"/>
  <c r="J1209" i="2"/>
  <c r="H1209" i="2"/>
  <c r="A1209" i="2"/>
  <c r="J1208" i="2"/>
  <c r="H1208" i="2"/>
  <c r="A1208" i="2"/>
  <c r="J1207" i="2"/>
  <c r="H1207" i="2"/>
  <c r="A1207" i="2"/>
  <c r="J1206" i="2"/>
  <c r="H1206" i="2"/>
  <c r="A1206" i="2"/>
  <c r="J1205" i="2"/>
  <c r="H1205" i="2"/>
  <c r="A1205" i="2"/>
  <c r="J1204" i="2"/>
  <c r="H1204" i="2"/>
  <c r="A1204" i="2"/>
  <c r="J1203" i="2"/>
  <c r="H1203" i="2"/>
  <c r="A1203" i="2"/>
  <c r="J1202" i="2"/>
  <c r="H1202" i="2"/>
  <c r="A1202" i="2"/>
  <c r="J1201" i="2"/>
  <c r="H1201" i="2"/>
  <c r="A1201" i="2"/>
  <c r="J1200" i="2"/>
  <c r="H1200" i="2"/>
  <c r="A1200" i="2"/>
  <c r="J1199" i="2"/>
  <c r="H1199" i="2"/>
  <c r="A1199" i="2"/>
  <c r="J1198" i="2"/>
  <c r="H1198" i="2"/>
  <c r="A1198" i="2"/>
  <c r="J1197" i="2"/>
  <c r="H1197" i="2"/>
  <c r="A1197" i="2"/>
  <c r="J1196" i="2"/>
  <c r="H1196" i="2"/>
  <c r="A1196" i="2"/>
  <c r="J1195" i="2"/>
  <c r="H1195" i="2"/>
  <c r="A1195" i="2"/>
  <c r="J1194" i="2"/>
  <c r="H1194" i="2"/>
  <c r="A1194" i="2"/>
  <c r="J1193" i="2"/>
  <c r="H1193" i="2"/>
  <c r="A1193" i="2"/>
  <c r="J1192" i="2"/>
  <c r="H1192" i="2"/>
  <c r="A1192" i="2"/>
  <c r="J1191" i="2"/>
  <c r="H1191" i="2"/>
  <c r="A1191" i="2"/>
  <c r="J1190" i="2"/>
  <c r="H1190" i="2"/>
  <c r="A1190" i="2"/>
  <c r="J1189" i="2"/>
  <c r="H1189" i="2"/>
  <c r="A1189" i="2"/>
  <c r="J1188" i="2"/>
  <c r="H1188" i="2"/>
  <c r="A1188" i="2"/>
  <c r="J1187" i="2"/>
  <c r="H1187" i="2"/>
  <c r="A1187" i="2"/>
  <c r="J1186" i="2"/>
  <c r="H1186" i="2"/>
  <c r="A1186" i="2"/>
  <c r="J1185" i="2"/>
  <c r="H1185" i="2"/>
  <c r="A1185" i="2"/>
  <c r="J1184" i="2"/>
  <c r="H1184" i="2"/>
  <c r="A1184" i="2"/>
  <c r="J1183" i="2"/>
  <c r="H1183" i="2"/>
  <c r="A1183" i="2"/>
  <c r="J1182" i="2"/>
  <c r="H1182" i="2"/>
  <c r="A1182" i="2"/>
  <c r="J1181" i="2"/>
  <c r="H1181" i="2"/>
  <c r="A1181" i="2"/>
  <c r="J1180" i="2"/>
  <c r="H1180" i="2"/>
  <c r="A1180" i="2"/>
  <c r="J1179" i="2"/>
  <c r="H1179" i="2"/>
  <c r="A1179" i="2"/>
  <c r="J1178" i="2"/>
  <c r="H1178" i="2"/>
  <c r="A1178" i="2"/>
  <c r="J1177" i="2"/>
  <c r="H1177" i="2"/>
  <c r="A1177" i="2"/>
  <c r="J1176" i="2"/>
  <c r="H1176" i="2"/>
  <c r="A1176" i="2"/>
  <c r="J1175" i="2"/>
  <c r="H1175" i="2"/>
  <c r="A1175" i="2"/>
  <c r="J1174" i="2"/>
  <c r="H1174" i="2"/>
  <c r="A1174" i="2"/>
  <c r="J1173" i="2"/>
  <c r="H1173" i="2"/>
  <c r="A1173" i="2"/>
  <c r="J1172" i="2"/>
  <c r="H1172" i="2"/>
  <c r="A1172" i="2"/>
  <c r="J1171" i="2"/>
  <c r="H1171" i="2"/>
  <c r="A1171" i="2"/>
  <c r="J1170" i="2"/>
  <c r="H1170" i="2"/>
  <c r="A1170" i="2"/>
  <c r="J1169" i="2"/>
  <c r="H1169" i="2"/>
  <c r="A1169" i="2"/>
  <c r="J1168" i="2"/>
  <c r="H1168" i="2"/>
  <c r="A1168" i="2"/>
  <c r="J1167" i="2"/>
  <c r="H1167" i="2"/>
  <c r="A1167" i="2"/>
  <c r="J1166" i="2"/>
  <c r="H1166" i="2"/>
  <c r="A1166" i="2"/>
  <c r="J1165" i="2"/>
  <c r="H1165" i="2"/>
  <c r="A1165" i="2"/>
  <c r="J1164" i="2"/>
  <c r="H1164" i="2"/>
  <c r="A1164" i="2"/>
  <c r="J1163" i="2"/>
  <c r="H1163" i="2"/>
  <c r="A1163" i="2"/>
  <c r="J1162" i="2"/>
  <c r="H1162" i="2"/>
  <c r="A1162" i="2"/>
  <c r="J1161" i="2"/>
  <c r="H1161" i="2"/>
  <c r="A1161" i="2"/>
  <c r="J1160" i="2"/>
  <c r="H1160" i="2"/>
  <c r="A1160" i="2"/>
  <c r="J1159" i="2"/>
  <c r="H1159" i="2"/>
  <c r="A1159" i="2"/>
  <c r="J1158" i="2"/>
  <c r="H1158" i="2"/>
  <c r="A1158" i="2"/>
  <c r="J1157" i="2"/>
  <c r="H1157" i="2"/>
  <c r="A1157" i="2"/>
  <c r="J1156" i="2"/>
  <c r="H1156" i="2"/>
  <c r="A1156" i="2"/>
  <c r="J1155" i="2"/>
  <c r="H1155" i="2"/>
  <c r="A1155" i="2"/>
  <c r="J1154" i="2"/>
  <c r="H1154" i="2"/>
  <c r="A1154" i="2"/>
  <c r="J1153" i="2"/>
  <c r="H1153" i="2"/>
  <c r="A1153" i="2"/>
  <c r="J1152" i="2"/>
  <c r="H1152" i="2"/>
  <c r="A1152" i="2"/>
  <c r="J1151" i="2"/>
  <c r="H1151" i="2"/>
  <c r="A1151" i="2"/>
  <c r="J1150" i="2"/>
  <c r="H1150" i="2"/>
  <c r="A1150" i="2"/>
  <c r="J1149" i="2"/>
  <c r="H1149" i="2"/>
  <c r="A1149" i="2"/>
  <c r="J1148" i="2"/>
  <c r="H1148" i="2"/>
  <c r="A1148" i="2"/>
  <c r="J1147" i="2"/>
  <c r="H1147" i="2"/>
  <c r="A1147" i="2"/>
  <c r="J1146" i="2"/>
  <c r="H1146" i="2"/>
  <c r="A1146" i="2"/>
  <c r="J1145" i="2"/>
  <c r="H1145" i="2"/>
  <c r="A1145" i="2"/>
  <c r="J1144" i="2"/>
  <c r="H1144" i="2"/>
  <c r="A1144" i="2"/>
  <c r="J1143" i="2"/>
  <c r="H1143" i="2"/>
  <c r="A1143" i="2"/>
  <c r="J1142" i="2"/>
  <c r="H1142" i="2"/>
  <c r="A1142" i="2"/>
  <c r="J1141" i="2"/>
  <c r="H1141" i="2"/>
  <c r="A1141" i="2"/>
  <c r="J1140" i="2"/>
  <c r="H1140" i="2"/>
  <c r="A1140" i="2"/>
  <c r="J1139" i="2"/>
  <c r="H1139" i="2"/>
  <c r="A1139" i="2"/>
  <c r="J1138" i="2"/>
  <c r="H1138" i="2"/>
  <c r="A1138" i="2"/>
  <c r="J1137" i="2"/>
  <c r="H1137" i="2"/>
  <c r="A1137" i="2"/>
  <c r="J1136" i="2"/>
  <c r="H1136" i="2"/>
  <c r="A1136" i="2"/>
  <c r="J1135" i="2"/>
  <c r="H1135" i="2"/>
  <c r="A1135" i="2"/>
  <c r="J1134" i="2"/>
  <c r="H1134" i="2"/>
  <c r="A1134" i="2"/>
  <c r="J1133" i="2"/>
  <c r="H1133" i="2"/>
  <c r="A1133" i="2"/>
  <c r="J1132" i="2"/>
  <c r="H1132" i="2"/>
  <c r="A1132" i="2"/>
  <c r="J1131" i="2"/>
  <c r="H1131" i="2"/>
  <c r="A1131" i="2"/>
  <c r="J1130" i="2"/>
  <c r="H1130" i="2"/>
  <c r="A1130" i="2"/>
  <c r="J1129" i="2"/>
  <c r="H1129" i="2"/>
  <c r="A1129" i="2"/>
  <c r="J1128" i="2"/>
  <c r="H1128" i="2"/>
  <c r="A1128" i="2"/>
  <c r="J1127" i="2"/>
  <c r="H1127" i="2"/>
  <c r="A1127" i="2"/>
  <c r="J1126" i="2"/>
  <c r="H1126" i="2"/>
  <c r="A1126" i="2"/>
  <c r="J1125" i="2"/>
  <c r="H1125" i="2"/>
  <c r="A1125" i="2"/>
  <c r="J1124" i="2"/>
  <c r="H1124" i="2"/>
  <c r="A1124" i="2"/>
  <c r="J1123" i="2"/>
  <c r="H1123" i="2"/>
  <c r="A1123" i="2"/>
  <c r="J1122" i="2"/>
  <c r="H1122" i="2"/>
  <c r="A1122" i="2"/>
  <c r="J1121" i="2"/>
  <c r="H1121" i="2"/>
  <c r="A1121" i="2"/>
  <c r="J1120" i="2"/>
  <c r="H1120" i="2"/>
  <c r="A1120" i="2"/>
  <c r="J1119" i="2"/>
  <c r="H1119" i="2"/>
  <c r="A1119" i="2"/>
  <c r="J1118" i="2"/>
  <c r="H1118" i="2"/>
  <c r="A1118" i="2"/>
  <c r="J1117" i="2"/>
  <c r="H1117" i="2"/>
  <c r="A1117" i="2"/>
  <c r="J1116" i="2"/>
  <c r="H1116" i="2"/>
  <c r="A1116" i="2"/>
  <c r="J1115" i="2"/>
  <c r="H1115" i="2"/>
  <c r="A1115" i="2"/>
  <c r="J1114" i="2"/>
  <c r="H1114" i="2"/>
  <c r="A1114" i="2"/>
  <c r="J1113" i="2"/>
  <c r="H1113" i="2"/>
  <c r="A1113" i="2"/>
  <c r="J1112" i="2"/>
  <c r="H1112" i="2"/>
  <c r="A1112" i="2"/>
  <c r="J1111" i="2"/>
  <c r="H1111" i="2"/>
  <c r="A1111" i="2"/>
  <c r="J1110" i="2"/>
  <c r="H1110" i="2"/>
  <c r="A1110" i="2"/>
  <c r="J1109" i="2"/>
  <c r="H1109" i="2"/>
  <c r="A1109" i="2"/>
  <c r="J1108" i="2"/>
  <c r="H1108" i="2"/>
  <c r="A1108" i="2"/>
  <c r="J1107" i="2"/>
  <c r="H1107" i="2"/>
  <c r="A1107" i="2"/>
  <c r="J1106" i="2"/>
  <c r="H1106" i="2"/>
  <c r="A1106" i="2"/>
  <c r="J1105" i="2"/>
  <c r="H1105" i="2"/>
  <c r="A1105" i="2"/>
  <c r="J1104" i="2"/>
  <c r="H1104" i="2"/>
  <c r="A1104" i="2"/>
  <c r="J1103" i="2"/>
  <c r="H1103" i="2"/>
  <c r="A1103" i="2"/>
  <c r="J1102" i="2"/>
  <c r="H1102" i="2"/>
  <c r="A1102" i="2"/>
  <c r="J1101" i="2"/>
  <c r="H1101" i="2"/>
  <c r="A1101" i="2"/>
  <c r="J1100" i="2"/>
  <c r="H1100" i="2"/>
  <c r="A1100" i="2"/>
  <c r="J1099" i="2"/>
  <c r="H1099" i="2"/>
  <c r="A1099" i="2"/>
  <c r="J1098" i="2"/>
  <c r="H1098" i="2"/>
  <c r="A1098" i="2"/>
  <c r="J1097" i="2"/>
  <c r="H1097" i="2"/>
  <c r="A1097" i="2"/>
  <c r="J1096" i="2"/>
  <c r="H1096" i="2"/>
  <c r="A1096" i="2"/>
  <c r="J1095" i="2"/>
  <c r="H1095" i="2"/>
  <c r="A1095" i="2"/>
  <c r="J1094" i="2"/>
  <c r="H1094" i="2"/>
  <c r="A1094" i="2"/>
  <c r="J1093" i="2"/>
  <c r="H1093" i="2"/>
  <c r="A1093" i="2"/>
  <c r="J1092" i="2"/>
  <c r="H1092" i="2"/>
  <c r="A1092" i="2"/>
  <c r="J1091" i="2"/>
  <c r="H1091" i="2"/>
  <c r="A1091" i="2"/>
  <c r="J1090" i="2"/>
  <c r="H1090" i="2"/>
  <c r="A1090" i="2"/>
  <c r="J1089" i="2"/>
  <c r="H1089" i="2"/>
  <c r="A1089" i="2"/>
  <c r="J1088" i="2"/>
  <c r="H1088" i="2"/>
  <c r="A1088" i="2"/>
  <c r="J1087" i="2"/>
  <c r="H1087" i="2"/>
  <c r="A1087" i="2"/>
  <c r="J1086" i="2"/>
  <c r="H1086" i="2"/>
  <c r="A1086" i="2"/>
  <c r="J1085" i="2"/>
  <c r="H1085" i="2"/>
  <c r="A1085" i="2"/>
  <c r="J1084" i="2"/>
  <c r="H1084" i="2"/>
  <c r="A1084" i="2"/>
  <c r="J1083" i="2"/>
  <c r="H1083" i="2"/>
  <c r="A1083" i="2"/>
  <c r="J1082" i="2"/>
  <c r="H1082" i="2"/>
  <c r="A1082" i="2"/>
  <c r="J1081" i="2"/>
  <c r="H1081" i="2"/>
  <c r="A1081" i="2"/>
  <c r="J1080" i="2"/>
  <c r="H1080" i="2"/>
  <c r="A1080" i="2"/>
  <c r="J1079" i="2"/>
  <c r="H1079" i="2"/>
  <c r="A1079" i="2"/>
  <c r="J1078" i="2"/>
  <c r="H1078" i="2"/>
  <c r="A1078" i="2"/>
  <c r="J1077" i="2"/>
  <c r="H1077" i="2"/>
  <c r="A1077" i="2"/>
  <c r="J1076" i="2"/>
  <c r="H1076" i="2"/>
  <c r="A1076" i="2"/>
  <c r="J1075" i="2"/>
  <c r="H1075" i="2"/>
  <c r="A1075" i="2"/>
  <c r="J1074" i="2"/>
  <c r="H1074" i="2"/>
  <c r="A1074" i="2"/>
  <c r="J1073" i="2"/>
  <c r="H1073" i="2"/>
  <c r="A1073" i="2"/>
  <c r="J1072" i="2"/>
  <c r="H1072" i="2"/>
  <c r="A1072" i="2"/>
  <c r="J1071" i="2"/>
  <c r="H1071" i="2"/>
  <c r="A1071" i="2"/>
  <c r="J1070" i="2"/>
  <c r="H1070" i="2"/>
  <c r="A1070" i="2"/>
  <c r="J1069" i="2"/>
  <c r="H1069" i="2"/>
  <c r="A1069" i="2"/>
  <c r="J1068" i="2"/>
  <c r="H1068" i="2"/>
  <c r="A1068" i="2"/>
  <c r="J1067" i="2"/>
  <c r="H1067" i="2"/>
  <c r="A1067" i="2"/>
  <c r="J1066" i="2"/>
  <c r="H1066" i="2"/>
  <c r="A1066" i="2"/>
  <c r="J1065" i="2"/>
  <c r="H1065" i="2"/>
  <c r="A1065" i="2"/>
  <c r="J1064" i="2"/>
  <c r="H1064" i="2"/>
  <c r="A1064" i="2"/>
  <c r="J1063" i="2"/>
  <c r="H1063" i="2"/>
  <c r="A1063" i="2"/>
  <c r="J1062" i="2"/>
  <c r="H1062" i="2"/>
  <c r="A1062" i="2"/>
  <c r="J1061" i="2"/>
  <c r="H1061" i="2"/>
  <c r="A1061" i="2"/>
  <c r="J1060" i="2"/>
  <c r="H1060" i="2"/>
  <c r="A1060" i="2"/>
  <c r="J1059" i="2"/>
  <c r="H1059" i="2"/>
  <c r="A1059" i="2"/>
  <c r="J1058" i="2"/>
  <c r="H1058" i="2"/>
  <c r="A1058" i="2"/>
  <c r="J1057" i="2"/>
  <c r="H1057" i="2"/>
  <c r="A1057" i="2"/>
  <c r="J1056" i="2"/>
  <c r="H1056" i="2"/>
  <c r="A1056" i="2"/>
  <c r="J1055" i="2"/>
  <c r="H1055" i="2"/>
  <c r="A1055" i="2"/>
  <c r="J1054" i="2"/>
  <c r="H1054" i="2"/>
  <c r="A1054" i="2"/>
  <c r="J1053" i="2"/>
  <c r="H1053" i="2"/>
  <c r="A1053" i="2"/>
  <c r="J1052" i="2"/>
  <c r="H1052" i="2"/>
  <c r="A1052" i="2"/>
  <c r="J1051" i="2"/>
  <c r="H1051" i="2"/>
  <c r="A1051" i="2"/>
  <c r="J1050" i="2"/>
  <c r="H1050" i="2"/>
  <c r="A1050" i="2"/>
  <c r="J1049" i="2"/>
  <c r="H1049" i="2"/>
  <c r="A1049" i="2"/>
  <c r="J1048" i="2"/>
  <c r="H1048" i="2"/>
  <c r="A1048" i="2"/>
  <c r="J1047" i="2"/>
  <c r="H1047" i="2"/>
  <c r="A1047" i="2"/>
  <c r="J1046" i="2"/>
  <c r="H1046" i="2"/>
  <c r="A1046" i="2"/>
  <c r="J1045" i="2"/>
  <c r="H1045" i="2"/>
  <c r="A1045" i="2"/>
  <c r="J1044" i="2"/>
  <c r="H1044" i="2"/>
  <c r="A1044" i="2"/>
  <c r="J1043" i="2"/>
  <c r="H1043" i="2"/>
  <c r="A1043" i="2"/>
  <c r="J1042" i="2"/>
  <c r="H1042" i="2"/>
  <c r="A1042" i="2"/>
  <c r="J1041" i="2"/>
  <c r="H1041" i="2"/>
  <c r="A1041" i="2"/>
  <c r="J1040" i="2"/>
  <c r="H1040" i="2"/>
  <c r="A1040" i="2"/>
  <c r="J1039" i="2"/>
  <c r="H1039" i="2"/>
  <c r="A1039" i="2"/>
  <c r="J1038" i="2"/>
  <c r="H1038" i="2"/>
  <c r="A1038" i="2"/>
  <c r="J1037" i="2"/>
  <c r="H1037" i="2"/>
  <c r="A1037" i="2"/>
  <c r="J1036" i="2"/>
  <c r="H1036" i="2"/>
  <c r="A1036" i="2"/>
  <c r="J1035" i="2"/>
  <c r="H1035" i="2"/>
  <c r="A1035" i="2"/>
  <c r="J1034" i="2"/>
  <c r="H1034" i="2"/>
  <c r="A1034" i="2"/>
  <c r="J1033" i="2"/>
  <c r="H1033" i="2"/>
  <c r="A1033" i="2"/>
  <c r="J1032" i="2"/>
  <c r="H1032" i="2"/>
  <c r="A1032" i="2"/>
  <c r="J1031" i="2"/>
  <c r="H1031" i="2"/>
  <c r="A1031" i="2"/>
  <c r="J1030" i="2"/>
  <c r="H1030" i="2"/>
  <c r="A1030" i="2"/>
  <c r="J1029" i="2"/>
  <c r="H1029" i="2"/>
  <c r="A1029" i="2"/>
  <c r="J1028" i="2"/>
  <c r="H1028" i="2"/>
  <c r="A1028" i="2"/>
  <c r="J1027" i="2"/>
  <c r="H1027" i="2"/>
  <c r="A1027" i="2"/>
  <c r="J1026" i="2"/>
  <c r="H1026" i="2"/>
  <c r="A1026" i="2"/>
  <c r="J1025" i="2"/>
  <c r="H1025" i="2"/>
  <c r="A1025" i="2"/>
  <c r="J1024" i="2"/>
  <c r="H1024" i="2"/>
  <c r="A1024" i="2"/>
  <c r="J1023" i="2"/>
  <c r="H1023" i="2"/>
  <c r="A1023" i="2"/>
  <c r="J1022" i="2"/>
  <c r="H1022" i="2"/>
  <c r="A1022" i="2"/>
  <c r="J1021" i="2"/>
  <c r="H1021" i="2"/>
  <c r="A1021" i="2"/>
  <c r="J1020" i="2"/>
  <c r="H1020" i="2"/>
  <c r="A1020" i="2"/>
  <c r="J1019" i="2"/>
  <c r="H1019" i="2"/>
  <c r="A1019" i="2"/>
  <c r="J1018" i="2"/>
  <c r="H1018" i="2"/>
  <c r="A1018" i="2"/>
  <c r="J1017" i="2"/>
  <c r="H1017" i="2"/>
  <c r="A1017" i="2"/>
  <c r="J1016" i="2"/>
  <c r="H1016" i="2"/>
  <c r="A1016" i="2"/>
  <c r="J1015" i="2"/>
  <c r="H1015" i="2"/>
  <c r="A1015" i="2"/>
  <c r="J1014" i="2"/>
  <c r="H1014" i="2"/>
  <c r="A1014" i="2"/>
  <c r="J1013" i="2"/>
  <c r="H1013" i="2"/>
  <c r="A1013" i="2"/>
  <c r="J1012" i="2"/>
  <c r="H1012" i="2"/>
  <c r="A1012" i="2"/>
  <c r="J1011" i="2"/>
  <c r="H1011" i="2"/>
  <c r="A1011" i="2"/>
  <c r="J1010" i="2"/>
  <c r="H1010" i="2"/>
  <c r="A1010" i="2"/>
  <c r="J1009" i="2"/>
  <c r="H1009" i="2"/>
  <c r="A1009" i="2"/>
  <c r="J1008" i="2"/>
  <c r="H1008" i="2"/>
  <c r="A1008" i="2"/>
  <c r="J1007" i="2"/>
  <c r="H1007" i="2"/>
  <c r="A1007" i="2"/>
  <c r="J1006" i="2"/>
  <c r="H1006" i="2"/>
  <c r="A1006" i="2"/>
  <c r="J1005" i="2"/>
  <c r="H1005" i="2"/>
  <c r="A1005" i="2"/>
  <c r="J1004" i="2"/>
  <c r="H1004" i="2"/>
  <c r="A1004" i="2"/>
  <c r="J1003" i="2"/>
  <c r="H1003" i="2"/>
  <c r="A1003" i="2"/>
  <c r="J1002" i="2"/>
  <c r="H1002" i="2"/>
  <c r="A1002" i="2"/>
  <c r="J1001" i="2"/>
  <c r="H1001" i="2"/>
  <c r="A1001" i="2"/>
  <c r="J1000" i="2"/>
  <c r="H1000" i="2"/>
  <c r="A1000" i="2"/>
  <c r="J999" i="2"/>
  <c r="H999" i="2"/>
  <c r="A999" i="2"/>
  <c r="J998" i="2"/>
  <c r="H998" i="2"/>
  <c r="A998" i="2"/>
  <c r="J997" i="2"/>
  <c r="H997" i="2"/>
  <c r="A997" i="2"/>
  <c r="J996" i="2"/>
  <c r="H996" i="2"/>
  <c r="A996" i="2"/>
  <c r="J995" i="2"/>
  <c r="H995" i="2"/>
  <c r="A995" i="2"/>
  <c r="J994" i="2"/>
  <c r="H994" i="2"/>
  <c r="A994" i="2"/>
  <c r="J993" i="2"/>
  <c r="H993" i="2"/>
  <c r="A993" i="2"/>
  <c r="J992" i="2"/>
  <c r="H992" i="2"/>
  <c r="A992" i="2"/>
  <c r="J991" i="2"/>
  <c r="H991" i="2"/>
  <c r="A991" i="2"/>
  <c r="J990" i="2"/>
  <c r="H990" i="2"/>
  <c r="A990" i="2"/>
  <c r="J989" i="2"/>
  <c r="H989" i="2"/>
  <c r="A989" i="2"/>
  <c r="J988" i="2"/>
  <c r="H988" i="2"/>
  <c r="A988" i="2"/>
  <c r="J987" i="2"/>
  <c r="H987" i="2"/>
  <c r="A987" i="2"/>
  <c r="J986" i="2"/>
  <c r="H986" i="2"/>
  <c r="A986" i="2"/>
  <c r="J985" i="2"/>
  <c r="H985" i="2"/>
  <c r="A985" i="2"/>
  <c r="J984" i="2"/>
  <c r="H984" i="2"/>
  <c r="A984" i="2"/>
  <c r="J983" i="2"/>
  <c r="H983" i="2"/>
  <c r="A983" i="2"/>
  <c r="J982" i="2"/>
  <c r="H982" i="2"/>
  <c r="A982" i="2"/>
  <c r="J981" i="2"/>
  <c r="H981" i="2"/>
  <c r="A981" i="2"/>
  <c r="J980" i="2"/>
  <c r="H980" i="2"/>
  <c r="A980" i="2"/>
  <c r="J979" i="2"/>
  <c r="H979" i="2"/>
  <c r="A979" i="2"/>
  <c r="J978" i="2"/>
  <c r="H978" i="2"/>
  <c r="A978" i="2"/>
  <c r="J977" i="2"/>
  <c r="H977" i="2"/>
  <c r="A977" i="2"/>
  <c r="J976" i="2"/>
  <c r="H976" i="2"/>
  <c r="A976" i="2"/>
  <c r="J975" i="2"/>
  <c r="H975" i="2"/>
  <c r="A975" i="2"/>
  <c r="J974" i="2"/>
  <c r="H974" i="2"/>
  <c r="A974" i="2"/>
  <c r="J973" i="2"/>
  <c r="H973" i="2"/>
  <c r="A973" i="2"/>
  <c r="J972" i="2"/>
  <c r="H972" i="2"/>
  <c r="A972" i="2"/>
  <c r="J971" i="2"/>
  <c r="H971" i="2"/>
  <c r="A971" i="2"/>
  <c r="J970" i="2"/>
  <c r="H970" i="2"/>
  <c r="A970" i="2"/>
  <c r="J969" i="2"/>
  <c r="H969" i="2"/>
  <c r="A969" i="2"/>
  <c r="J968" i="2"/>
  <c r="H968" i="2"/>
  <c r="A968" i="2"/>
  <c r="J967" i="2"/>
  <c r="H967" i="2"/>
  <c r="A967" i="2"/>
  <c r="J966" i="2"/>
  <c r="H966" i="2"/>
  <c r="A966" i="2"/>
  <c r="J965" i="2"/>
  <c r="H965" i="2"/>
  <c r="A965" i="2"/>
  <c r="J964" i="2"/>
  <c r="H964" i="2"/>
  <c r="A964" i="2"/>
  <c r="J963" i="2"/>
  <c r="H963" i="2"/>
  <c r="A963" i="2"/>
  <c r="J962" i="2"/>
  <c r="H962" i="2"/>
  <c r="A962" i="2"/>
  <c r="J961" i="2"/>
  <c r="H961" i="2"/>
  <c r="A961" i="2"/>
  <c r="J960" i="2"/>
  <c r="H960" i="2"/>
  <c r="A960" i="2"/>
  <c r="J959" i="2"/>
  <c r="H959" i="2"/>
  <c r="A959" i="2"/>
  <c r="J958" i="2"/>
  <c r="H958" i="2"/>
  <c r="A958" i="2"/>
  <c r="J957" i="2"/>
  <c r="H957" i="2"/>
  <c r="A957" i="2"/>
  <c r="J956" i="2"/>
  <c r="H956" i="2"/>
  <c r="A956" i="2"/>
  <c r="J955" i="2"/>
  <c r="H955" i="2"/>
  <c r="A955" i="2"/>
  <c r="J954" i="2"/>
  <c r="H954" i="2"/>
  <c r="A954" i="2"/>
  <c r="J953" i="2"/>
  <c r="H953" i="2"/>
  <c r="A953" i="2"/>
  <c r="J952" i="2"/>
  <c r="H952" i="2"/>
  <c r="A952" i="2"/>
  <c r="J951" i="2"/>
  <c r="H951" i="2"/>
  <c r="A951" i="2"/>
  <c r="J950" i="2"/>
  <c r="H950" i="2"/>
  <c r="A950" i="2"/>
  <c r="J949" i="2"/>
  <c r="H949" i="2"/>
  <c r="A949" i="2"/>
  <c r="J948" i="2"/>
  <c r="H948" i="2"/>
  <c r="A948" i="2"/>
  <c r="J947" i="2"/>
  <c r="H947" i="2"/>
  <c r="A947" i="2"/>
  <c r="J946" i="2"/>
  <c r="H946" i="2"/>
  <c r="A946" i="2"/>
  <c r="J945" i="2"/>
  <c r="H945" i="2"/>
  <c r="A945" i="2"/>
  <c r="J944" i="2"/>
  <c r="H944" i="2"/>
  <c r="A944" i="2"/>
  <c r="J943" i="2"/>
  <c r="H943" i="2"/>
  <c r="A943" i="2"/>
  <c r="J942" i="2"/>
  <c r="H942" i="2"/>
  <c r="A942" i="2"/>
  <c r="J941" i="2"/>
  <c r="H941" i="2"/>
  <c r="A941" i="2"/>
  <c r="J940" i="2"/>
  <c r="H940" i="2"/>
  <c r="A940" i="2"/>
  <c r="J939" i="2"/>
  <c r="H939" i="2"/>
  <c r="A939" i="2"/>
  <c r="J938" i="2"/>
  <c r="H938" i="2"/>
  <c r="A938" i="2"/>
  <c r="J937" i="2"/>
  <c r="H937" i="2"/>
  <c r="A937" i="2"/>
  <c r="J936" i="2"/>
  <c r="H936" i="2"/>
  <c r="A936" i="2"/>
  <c r="J935" i="2"/>
  <c r="H935" i="2"/>
  <c r="A935" i="2"/>
  <c r="J934" i="2"/>
  <c r="H934" i="2"/>
  <c r="A934" i="2"/>
  <c r="J933" i="2"/>
  <c r="H933" i="2"/>
  <c r="A933" i="2"/>
  <c r="J932" i="2"/>
  <c r="H932" i="2"/>
  <c r="A932" i="2"/>
  <c r="J931" i="2"/>
  <c r="H931" i="2"/>
  <c r="A931" i="2"/>
  <c r="J930" i="2"/>
  <c r="H930" i="2"/>
  <c r="A930" i="2"/>
  <c r="J929" i="2"/>
  <c r="H929" i="2"/>
  <c r="A929" i="2"/>
  <c r="J928" i="2"/>
  <c r="H928" i="2"/>
  <c r="A928" i="2"/>
  <c r="J927" i="2"/>
  <c r="H927" i="2"/>
  <c r="A927" i="2"/>
  <c r="J926" i="2"/>
  <c r="H926" i="2"/>
  <c r="A926" i="2"/>
  <c r="J925" i="2"/>
  <c r="H925" i="2"/>
  <c r="A925" i="2"/>
  <c r="J924" i="2"/>
  <c r="H924" i="2"/>
  <c r="A924" i="2"/>
  <c r="J923" i="2"/>
  <c r="H923" i="2"/>
  <c r="A923" i="2"/>
  <c r="J922" i="2"/>
  <c r="H922" i="2"/>
  <c r="A922" i="2"/>
  <c r="J921" i="2"/>
  <c r="H921" i="2"/>
  <c r="A921" i="2"/>
  <c r="J920" i="2"/>
  <c r="H920" i="2"/>
  <c r="A920" i="2"/>
  <c r="J919" i="2"/>
  <c r="H919" i="2"/>
  <c r="A919" i="2"/>
  <c r="J918" i="2"/>
  <c r="H918" i="2"/>
  <c r="A918" i="2"/>
  <c r="J917" i="2"/>
  <c r="H917" i="2"/>
  <c r="A917" i="2"/>
  <c r="J916" i="2"/>
  <c r="H916" i="2"/>
  <c r="A916" i="2"/>
  <c r="J915" i="2"/>
  <c r="H915" i="2"/>
  <c r="A915" i="2"/>
  <c r="J914" i="2"/>
  <c r="H914" i="2"/>
  <c r="A914" i="2"/>
  <c r="J913" i="2"/>
  <c r="H913" i="2"/>
  <c r="A913" i="2"/>
  <c r="J912" i="2"/>
  <c r="H912" i="2"/>
  <c r="A912" i="2"/>
  <c r="J911" i="2"/>
  <c r="H911" i="2"/>
  <c r="A911" i="2"/>
  <c r="J910" i="2"/>
  <c r="H910" i="2"/>
  <c r="A910" i="2"/>
  <c r="J909" i="2"/>
  <c r="H909" i="2"/>
  <c r="A909" i="2"/>
  <c r="J908" i="2"/>
  <c r="H908" i="2"/>
  <c r="A908" i="2"/>
  <c r="J907" i="2"/>
  <c r="H907" i="2"/>
  <c r="A907" i="2"/>
  <c r="J906" i="2"/>
  <c r="H906" i="2"/>
  <c r="A906" i="2"/>
  <c r="J905" i="2"/>
  <c r="H905" i="2"/>
  <c r="A905" i="2"/>
  <c r="J904" i="2"/>
  <c r="H904" i="2"/>
  <c r="A904" i="2"/>
  <c r="J903" i="2"/>
  <c r="H903" i="2"/>
  <c r="A903" i="2"/>
  <c r="J902" i="2"/>
  <c r="H902" i="2"/>
  <c r="A902" i="2"/>
  <c r="J901" i="2"/>
  <c r="H901" i="2"/>
  <c r="A901" i="2"/>
  <c r="J900" i="2"/>
  <c r="H900" i="2"/>
  <c r="A900" i="2"/>
  <c r="J899" i="2"/>
  <c r="H899" i="2"/>
  <c r="A899" i="2"/>
  <c r="J898" i="2"/>
  <c r="H898" i="2"/>
  <c r="A898" i="2"/>
  <c r="J897" i="2"/>
  <c r="H897" i="2"/>
  <c r="A897" i="2"/>
  <c r="J896" i="2"/>
  <c r="H896" i="2"/>
  <c r="A896" i="2"/>
  <c r="J895" i="2"/>
  <c r="H895" i="2"/>
  <c r="A895" i="2"/>
  <c r="J894" i="2"/>
  <c r="H894" i="2"/>
  <c r="A894" i="2"/>
  <c r="J893" i="2"/>
  <c r="H893" i="2"/>
  <c r="A893" i="2"/>
  <c r="J892" i="2"/>
  <c r="H892" i="2"/>
  <c r="A892" i="2"/>
  <c r="J891" i="2"/>
  <c r="H891" i="2"/>
  <c r="A891" i="2"/>
  <c r="J890" i="2"/>
  <c r="H890" i="2"/>
  <c r="A890" i="2"/>
  <c r="J889" i="2"/>
  <c r="H889" i="2"/>
  <c r="A889" i="2"/>
  <c r="J888" i="2"/>
  <c r="H888" i="2"/>
  <c r="A888" i="2"/>
  <c r="J887" i="2"/>
  <c r="H887" i="2"/>
  <c r="A887" i="2"/>
  <c r="J886" i="2"/>
  <c r="H886" i="2"/>
  <c r="A886" i="2"/>
  <c r="J885" i="2"/>
  <c r="H885" i="2"/>
  <c r="A885" i="2"/>
  <c r="J884" i="2"/>
  <c r="H884" i="2"/>
  <c r="A884" i="2"/>
  <c r="J883" i="2"/>
  <c r="H883" i="2"/>
  <c r="A883" i="2"/>
  <c r="J882" i="2"/>
  <c r="H882" i="2"/>
  <c r="A882" i="2"/>
  <c r="J881" i="2"/>
  <c r="H881" i="2"/>
  <c r="A881" i="2"/>
  <c r="J880" i="2"/>
  <c r="H880" i="2"/>
  <c r="A880" i="2"/>
  <c r="J879" i="2"/>
  <c r="H879" i="2"/>
  <c r="A879" i="2"/>
  <c r="J878" i="2"/>
  <c r="H878" i="2"/>
  <c r="A878" i="2"/>
  <c r="J877" i="2"/>
  <c r="H877" i="2"/>
  <c r="A877" i="2"/>
  <c r="J876" i="2"/>
  <c r="H876" i="2"/>
  <c r="A876" i="2"/>
  <c r="J875" i="2"/>
  <c r="H875" i="2"/>
  <c r="A875" i="2"/>
  <c r="J874" i="2"/>
  <c r="H874" i="2"/>
  <c r="A874" i="2"/>
  <c r="J873" i="2"/>
  <c r="H873" i="2"/>
  <c r="A873" i="2"/>
  <c r="J872" i="2"/>
  <c r="H872" i="2"/>
  <c r="A872" i="2"/>
  <c r="J871" i="2"/>
  <c r="H871" i="2"/>
  <c r="A871" i="2"/>
  <c r="J870" i="2"/>
  <c r="H870" i="2"/>
  <c r="A870" i="2"/>
  <c r="J869" i="2"/>
  <c r="H869" i="2"/>
  <c r="A869" i="2"/>
  <c r="J868" i="2"/>
  <c r="H868" i="2"/>
  <c r="A868" i="2"/>
  <c r="J867" i="2"/>
  <c r="H867" i="2"/>
  <c r="A867" i="2"/>
  <c r="J866" i="2"/>
  <c r="H866" i="2"/>
  <c r="A866" i="2"/>
  <c r="J865" i="2"/>
  <c r="H865" i="2"/>
  <c r="A865" i="2"/>
  <c r="J864" i="2"/>
  <c r="H864" i="2"/>
  <c r="A864" i="2"/>
  <c r="J863" i="2"/>
  <c r="H863" i="2"/>
  <c r="A863" i="2"/>
  <c r="J862" i="2"/>
  <c r="H862" i="2"/>
  <c r="A862" i="2"/>
  <c r="J861" i="2"/>
  <c r="H861" i="2"/>
  <c r="A861" i="2"/>
  <c r="J860" i="2"/>
  <c r="H860" i="2"/>
  <c r="A860" i="2"/>
  <c r="J859" i="2"/>
  <c r="H859" i="2"/>
  <c r="A859" i="2"/>
  <c r="J858" i="2"/>
  <c r="H858" i="2"/>
  <c r="A858" i="2"/>
  <c r="J857" i="2"/>
  <c r="H857" i="2"/>
  <c r="A857" i="2"/>
  <c r="J856" i="2"/>
  <c r="H856" i="2"/>
  <c r="A856" i="2"/>
  <c r="J855" i="2"/>
  <c r="H855" i="2"/>
  <c r="A855" i="2"/>
  <c r="J854" i="2"/>
  <c r="H854" i="2"/>
  <c r="A854" i="2"/>
  <c r="J853" i="2"/>
  <c r="H853" i="2"/>
  <c r="A853" i="2"/>
  <c r="J852" i="2"/>
  <c r="H852" i="2"/>
  <c r="A852" i="2"/>
  <c r="J851" i="2"/>
  <c r="H851" i="2"/>
  <c r="A851" i="2"/>
  <c r="J850" i="2"/>
  <c r="H850" i="2"/>
  <c r="A850" i="2"/>
  <c r="J849" i="2"/>
  <c r="H849" i="2"/>
  <c r="A849" i="2"/>
  <c r="J848" i="2"/>
  <c r="H848" i="2"/>
  <c r="A848" i="2"/>
  <c r="J847" i="2"/>
  <c r="H847" i="2"/>
  <c r="A847" i="2"/>
  <c r="J846" i="2"/>
  <c r="H846" i="2"/>
  <c r="A846" i="2"/>
  <c r="J845" i="2"/>
  <c r="H845" i="2"/>
  <c r="A845" i="2"/>
  <c r="J844" i="2"/>
  <c r="H844" i="2"/>
  <c r="A844" i="2"/>
  <c r="J843" i="2"/>
  <c r="H843" i="2"/>
  <c r="A843" i="2"/>
  <c r="J842" i="2"/>
  <c r="H842" i="2"/>
  <c r="A842" i="2"/>
  <c r="J841" i="2"/>
  <c r="H841" i="2"/>
  <c r="A841" i="2"/>
  <c r="J840" i="2"/>
  <c r="H840" i="2"/>
  <c r="A840" i="2"/>
  <c r="J839" i="2"/>
  <c r="H839" i="2"/>
  <c r="A839" i="2"/>
  <c r="J838" i="2"/>
  <c r="H838" i="2"/>
  <c r="A838" i="2"/>
  <c r="J837" i="2"/>
  <c r="H837" i="2"/>
  <c r="A837" i="2"/>
  <c r="J836" i="2"/>
  <c r="H836" i="2"/>
  <c r="A836" i="2"/>
  <c r="J835" i="2"/>
  <c r="H835" i="2"/>
  <c r="A835" i="2"/>
  <c r="J834" i="2"/>
  <c r="H834" i="2"/>
  <c r="A834" i="2"/>
  <c r="J833" i="2"/>
  <c r="H833" i="2"/>
  <c r="A833" i="2"/>
  <c r="J832" i="2"/>
  <c r="H832" i="2"/>
  <c r="A832" i="2"/>
  <c r="J831" i="2"/>
  <c r="H831" i="2"/>
  <c r="A831" i="2"/>
  <c r="J830" i="2"/>
  <c r="H830" i="2"/>
  <c r="A830" i="2"/>
  <c r="J829" i="2"/>
  <c r="H829" i="2"/>
  <c r="A829" i="2"/>
  <c r="J828" i="2"/>
  <c r="H828" i="2"/>
  <c r="A828" i="2"/>
  <c r="J827" i="2"/>
  <c r="H827" i="2"/>
  <c r="A827" i="2"/>
  <c r="J826" i="2"/>
  <c r="H826" i="2"/>
  <c r="A826" i="2"/>
  <c r="J825" i="2"/>
  <c r="H825" i="2"/>
  <c r="A825" i="2"/>
  <c r="J824" i="2"/>
  <c r="H824" i="2"/>
  <c r="A824" i="2"/>
  <c r="J823" i="2"/>
  <c r="H823" i="2"/>
  <c r="A823" i="2"/>
  <c r="J822" i="2"/>
  <c r="H822" i="2"/>
  <c r="A822" i="2"/>
  <c r="J821" i="2"/>
  <c r="H821" i="2"/>
  <c r="A821" i="2"/>
  <c r="J820" i="2"/>
  <c r="H820" i="2"/>
  <c r="A820" i="2"/>
  <c r="J819" i="2"/>
  <c r="H819" i="2"/>
  <c r="A819" i="2"/>
  <c r="J818" i="2"/>
  <c r="H818" i="2"/>
  <c r="A818" i="2"/>
  <c r="J817" i="2"/>
  <c r="H817" i="2"/>
  <c r="A817" i="2"/>
  <c r="J816" i="2"/>
  <c r="H816" i="2"/>
  <c r="A816" i="2"/>
  <c r="J815" i="2"/>
  <c r="H815" i="2"/>
  <c r="A815" i="2"/>
  <c r="J814" i="2"/>
  <c r="H814" i="2"/>
  <c r="A814" i="2"/>
  <c r="J813" i="2"/>
  <c r="H813" i="2"/>
  <c r="A813" i="2"/>
  <c r="J812" i="2"/>
  <c r="H812" i="2"/>
  <c r="A812" i="2"/>
  <c r="J811" i="2"/>
  <c r="H811" i="2"/>
  <c r="A811" i="2"/>
  <c r="J810" i="2"/>
  <c r="H810" i="2"/>
  <c r="A810" i="2"/>
  <c r="J809" i="2"/>
  <c r="H809" i="2"/>
  <c r="A809" i="2"/>
  <c r="J808" i="2"/>
  <c r="H808" i="2"/>
  <c r="A808" i="2"/>
  <c r="J807" i="2"/>
  <c r="H807" i="2"/>
  <c r="A807" i="2"/>
  <c r="J806" i="2"/>
  <c r="H806" i="2"/>
  <c r="A806" i="2"/>
  <c r="J805" i="2"/>
  <c r="H805" i="2"/>
  <c r="A805" i="2"/>
  <c r="J804" i="2"/>
  <c r="H804" i="2"/>
  <c r="A804" i="2"/>
  <c r="J803" i="2"/>
  <c r="H803" i="2"/>
  <c r="A803" i="2"/>
  <c r="J802" i="2"/>
  <c r="H802" i="2"/>
  <c r="A802" i="2"/>
  <c r="J801" i="2"/>
  <c r="H801" i="2"/>
  <c r="A801" i="2"/>
  <c r="J800" i="2"/>
  <c r="H800" i="2"/>
  <c r="A800" i="2"/>
  <c r="J799" i="2"/>
  <c r="H799" i="2"/>
  <c r="A799" i="2"/>
  <c r="J798" i="2"/>
  <c r="H798" i="2"/>
  <c r="A798" i="2"/>
  <c r="J797" i="2"/>
  <c r="H797" i="2"/>
  <c r="A797" i="2"/>
  <c r="J796" i="2"/>
  <c r="H796" i="2"/>
  <c r="A796" i="2"/>
  <c r="J795" i="2"/>
  <c r="H795" i="2"/>
  <c r="A795" i="2"/>
  <c r="J794" i="2"/>
  <c r="H794" i="2"/>
  <c r="A794" i="2"/>
  <c r="J793" i="2"/>
  <c r="H793" i="2"/>
  <c r="A793" i="2"/>
  <c r="J792" i="2"/>
  <c r="H792" i="2"/>
  <c r="A792" i="2"/>
  <c r="J791" i="2"/>
  <c r="H791" i="2"/>
  <c r="A791" i="2"/>
  <c r="J790" i="2"/>
  <c r="H790" i="2"/>
  <c r="A790" i="2"/>
  <c r="J789" i="2"/>
  <c r="H789" i="2"/>
  <c r="A789" i="2"/>
  <c r="J788" i="2"/>
  <c r="H788" i="2"/>
  <c r="A788" i="2"/>
  <c r="J787" i="2"/>
  <c r="H787" i="2"/>
  <c r="A787" i="2"/>
  <c r="J786" i="2"/>
  <c r="H786" i="2"/>
  <c r="A786" i="2"/>
  <c r="J785" i="2"/>
  <c r="H785" i="2"/>
  <c r="A785" i="2"/>
  <c r="J784" i="2"/>
  <c r="H784" i="2"/>
  <c r="A784" i="2"/>
  <c r="J783" i="2"/>
  <c r="H783" i="2"/>
  <c r="A783" i="2"/>
  <c r="J782" i="2"/>
  <c r="H782" i="2"/>
  <c r="A782" i="2"/>
  <c r="J781" i="2"/>
  <c r="H781" i="2"/>
  <c r="A781" i="2"/>
  <c r="J780" i="2"/>
  <c r="H780" i="2"/>
  <c r="A780" i="2"/>
  <c r="J779" i="2"/>
  <c r="H779" i="2"/>
  <c r="A779" i="2"/>
  <c r="J778" i="2"/>
  <c r="H778" i="2"/>
  <c r="A778" i="2"/>
  <c r="J777" i="2"/>
  <c r="H777" i="2"/>
  <c r="A777" i="2"/>
  <c r="J776" i="2"/>
  <c r="H776" i="2"/>
  <c r="A776" i="2"/>
  <c r="J775" i="2"/>
  <c r="H775" i="2"/>
  <c r="A775" i="2"/>
  <c r="J774" i="2"/>
  <c r="H774" i="2"/>
  <c r="A774" i="2"/>
  <c r="J773" i="2"/>
  <c r="H773" i="2"/>
  <c r="A773" i="2"/>
  <c r="J772" i="2"/>
  <c r="H772" i="2"/>
  <c r="A772" i="2"/>
  <c r="J771" i="2"/>
  <c r="H771" i="2"/>
  <c r="A771" i="2"/>
  <c r="J770" i="2"/>
  <c r="H770" i="2"/>
  <c r="A770" i="2"/>
  <c r="J769" i="2"/>
  <c r="H769" i="2"/>
  <c r="A769" i="2"/>
  <c r="J768" i="2"/>
  <c r="H768" i="2"/>
  <c r="A768" i="2"/>
  <c r="J767" i="2"/>
  <c r="H767" i="2"/>
  <c r="A767" i="2"/>
  <c r="J766" i="2"/>
  <c r="H766" i="2"/>
  <c r="A766" i="2"/>
  <c r="J765" i="2"/>
  <c r="H765" i="2"/>
  <c r="A765" i="2"/>
  <c r="J764" i="2"/>
  <c r="H764" i="2"/>
  <c r="A764" i="2"/>
  <c r="J763" i="2"/>
  <c r="H763" i="2"/>
  <c r="A763" i="2"/>
  <c r="J762" i="2"/>
  <c r="H762" i="2"/>
  <c r="A762" i="2"/>
  <c r="J761" i="2"/>
  <c r="H761" i="2"/>
  <c r="A761" i="2"/>
  <c r="J760" i="2"/>
  <c r="H760" i="2"/>
  <c r="A760" i="2"/>
  <c r="J759" i="2"/>
  <c r="H759" i="2"/>
  <c r="A759" i="2"/>
  <c r="J758" i="2"/>
  <c r="H758" i="2"/>
  <c r="A758" i="2"/>
  <c r="J757" i="2"/>
  <c r="H757" i="2"/>
  <c r="A757" i="2"/>
  <c r="J756" i="2"/>
  <c r="H756" i="2"/>
  <c r="A756" i="2"/>
  <c r="J755" i="2"/>
  <c r="H755" i="2"/>
  <c r="A755" i="2"/>
  <c r="J754" i="2"/>
  <c r="H754" i="2"/>
  <c r="A754" i="2"/>
  <c r="J753" i="2"/>
  <c r="H753" i="2"/>
  <c r="A753" i="2"/>
  <c r="J752" i="2"/>
  <c r="H752" i="2"/>
  <c r="A752" i="2"/>
  <c r="J751" i="2"/>
  <c r="H751" i="2"/>
  <c r="A751" i="2"/>
  <c r="J750" i="2"/>
  <c r="H750" i="2"/>
  <c r="A750" i="2"/>
  <c r="J749" i="2"/>
  <c r="H749" i="2"/>
  <c r="A749" i="2"/>
  <c r="J748" i="2"/>
  <c r="H748" i="2"/>
  <c r="A748" i="2"/>
  <c r="J747" i="2"/>
  <c r="H747" i="2"/>
  <c r="A747" i="2"/>
  <c r="J746" i="2"/>
  <c r="H746" i="2"/>
  <c r="A746" i="2"/>
  <c r="J745" i="2"/>
  <c r="H745" i="2"/>
  <c r="A745" i="2"/>
  <c r="J744" i="2"/>
  <c r="H744" i="2"/>
  <c r="A744" i="2"/>
  <c r="J743" i="2"/>
  <c r="H743" i="2"/>
  <c r="A743" i="2"/>
  <c r="J742" i="2"/>
  <c r="H742" i="2"/>
  <c r="A742" i="2"/>
  <c r="J741" i="2"/>
  <c r="H741" i="2"/>
  <c r="A741" i="2"/>
  <c r="J740" i="2"/>
  <c r="H740" i="2"/>
  <c r="A740" i="2"/>
  <c r="J739" i="2"/>
  <c r="H739" i="2"/>
  <c r="A739" i="2"/>
  <c r="J738" i="2"/>
  <c r="H738" i="2"/>
  <c r="A738" i="2"/>
  <c r="J737" i="2"/>
  <c r="H737" i="2"/>
  <c r="A737" i="2"/>
  <c r="J736" i="2"/>
  <c r="H736" i="2"/>
  <c r="A736" i="2"/>
  <c r="J735" i="2"/>
  <c r="H735" i="2"/>
  <c r="A735" i="2"/>
  <c r="J734" i="2"/>
  <c r="H734" i="2"/>
  <c r="A734" i="2"/>
  <c r="J733" i="2"/>
  <c r="H733" i="2"/>
  <c r="A733" i="2"/>
  <c r="J732" i="2"/>
  <c r="H732" i="2"/>
  <c r="A732" i="2"/>
  <c r="J731" i="2"/>
  <c r="H731" i="2"/>
  <c r="A731" i="2"/>
  <c r="J730" i="2"/>
  <c r="H730" i="2"/>
  <c r="A730" i="2"/>
  <c r="J729" i="2"/>
  <c r="H729" i="2"/>
  <c r="A729" i="2"/>
  <c r="J728" i="2"/>
  <c r="H728" i="2"/>
  <c r="A728" i="2"/>
  <c r="J727" i="2"/>
  <c r="H727" i="2"/>
  <c r="A727" i="2"/>
  <c r="J726" i="2"/>
  <c r="H726" i="2"/>
  <c r="A726" i="2"/>
  <c r="J725" i="2"/>
  <c r="H725" i="2"/>
  <c r="A725" i="2"/>
  <c r="J724" i="2"/>
  <c r="H724" i="2"/>
  <c r="A724" i="2"/>
  <c r="J723" i="2"/>
  <c r="H723" i="2"/>
  <c r="A723" i="2"/>
  <c r="J722" i="2"/>
  <c r="H722" i="2"/>
  <c r="A722" i="2"/>
  <c r="J721" i="2"/>
  <c r="H721" i="2"/>
  <c r="A721" i="2"/>
  <c r="J720" i="2"/>
  <c r="H720" i="2"/>
  <c r="A720" i="2"/>
  <c r="J719" i="2"/>
  <c r="H719" i="2"/>
  <c r="A719" i="2"/>
  <c r="J718" i="2"/>
  <c r="H718" i="2"/>
  <c r="A718" i="2"/>
  <c r="J717" i="2"/>
  <c r="H717" i="2"/>
  <c r="A717" i="2"/>
  <c r="J716" i="2"/>
  <c r="H716" i="2"/>
  <c r="A716" i="2"/>
  <c r="J715" i="2"/>
  <c r="H715" i="2"/>
  <c r="A715" i="2"/>
  <c r="J714" i="2"/>
  <c r="H714" i="2"/>
  <c r="A714" i="2"/>
  <c r="J713" i="2"/>
  <c r="H713" i="2"/>
  <c r="A713" i="2"/>
  <c r="J712" i="2"/>
  <c r="H712" i="2"/>
  <c r="A712" i="2"/>
  <c r="J711" i="2"/>
  <c r="H711" i="2"/>
  <c r="A711" i="2"/>
  <c r="J710" i="2"/>
  <c r="H710" i="2"/>
  <c r="A710" i="2"/>
  <c r="J709" i="2"/>
  <c r="H709" i="2"/>
  <c r="A709" i="2"/>
  <c r="J708" i="2"/>
  <c r="H708" i="2"/>
  <c r="A708" i="2"/>
  <c r="J707" i="2"/>
  <c r="H707" i="2"/>
  <c r="A707" i="2"/>
  <c r="J706" i="2"/>
  <c r="H706" i="2"/>
  <c r="A706" i="2"/>
  <c r="J705" i="2"/>
  <c r="H705" i="2"/>
  <c r="A705" i="2"/>
  <c r="J704" i="2"/>
  <c r="H704" i="2"/>
  <c r="A704" i="2"/>
  <c r="J703" i="2"/>
  <c r="H703" i="2"/>
  <c r="A703" i="2"/>
  <c r="J702" i="2"/>
  <c r="H702" i="2"/>
  <c r="A702" i="2"/>
  <c r="J701" i="2"/>
  <c r="H701" i="2"/>
  <c r="A701" i="2"/>
  <c r="J700" i="2"/>
  <c r="H700" i="2"/>
  <c r="A700" i="2"/>
  <c r="J699" i="2"/>
  <c r="H699" i="2"/>
  <c r="A699" i="2"/>
  <c r="J698" i="2"/>
  <c r="H698" i="2"/>
  <c r="A698" i="2"/>
  <c r="J697" i="2"/>
  <c r="H697" i="2"/>
  <c r="A697" i="2"/>
  <c r="J696" i="2"/>
  <c r="H696" i="2"/>
  <c r="A696" i="2"/>
  <c r="J695" i="2"/>
  <c r="H695" i="2"/>
  <c r="A695" i="2"/>
  <c r="J694" i="2"/>
  <c r="H694" i="2"/>
  <c r="A694" i="2"/>
  <c r="J693" i="2"/>
  <c r="H693" i="2"/>
  <c r="A693" i="2"/>
  <c r="J692" i="2"/>
  <c r="H692" i="2"/>
  <c r="A692" i="2"/>
  <c r="J691" i="2"/>
  <c r="H691" i="2"/>
  <c r="A691" i="2"/>
  <c r="J690" i="2"/>
  <c r="H690" i="2"/>
  <c r="A690" i="2"/>
  <c r="J689" i="2"/>
  <c r="H689" i="2"/>
  <c r="A689" i="2"/>
  <c r="J688" i="2"/>
  <c r="H688" i="2"/>
  <c r="A688" i="2"/>
  <c r="J687" i="2"/>
  <c r="H687" i="2"/>
  <c r="A687" i="2"/>
  <c r="J686" i="2"/>
  <c r="H686" i="2"/>
  <c r="A686" i="2"/>
  <c r="J685" i="2"/>
  <c r="H685" i="2"/>
  <c r="A685" i="2"/>
  <c r="J684" i="2"/>
  <c r="H684" i="2"/>
  <c r="A684" i="2"/>
  <c r="J683" i="2"/>
  <c r="H683" i="2"/>
  <c r="A683" i="2"/>
  <c r="J682" i="2"/>
  <c r="H682" i="2"/>
  <c r="A682" i="2"/>
  <c r="J681" i="2"/>
  <c r="H681" i="2"/>
  <c r="A681" i="2"/>
  <c r="J680" i="2"/>
  <c r="H680" i="2"/>
  <c r="A680" i="2"/>
  <c r="J679" i="2"/>
  <c r="H679" i="2"/>
  <c r="A679" i="2"/>
  <c r="J678" i="2"/>
  <c r="H678" i="2"/>
  <c r="A678" i="2"/>
  <c r="J677" i="2"/>
  <c r="H677" i="2"/>
  <c r="A677" i="2"/>
  <c r="J676" i="2"/>
  <c r="H676" i="2"/>
  <c r="A676" i="2"/>
  <c r="J675" i="2"/>
  <c r="H675" i="2"/>
  <c r="A675" i="2"/>
  <c r="J674" i="2"/>
  <c r="H674" i="2"/>
  <c r="A674" i="2"/>
  <c r="J673" i="2"/>
  <c r="H673" i="2"/>
  <c r="A673" i="2"/>
  <c r="J672" i="2"/>
  <c r="H672" i="2"/>
  <c r="A672" i="2"/>
  <c r="J671" i="2"/>
  <c r="H671" i="2"/>
  <c r="A671" i="2"/>
  <c r="J670" i="2"/>
  <c r="H670" i="2"/>
  <c r="A670" i="2"/>
  <c r="J669" i="2"/>
  <c r="H669" i="2"/>
  <c r="A669" i="2"/>
  <c r="J668" i="2"/>
  <c r="H668" i="2"/>
  <c r="A668" i="2"/>
  <c r="J667" i="2"/>
  <c r="H667" i="2"/>
  <c r="A667" i="2"/>
  <c r="J666" i="2"/>
  <c r="H666" i="2"/>
  <c r="A666" i="2"/>
  <c r="J665" i="2"/>
  <c r="H665" i="2"/>
  <c r="A665" i="2"/>
  <c r="J664" i="2"/>
  <c r="H664" i="2"/>
  <c r="A664" i="2"/>
  <c r="J663" i="2"/>
  <c r="H663" i="2"/>
  <c r="A663" i="2"/>
  <c r="J662" i="2"/>
  <c r="H662" i="2"/>
  <c r="A662" i="2"/>
  <c r="J661" i="2"/>
  <c r="H661" i="2"/>
  <c r="A661" i="2"/>
  <c r="J660" i="2"/>
  <c r="H660" i="2"/>
  <c r="A660" i="2"/>
  <c r="J659" i="2"/>
  <c r="H659" i="2"/>
  <c r="A659" i="2"/>
  <c r="J658" i="2"/>
  <c r="H658" i="2"/>
  <c r="A658" i="2"/>
  <c r="J657" i="2"/>
  <c r="H657" i="2"/>
  <c r="A657" i="2"/>
  <c r="J656" i="2"/>
  <c r="H656" i="2"/>
  <c r="A656" i="2"/>
  <c r="J655" i="2"/>
  <c r="H655" i="2"/>
  <c r="A655" i="2"/>
  <c r="J654" i="2"/>
  <c r="H654" i="2"/>
  <c r="A654" i="2"/>
  <c r="J653" i="2"/>
  <c r="H653" i="2"/>
  <c r="A653" i="2"/>
  <c r="J652" i="2"/>
  <c r="H652" i="2"/>
  <c r="A652" i="2"/>
  <c r="J651" i="2"/>
  <c r="H651" i="2"/>
  <c r="A651" i="2"/>
  <c r="J650" i="2"/>
  <c r="H650" i="2"/>
  <c r="A650" i="2"/>
  <c r="J649" i="2"/>
  <c r="H649" i="2"/>
  <c r="A649" i="2"/>
  <c r="J648" i="2"/>
  <c r="H648" i="2"/>
  <c r="A648" i="2"/>
  <c r="J647" i="2"/>
  <c r="H647" i="2"/>
  <c r="A647" i="2"/>
  <c r="J646" i="2"/>
  <c r="H646" i="2"/>
  <c r="A646" i="2"/>
  <c r="J645" i="2"/>
  <c r="H645" i="2"/>
  <c r="A645" i="2"/>
  <c r="J644" i="2"/>
  <c r="H644" i="2"/>
  <c r="A644" i="2"/>
  <c r="J643" i="2"/>
  <c r="H643" i="2"/>
  <c r="A643" i="2"/>
  <c r="J642" i="2"/>
  <c r="H642" i="2"/>
  <c r="A642" i="2"/>
  <c r="J641" i="2"/>
  <c r="H641" i="2"/>
  <c r="A641" i="2"/>
  <c r="J640" i="2"/>
  <c r="H640" i="2"/>
  <c r="A640" i="2"/>
  <c r="J639" i="2"/>
  <c r="H639" i="2"/>
  <c r="A639" i="2"/>
  <c r="J638" i="2"/>
  <c r="H638" i="2"/>
  <c r="A638" i="2"/>
  <c r="J637" i="2"/>
  <c r="H637" i="2"/>
  <c r="A637" i="2"/>
  <c r="J636" i="2"/>
  <c r="H636" i="2"/>
  <c r="A636" i="2"/>
  <c r="J635" i="2"/>
  <c r="H635" i="2"/>
  <c r="A635" i="2"/>
  <c r="J634" i="2"/>
  <c r="H634" i="2"/>
  <c r="A634" i="2"/>
  <c r="J633" i="2"/>
  <c r="H633" i="2"/>
  <c r="A633" i="2"/>
  <c r="J632" i="2"/>
  <c r="H632" i="2"/>
  <c r="A632" i="2"/>
  <c r="J631" i="2"/>
  <c r="H631" i="2"/>
  <c r="A631" i="2"/>
  <c r="J630" i="2"/>
  <c r="H630" i="2"/>
  <c r="A630" i="2"/>
  <c r="J629" i="2"/>
  <c r="H629" i="2"/>
  <c r="A629" i="2"/>
  <c r="J628" i="2"/>
  <c r="H628" i="2"/>
  <c r="A628" i="2"/>
  <c r="J627" i="2"/>
  <c r="H627" i="2"/>
  <c r="A627" i="2"/>
  <c r="J626" i="2"/>
  <c r="H626" i="2"/>
  <c r="A626" i="2"/>
  <c r="J625" i="2"/>
  <c r="H625" i="2"/>
  <c r="A625" i="2"/>
  <c r="J624" i="2"/>
  <c r="H624" i="2"/>
  <c r="A624" i="2"/>
  <c r="J623" i="2"/>
  <c r="H623" i="2"/>
  <c r="A623" i="2"/>
  <c r="J622" i="2"/>
  <c r="H622" i="2"/>
  <c r="A622" i="2"/>
  <c r="J621" i="2"/>
  <c r="H621" i="2"/>
  <c r="A621" i="2"/>
  <c r="J620" i="2"/>
  <c r="H620" i="2"/>
  <c r="A620" i="2"/>
  <c r="J619" i="2"/>
  <c r="H619" i="2"/>
  <c r="A619" i="2"/>
  <c r="J618" i="2"/>
  <c r="H618" i="2"/>
  <c r="A618" i="2"/>
  <c r="J617" i="2"/>
  <c r="H617" i="2"/>
  <c r="A617" i="2"/>
  <c r="J616" i="2"/>
  <c r="H616" i="2"/>
  <c r="A616" i="2"/>
  <c r="J615" i="2"/>
  <c r="H615" i="2"/>
  <c r="A615" i="2"/>
  <c r="J614" i="2"/>
  <c r="H614" i="2"/>
  <c r="A614" i="2"/>
  <c r="J613" i="2"/>
  <c r="H613" i="2"/>
  <c r="A613" i="2"/>
  <c r="J612" i="2"/>
  <c r="H612" i="2"/>
  <c r="A612" i="2"/>
  <c r="J611" i="2"/>
  <c r="H611" i="2"/>
  <c r="A611" i="2"/>
  <c r="J610" i="2"/>
  <c r="H610" i="2"/>
  <c r="A610" i="2"/>
  <c r="J609" i="2"/>
  <c r="H609" i="2"/>
  <c r="A609" i="2"/>
  <c r="J608" i="2"/>
  <c r="H608" i="2"/>
  <c r="A608" i="2"/>
  <c r="J607" i="2"/>
  <c r="H607" i="2"/>
  <c r="A607" i="2"/>
  <c r="J606" i="2"/>
  <c r="H606" i="2"/>
  <c r="A606" i="2"/>
  <c r="J605" i="2"/>
  <c r="H605" i="2"/>
  <c r="A605" i="2"/>
  <c r="J604" i="2"/>
  <c r="H604" i="2"/>
  <c r="A604" i="2"/>
  <c r="J603" i="2"/>
  <c r="H603" i="2"/>
  <c r="A603" i="2"/>
  <c r="J602" i="2"/>
  <c r="H602" i="2"/>
  <c r="A602" i="2"/>
  <c r="J601" i="2"/>
  <c r="H601" i="2"/>
  <c r="A601" i="2"/>
  <c r="J600" i="2"/>
  <c r="H600" i="2"/>
  <c r="A600" i="2"/>
  <c r="J599" i="2"/>
  <c r="H599" i="2"/>
  <c r="A599" i="2"/>
  <c r="J598" i="2"/>
  <c r="H598" i="2"/>
  <c r="A598" i="2"/>
  <c r="J597" i="2"/>
  <c r="H597" i="2"/>
  <c r="A597" i="2"/>
  <c r="J596" i="2"/>
  <c r="H596" i="2"/>
  <c r="A596" i="2"/>
  <c r="J595" i="2"/>
  <c r="H595" i="2"/>
  <c r="A595" i="2"/>
  <c r="J594" i="2"/>
  <c r="H594" i="2"/>
  <c r="A594" i="2"/>
  <c r="J593" i="2"/>
  <c r="H593" i="2"/>
  <c r="A593" i="2"/>
  <c r="J592" i="2"/>
  <c r="H592" i="2"/>
  <c r="A592" i="2"/>
  <c r="J591" i="2"/>
  <c r="H591" i="2"/>
  <c r="A591" i="2"/>
  <c r="J590" i="2"/>
  <c r="H590" i="2"/>
  <c r="A590" i="2"/>
  <c r="J589" i="2"/>
  <c r="H589" i="2"/>
  <c r="A589" i="2"/>
  <c r="J588" i="2"/>
  <c r="H588" i="2"/>
  <c r="A588" i="2"/>
  <c r="J587" i="2"/>
  <c r="H587" i="2"/>
  <c r="A587" i="2"/>
  <c r="J586" i="2"/>
  <c r="H586" i="2"/>
  <c r="A586" i="2"/>
  <c r="J585" i="2"/>
  <c r="H585" i="2"/>
  <c r="A585" i="2"/>
  <c r="J584" i="2"/>
  <c r="H584" i="2"/>
  <c r="A584" i="2"/>
  <c r="J583" i="2"/>
  <c r="H583" i="2"/>
  <c r="A583" i="2"/>
  <c r="J582" i="2"/>
  <c r="H582" i="2"/>
  <c r="A582" i="2"/>
  <c r="J581" i="2"/>
  <c r="H581" i="2"/>
  <c r="A581" i="2"/>
  <c r="J580" i="2"/>
  <c r="H580" i="2"/>
  <c r="A580" i="2"/>
  <c r="J579" i="2"/>
  <c r="H579" i="2"/>
  <c r="A579" i="2"/>
  <c r="J578" i="2"/>
  <c r="H578" i="2"/>
  <c r="A578" i="2"/>
  <c r="J577" i="2"/>
  <c r="H577" i="2"/>
  <c r="A577" i="2"/>
  <c r="J576" i="2"/>
  <c r="H576" i="2"/>
  <c r="A576" i="2"/>
  <c r="J575" i="2"/>
  <c r="H575" i="2"/>
  <c r="A575" i="2"/>
  <c r="J574" i="2"/>
  <c r="H574" i="2"/>
  <c r="A574" i="2"/>
  <c r="J573" i="2"/>
  <c r="H573" i="2"/>
  <c r="A573" i="2"/>
  <c r="J572" i="2"/>
  <c r="H572" i="2"/>
  <c r="A572" i="2"/>
  <c r="J571" i="2"/>
  <c r="H571" i="2"/>
  <c r="A571" i="2"/>
  <c r="J570" i="2"/>
  <c r="H570" i="2"/>
  <c r="A570" i="2"/>
  <c r="J569" i="2"/>
  <c r="H569" i="2"/>
  <c r="A569" i="2"/>
  <c r="J568" i="2"/>
  <c r="H568" i="2"/>
  <c r="A568" i="2"/>
  <c r="J567" i="2"/>
  <c r="H567" i="2"/>
  <c r="A567" i="2"/>
  <c r="J566" i="2"/>
  <c r="H566" i="2"/>
  <c r="A566" i="2"/>
  <c r="J565" i="2"/>
  <c r="H565" i="2"/>
  <c r="A565" i="2"/>
  <c r="J564" i="2"/>
  <c r="H564" i="2"/>
  <c r="A564" i="2"/>
  <c r="J563" i="2"/>
  <c r="H563" i="2"/>
  <c r="A563" i="2"/>
  <c r="J562" i="2"/>
  <c r="H562" i="2"/>
  <c r="A562" i="2"/>
  <c r="J561" i="2"/>
  <c r="H561" i="2"/>
  <c r="A561" i="2"/>
  <c r="J560" i="2"/>
  <c r="H560" i="2"/>
  <c r="A560" i="2"/>
  <c r="J559" i="2"/>
  <c r="H559" i="2"/>
  <c r="A559" i="2"/>
  <c r="J558" i="2"/>
  <c r="H558" i="2"/>
  <c r="A558" i="2"/>
  <c r="J557" i="2"/>
  <c r="H557" i="2"/>
  <c r="A557" i="2"/>
  <c r="J556" i="2"/>
  <c r="H556" i="2"/>
  <c r="A556" i="2"/>
  <c r="J555" i="2"/>
  <c r="H555" i="2"/>
  <c r="A555" i="2"/>
  <c r="J554" i="2"/>
  <c r="H554" i="2"/>
  <c r="A554" i="2"/>
  <c r="J553" i="2"/>
  <c r="H553" i="2"/>
  <c r="A553" i="2"/>
  <c r="J552" i="2"/>
  <c r="H552" i="2"/>
  <c r="A552" i="2"/>
  <c r="J551" i="2"/>
  <c r="H551" i="2"/>
  <c r="A551" i="2"/>
  <c r="J550" i="2"/>
  <c r="H550" i="2"/>
  <c r="A550" i="2"/>
  <c r="J549" i="2"/>
  <c r="H549" i="2"/>
  <c r="A549" i="2"/>
  <c r="J548" i="2"/>
  <c r="H548" i="2"/>
  <c r="A548" i="2"/>
  <c r="J547" i="2"/>
  <c r="H547" i="2"/>
  <c r="A547" i="2"/>
  <c r="J546" i="2"/>
  <c r="H546" i="2"/>
  <c r="A546" i="2"/>
  <c r="J545" i="2"/>
  <c r="H545" i="2"/>
  <c r="A545" i="2"/>
  <c r="J544" i="2"/>
  <c r="H544" i="2"/>
  <c r="A544" i="2"/>
  <c r="J543" i="2"/>
  <c r="H543" i="2"/>
  <c r="A543" i="2"/>
  <c r="J542" i="2"/>
  <c r="H542" i="2"/>
  <c r="A542" i="2"/>
  <c r="J541" i="2"/>
  <c r="H541" i="2"/>
  <c r="A541" i="2"/>
  <c r="J540" i="2"/>
  <c r="H540" i="2"/>
  <c r="A540" i="2"/>
  <c r="J539" i="2"/>
  <c r="H539" i="2"/>
  <c r="A539" i="2"/>
  <c r="J538" i="2"/>
  <c r="H538" i="2"/>
  <c r="A538" i="2"/>
  <c r="J537" i="2"/>
  <c r="H537" i="2"/>
  <c r="A537" i="2"/>
  <c r="J536" i="2"/>
  <c r="H536" i="2"/>
  <c r="A536" i="2"/>
  <c r="J535" i="2"/>
  <c r="H535" i="2"/>
  <c r="A535" i="2"/>
  <c r="J534" i="2"/>
  <c r="H534" i="2"/>
  <c r="A534" i="2"/>
  <c r="J533" i="2"/>
  <c r="H533" i="2"/>
  <c r="A533" i="2"/>
  <c r="J532" i="2"/>
  <c r="H532" i="2"/>
  <c r="A532" i="2"/>
  <c r="J531" i="2"/>
  <c r="H531" i="2"/>
  <c r="A531" i="2"/>
  <c r="J530" i="2"/>
  <c r="H530" i="2"/>
  <c r="A530" i="2"/>
  <c r="J529" i="2"/>
  <c r="H529" i="2"/>
  <c r="A529" i="2"/>
  <c r="J528" i="2"/>
  <c r="H528" i="2"/>
  <c r="A528" i="2"/>
  <c r="J527" i="2"/>
  <c r="H527" i="2"/>
  <c r="A527" i="2"/>
  <c r="J526" i="2"/>
  <c r="H526" i="2"/>
  <c r="A526" i="2"/>
  <c r="J525" i="2"/>
  <c r="H525" i="2"/>
  <c r="A525" i="2"/>
  <c r="J524" i="2"/>
  <c r="H524" i="2"/>
  <c r="A524" i="2"/>
  <c r="J523" i="2"/>
  <c r="H523" i="2"/>
  <c r="A523" i="2"/>
  <c r="J522" i="2"/>
  <c r="H522" i="2"/>
  <c r="A522" i="2"/>
  <c r="J521" i="2"/>
  <c r="H521" i="2"/>
  <c r="A521" i="2"/>
  <c r="J520" i="2"/>
  <c r="H520" i="2"/>
  <c r="A520" i="2"/>
  <c r="J519" i="2"/>
  <c r="H519" i="2"/>
  <c r="A519" i="2"/>
  <c r="J518" i="2"/>
  <c r="H518" i="2"/>
  <c r="A518" i="2"/>
  <c r="J517" i="2"/>
  <c r="H517" i="2"/>
  <c r="A517" i="2"/>
  <c r="J516" i="2"/>
  <c r="H516" i="2"/>
  <c r="A516" i="2"/>
  <c r="J515" i="2"/>
  <c r="H515" i="2"/>
  <c r="A515" i="2"/>
  <c r="J514" i="2"/>
  <c r="H514" i="2"/>
  <c r="A514" i="2"/>
  <c r="J513" i="2"/>
  <c r="H513" i="2"/>
  <c r="A513" i="2"/>
  <c r="J512" i="2"/>
  <c r="H512" i="2"/>
  <c r="A512" i="2"/>
  <c r="J511" i="2"/>
  <c r="H511" i="2"/>
  <c r="A511" i="2"/>
  <c r="J510" i="2"/>
  <c r="H510" i="2"/>
  <c r="A510" i="2"/>
  <c r="J509" i="2"/>
  <c r="H509" i="2"/>
  <c r="A509" i="2"/>
  <c r="J508" i="2"/>
  <c r="H508" i="2"/>
  <c r="A508" i="2"/>
  <c r="J507" i="2"/>
  <c r="H507" i="2"/>
  <c r="A507" i="2"/>
  <c r="J506" i="2"/>
  <c r="H506" i="2"/>
  <c r="A506" i="2"/>
  <c r="J505" i="2"/>
  <c r="H505" i="2"/>
  <c r="A505" i="2"/>
  <c r="J504" i="2"/>
  <c r="H504" i="2"/>
  <c r="A504" i="2"/>
  <c r="J503" i="2"/>
  <c r="H503" i="2"/>
  <c r="A503" i="2"/>
  <c r="J502" i="2"/>
  <c r="H502" i="2"/>
  <c r="A502" i="2"/>
  <c r="J501" i="2"/>
  <c r="H501" i="2"/>
  <c r="A501" i="2"/>
  <c r="J500" i="2"/>
  <c r="H500" i="2"/>
  <c r="A500" i="2"/>
  <c r="J499" i="2"/>
  <c r="H499" i="2"/>
  <c r="A499" i="2"/>
  <c r="J498" i="2"/>
  <c r="H498" i="2"/>
  <c r="A498" i="2"/>
  <c r="J497" i="2"/>
  <c r="H497" i="2"/>
  <c r="A497" i="2"/>
  <c r="J496" i="2"/>
  <c r="H496" i="2"/>
  <c r="A496" i="2"/>
  <c r="J495" i="2"/>
  <c r="H495" i="2"/>
  <c r="A495" i="2"/>
  <c r="J494" i="2"/>
  <c r="H494" i="2"/>
  <c r="A494" i="2"/>
  <c r="J493" i="2"/>
  <c r="H493" i="2"/>
  <c r="A493" i="2"/>
  <c r="J492" i="2"/>
  <c r="H492" i="2"/>
  <c r="A492" i="2"/>
  <c r="J491" i="2"/>
  <c r="H491" i="2"/>
  <c r="A491" i="2"/>
  <c r="J490" i="2"/>
  <c r="H490" i="2"/>
  <c r="A490" i="2"/>
  <c r="J489" i="2"/>
  <c r="H489" i="2"/>
  <c r="A489" i="2"/>
  <c r="J488" i="2"/>
  <c r="H488" i="2"/>
  <c r="A488" i="2"/>
  <c r="J487" i="2"/>
  <c r="H487" i="2"/>
  <c r="A487" i="2"/>
  <c r="J486" i="2"/>
  <c r="H486" i="2"/>
  <c r="A486" i="2"/>
  <c r="J485" i="2"/>
  <c r="H485" i="2"/>
  <c r="A485" i="2"/>
  <c r="J484" i="2"/>
  <c r="H484" i="2"/>
  <c r="A484" i="2"/>
  <c r="J483" i="2"/>
  <c r="H483" i="2"/>
  <c r="A483" i="2"/>
  <c r="J482" i="2"/>
  <c r="H482" i="2"/>
  <c r="A482" i="2"/>
  <c r="J481" i="2"/>
  <c r="H481" i="2"/>
  <c r="A481" i="2"/>
  <c r="J480" i="2"/>
  <c r="H480" i="2"/>
  <c r="A480" i="2"/>
  <c r="J479" i="2"/>
  <c r="H479" i="2"/>
  <c r="A479" i="2"/>
  <c r="J478" i="2"/>
  <c r="H478" i="2"/>
  <c r="A478" i="2"/>
  <c r="J477" i="2"/>
  <c r="H477" i="2"/>
  <c r="A477" i="2"/>
  <c r="J476" i="2"/>
  <c r="H476" i="2"/>
  <c r="A476" i="2"/>
  <c r="J475" i="2"/>
  <c r="H475" i="2"/>
  <c r="A475" i="2"/>
  <c r="J474" i="2"/>
  <c r="H474" i="2"/>
  <c r="A474" i="2"/>
  <c r="J473" i="2"/>
  <c r="H473" i="2"/>
  <c r="A473" i="2"/>
  <c r="J472" i="2"/>
  <c r="H472" i="2"/>
  <c r="A472" i="2"/>
  <c r="J471" i="2"/>
  <c r="H471" i="2"/>
  <c r="A471" i="2"/>
  <c r="J470" i="2"/>
  <c r="H470" i="2"/>
  <c r="A470" i="2"/>
  <c r="J469" i="2"/>
  <c r="H469" i="2"/>
  <c r="A469" i="2"/>
  <c r="J468" i="2"/>
  <c r="H468" i="2"/>
  <c r="A468" i="2"/>
  <c r="J467" i="2"/>
  <c r="H467" i="2"/>
  <c r="A467" i="2"/>
  <c r="J466" i="2"/>
  <c r="H466" i="2"/>
  <c r="A466" i="2"/>
  <c r="J465" i="2"/>
  <c r="H465" i="2"/>
  <c r="A465" i="2"/>
  <c r="J464" i="2"/>
  <c r="H464" i="2"/>
  <c r="A464" i="2"/>
  <c r="J463" i="2"/>
  <c r="H463" i="2"/>
  <c r="A463" i="2"/>
  <c r="J462" i="2"/>
  <c r="H462" i="2"/>
  <c r="A462" i="2"/>
  <c r="J461" i="2"/>
  <c r="H461" i="2"/>
  <c r="A461" i="2"/>
  <c r="J460" i="2"/>
  <c r="H460" i="2"/>
  <c r="A460" i="2"/>
  <c r="J459" i="2"/>
  <c r="H459" i="2"/>
  <c r="A459" i="2"/>
  <c r="J458" i="2"/>
  <c r="H458" i="2"/>
  <c r="A458" i="2"/>
  <c r="J457" i="2"/>
  <c r="H457" i="2"/>
  <c r="A457" i="2"/>
  <c r="J456" i="2"/>
  <c r="H456" i="2"/>
  <c r="A456" i="2"/>
  <c r="J455" i="2"/>
  <c r="H455" i="2"/>
  <c r="A455" i="2"/>
  <c r="J454" i="2"/>
  <c r="H454" i="2"/>
  <c r="A454" i="2"/>
  <c r="J453" i="2"/>
  <c r="H453" i="2"/>
  <c r="A453" i="2"/>
  <c r="J452" i="2"/>
  <c r="H452" i="2"/>
  <c r="A452" i="2"/>
  <c r="J451" i="2"/>
  <c r="H451" i="2"/>
  <c r="A451" i="2"/>
  <c r="J450" i="2"/>
  <c r="H450" i="2"/>
  <c r="A450" i="2"/>
  <c r="J449" i="2"/>
  <c r="H449" i="2"/>
  <c r="A449" i="2"/>
  <c r="J448" i="2"/>
  <c r="H448" i="2"/>
  <c r="A448" i="2"/>
  <c r="J447" i="2"/>
  <c r="H447" i="2"/>
  <c r="A447" i="2"/>
  <c r="J446" i="2"/>
  <c r="H446" i="2"/>
  <c r="A446" i="2"/>
  <c r="J445" i="2"/>
  <c r="H445" i="2"/>
  <c r="A445" i="2"/>
  <c r="J444" i="2"/>
  <c r="H444" i="2"/>
  <c r="A444" i="2"/>
  <c r="J443" i="2"/>
  <c r="H443" i="2"/>
  <c r="A443" i="2"/>
  <c r="J442" i="2"/>
  <c r="H442" i="2"/>
  <c r="A442" i="2"/>
  <c r="J441" i="2"/>
  <c r="H441" i="2"/>
  <c r="A441" i="2"/>
  <c r="J440" i="2"/>
  <c r="H440" i="2"/>
  <c r="A440" i="2"/>
  <c r="J439" i="2"/>
  <c r="H439" i="2"/>
  <c r="A439" i="2"/>
  <c r="J438" i="2"/>
  <c r="H438" i="2"/>
  <c r="A438" i="2"/>
  <c r="J437" i="2"/>
  <c r="H437" i="2"/>
  <c r="A437" i="2"/>
  <c r="J436" i="2"/>
  <c r="H436" i="2"/>
  <c r="A436" i="2"/>
  <c r="J435" i="2"/>
  <c r="H435" i="2"/>
  <c r="A435" i="2"/>
  <c r="J434" i="2"/>
  <c r="H434" i="2"/>
  <c r="A434" i="2"/>
  <c r="J433" i="2"/>
  <c r="H433" i="2"/>
  <c r="A433" i="2"/>
  <c r="J432" i="2"/>
  <c r="H432" i="2"/>
  <c r="A432" i="2"/>
  <c r="J431" i="2"/>
  <c r="H431" i="2"/>
  <c r="A431" i="2"/>
  <c r="J430" i="2"/>
  <c r="H430" i="2"/>
  <c r="A430" i="2"/>
  <c r="J429" i="2"/>
  <c r="H429" i="2"/>
  <c r="A429" i="2"/>
  <c r="J428" i="2"/>
  <c r="H428" i="2"/>
  <c r="A428" i="2"/>
  <c r="J427" i="2"/>
  <c r="H427" i="2"/>
  <c r="A427" i="2"/>
  <c r="J426" i="2"/>
  <c r="H426" i="2"/>
  <c r="A426" i="2"/>
  <c r="J425" i="2"/>
  <c r="H425" i="2"/>
  <c r="A425" i="2"/>
  <c r="J424" i="2"/>
  <c r="H424" i="2"/>
  <c r="A424" i="2"/>
  <c r="J423" i="2"/>
  <c r="H423" i="2"/>
  <c r="A423" i="2"/>
  <c r="J422" i="2"/>
  <c r="H422" i="2"/>
  <c r="A422" i="2"/>
  <c r="J421" i="2"/>
  <c r="H421" i="2"/>
  <c r="A421" i="2"/>
  <c r="J420" i="2"/>
  <c r="H420" i="2"/>
  <c r="A420" i="2"/>
  <c r="J419" i="2"/>
  <c r="H419" i="2"/>
  <c r="A419" i="2"/>
  <c r="J418" i="2"/>
  <c r="H418" i="2"/>
  <c r="A418" i="2"/>
  <c r="J417" i="2"/>
  <c r="H417" i="2"/>
  <c r="A417" i="2"/>
  <c r="J416" i="2"/>
  <c r="H416" i="2"/>
  <c r="A416" i="2"/>
  <c r="J415" i="2"/>
  <c r="H415" i="2"/>
  <c r="A415" i="2"/>
  <c r="J414" i="2"/>
  <c r="H414" i="2"/>
  <c r="A414" i="2"/>
  <c r="J413" i="2"/>
  <c r="H413" i="2"/>
  <c r="A413" i="2"/>
  <c r="J412" i="2"/>
  <c r="H412" i="2"/>
  <c r="A412" i="2"/>
  <c r="J411" i="2"/>
  <c r="H411" i="2"/>
  <c r="A411" i="2"/>
  <c r="J410" i="2"/>
  <c r="H410" i="2"/>
  <c r="A410" i="2"/>
  <c r="J409" i="2"/>
  <c r="H409" i="2"/>
  <c r="A409" i="2"/>
  <c r="J408" i="2"/>
  <c r="H408" i="2"/>
  <c r="A408" i="2"/>
  <c r="J407" i="2"/>
  <c r="H407" i="2"/>
  <c r="A407" i="2"/>
  <c r="J406" i="2"/>
  <c r="H406" i="2"/>
  <c r="A406" i="2"/>
  <c r="J405" i="2"/>
  <c r="H405" i="2"/>
  <c r="A405" i="2"/>
  <c r="J404" i="2"/>
  <c r="H404" i="2"/>
  <c r="A404" i="2"/>
  <c r="J403" i="2"/>
  <c r="H403" i="2"/>
  <c r="A403" i="2"/>
  <c r="J402" i="2"/>
  <c r="H402" i="2"/>
  <c r="A402" i="2"/>
  <c r="J401" i="2"/>
  <c r="H401" i="2"/>
  <c r="A401" i="2"/>
  <c r="J400" i="2"/>
  <c r="H400" i="2"/>
  <c r="A400" i="2"/>
  <c r="J399" i="2"/>
  <c r="H399" i="2"/>
  <c r="A399" i="2"/>
  <c r="J398" i="2"/>
  <c r="H398" i="2"/>
  <c r="A398" i="2"/>
  <c r="J397" i="2"/>
  <c r="H397" i="2"/>
  <c r="A397" i="2"/>
  <c r="J396" i="2"/>
  <c r="H396" i="2"/>
  <c r="A396" i="2"/>
  <c r="J395" i="2"/>
  <c r="H395" i="2"/>
  <c r="A395" i="2"/>
  <c r="J394" i="2"/>
  <c r="H394" i="2"/>
  <c r="A394" i="2"/>
  <c r="J393" i="2"/>
  <c r="H393" i="2"/>
  <c r="A393" i="2"/>
  <c r="J392" i="2"/>
  <c r="H392" i="2"/>
  <c r="A392" i="2"/>
  <c r="J391" i="2"/>
  <c r="H391" i="2"/>
  <c r="A391" i="2"/>
  <c r="J390" i="2"/>
  <c r="H390" i="2"/>
  <c r="A390" i="2"/>
  <c r="J389" i="2"/>
  <c r="H389" i="2"/>
  <c r="A389" i="2"/>
  <c r="J388" i="2"/>
  <c r="H388" i="2"/>
  <c r="A388" i="2"/>
  <c r="J387" i="2"/>
  <c r="H387" i="2"/>
  <c r="A387" i="2"/>
  <c r="J386" i="2"/>
  <c r="H386" i="2"/>
  <c r="A386" i="2"/>
  <c r="J385" i="2"/>
  <c r="H385" i="2"/>
  <c r="A385" i="2"/>
  <c r="J384" i="2"/>
  <c r="H384" i="2"/>
  <c r="A384" i="2"/>
  <c r="J383" i="2"/>
  <c r="H383" i="2"/>
  <c r="A383" i="2"/>
  <c r="J382" i="2"/>
  <c r="H382" i="2"/>
  <c r="A382" i="2"/>
  <c r="J381" i="2"/>
  <c r="H381" i="2"/>
  <c r="A381" i="2"/>
  <c r="J380" i="2"/>
  <c r="H380" i="2"/>
  <c r="A380" i="2"/>
  <c r="J379" i="2"/>
  <c r="H379" i="2"/>
  <c r="A379" i="2"/>
  <c r="J378" i="2"/>
  <c r="H378" i="2"/>
  <c r="A378" i="2"/>
  <c r="J377" i="2"/>
  <c r="H377" i="2"/>
  <c r="A377" i="2"/>
  <c r="J376" i="2"/>
  <c r="H376" i="2"/>
  <c r="A376" i="2"/>
  <c r="J375" i="2"/>
  <c r="H375" i="2"/>
  <c r="A375" i="2"/>
  <c r="J374" i="2"/>
  <c r="H374" i="2"/>
  <c r="A374" i="2"/>
  <c r="J373" i="2"/>
  <c r="H373" i="2"/>
  <c r="A373" i="2"/>
  <c r="J372" i="2"/>
  <c r="H372" i="2"/>
  <c r="A372" i="2"/>
  <c r="J371" i="2"/>
  <c r="H371" i="2"/>
  <c r="A371" i="2"/>
  <c r="J370" i="2"/>
  <c r="H370" i="2"/>
  <c r="A370" i="2"/>
  <c r="J369" i="2"/>
  <c r="H369" i="2"/>
  <c r="A369" i="2"/>
  <c r="J368" i="2"/>
  <c r="H368" i="2"/>
  <c r="A368" i="2"/>
  <c r="J367" i="2"/>
  <c r="H367" i="2"/>
  <c r="A367" i="2"/>
  <c r="J366" i="2"/>
  <c r="H366" i="2"/>
  <c r="A366" i="2"/>
  <c r="J365" i="2"/>
  <c r="H365" i="2"/>
  <c r="A365" i="2"/>
  <c r="J364" i="2"/>
  <c r="H364" i="2"/>
  <c r="A364" i="2"/>
  <c r="J363" i="2"/>
  <c r="H363" i="2"/>
  <c r="A363" i="2"/>
  <c r="J362" i="2"/>
  <c r="H362" i="2"/>
  <c r="A362" i="2"/>
  <c r="J361" i="2"/>
  <c r="H361" i="2"/>
  <c r="A361" i="2"/>
  <c r="J360" i="2"/>
  <c r="H360" i="2"/>
  <c r="A360" i="2"/>
  <c r="J359" i="2"/>
  <c r="H359" i="2"/>
  <c r="A359" i="2"/>
  <c r="J358" i="2"/>
  <c r="H358" i="2"/>
  <c r="A358" i="2"/>
  <c r="J357" i="2"/>
  <c r="H357" i="2"/>
  <c r="A357" i="2"/>
  <c r="J356" i="2"/>
  <c r="H356" i="2"/>
  <c r="A356" i="2"/>
  <c r="J355" i="2"/>
  <c r="H355" i="2"/>
  <c r="A355" i="2"/>
  <c r="J354" i="2"/>
  <c r="H354" i="2"/>
  <c r="A354" i="2"/>
  <c r="J353" i="2"/>
  <c r="H353" i="2"/>
  <c r="A353" i="2"/>
  <c r="J352" i="2"/>
  <c r="H352" i="2"/>
  <c r="A352" i="2"/>
  <c r="J351" i="2"/>
  <c r="H351" i="2"/>
  <c r="A351" i="2"/>
  <c r="J350" i="2"/>
  <c r="H350" i="2"/>
  <c r="A350" i="2"/>
  <c r="J349" i="2"/>
  <c r="H349" i="2"/>
  <c r="A349" i="2"/>
  <c r="J348" i="2"/>
  <c r="H348" i="2"/>
  <c r="A348" i="2"/>
  <c r="J347" i="2"/>
  <c r="H347" i="2"/>
  <c r="A347" i="2"/>
  <c r="J346" i="2"/>
  <c r="H346" i="2"/>
  <c r="A346" i="2"/>
  <c r="J345" i="2"/>
  <c r="H345" i="2"/>
  <c r="A345" i="2"/>
  <c r="J344" i="2"/>
  <c r="H344" i="2"/>
  <c r="A344" i="2"/>
  <c r="J343" i="2"/>
  <c r="H343" i="2"/>
  <c r="A343" i="2"/>
  <c r="J342" i="2"/>
  <c r="H342" i="2"/>
  <c r="A342" i="2"/>
  <c r="J341" i="2"/>
  <c r="H341" i="2"/>
  <c r="A341" i="2"/>
  <c r="J340" i="2"/>
  <c r="H340" i="2"/>
  <c r="A340" i="2"/>
  <c r="J339" i="2"/>
  <c r="H339" i="2"/>
  <c r="A339" i="2"/>
  <c r="J338" i="2"/>
  <c r="H338" i="2"/>
  <c r="A338" i="2"/>
  <c r="J337" i="2"/>
  <c r="H337" i="2"/>
  <c r="A337" i="2"/>
  <c r="J336" i="2"/>
  <c r="H336" i="2"/>
  <c r="A336" i="2"/>
  <c r="J335" i="2"/>
  <c r="H335" i="2"/>
  <c r="A335" i="2"/>
  <c r="J334" i="2"/>
  <c r="H334" i="2"/>
  <c r="A334" i="2"/>
  <c r="J333" i="2"/>
  <c r="H333" i="2"/>
  <c r="A333" i="2"/>
  <c r="J332" i="2"/>
  <c r="H332" i="2"/>
  <c r="A332" i="2"/>
  <c r="J331" i="2"/>
  <c r="H331" i="2"/>
  <c r="A331" i="2"/>
  <c r="J330" i="2"/>
  <c r="H330" i="2"/>
  <c r="A330" i="2"/>
  <c r="J329" i="2"/>
  <c r="H329" i="2"/>
  <c r="A329" i="2"/>
  <c r="J328" i="2"/>
  <c r="H328" i="2"/>
  <c r="A328" i="2"/>
  <c r="J327" i="2"/>
  <c r="H327" i="2"/>
  <c r="A327" i="2"/>
  <c r="J326" i="2"/>
  <c r="H326" i="2"/>
  <c r="A326" i="2"/>
  <c r="J325" i="2"/>
  <c r="H325" i="2"/>
  <c r="A325" i="2"/>
  <c r="J324" i="2"/>
  <c r="H324" i="2"/>
  <c r="A324" i="2"/>
  <c r="J323" i="2"/>
  <c r="H323" i="2"/>
  <c r="A323" i="2"/>
  <c r="J322" i="2"/>
  <c r="H322" i="2"/>
  <c r="A322" i="2"/>
  <c r="J321" i="2"/>
  <c r="H321" i="2"/>
  <c r="A321" i="2"/>
  <c r="J320" i="2"/>
  <c r="H320" i="2"/>
  <c r="A320" i="2"/>
  <c r="J319" i="2"/>
  <c r="H319" i="2"/>
  <c r="A319" i="2"/>
  <c r="J318" i="2"/>
  <c r="H318" i="2"/>
  <c r="A318" i="2"/>
  <c r="J317" i="2"/>
  <c r="H317" i="2"/>
  <c r="A317" i="2"/>
  <c r="J316" i="2"/>
  <c r="H316" i="2"/>
  <c r="A316" i="2"/>
  <c r="J315" i="2"/>
  <c r="H315" i="2"/>
  <c r="A315" i="2"/>
  <c r="J314" i="2"/>
  <c r="H314" i="2"/>
  <c r="A314" i="2"/>
  <c r="J313" i="2"/>
  <c r="H313" i="2"/>
  <c r="A313" i="2"/>
  <c r="J312" i="2"/>
  <c r="H312" i="2"/>
  <c r="A312" i="2"/>
  <c r="J311" i="2"/>
  <c r="H311" i="2"/>
  <c r="A311" i="2"/>
  <c r="J310" i="2"/>
  <c r="H310" i="2"/>
  <c r="A310" i="2"/>
  <c r="J309" i="2"/>
  <c r="H309" i="2"/>
  <c r="A309" i="2"/>
  <c r="J308" i="2"/>
  <c r="H308" i="2"/>
  <c r="A308" i="2"/>
  <c r="J307" i="2"/>
  <c r="H307" i="2"/>
  <c r="A307" i="2"/>
  <c r="J306" i="2"/>
  <c r="H306" i="2"/>
  <c r="A306" i="2"/>
  <c r="J305" i="2"/>
  <c r="H305" i="2"/>
  <c r="A305" i="2"/>
  <c r="J304" i="2"/>
  <c r="H304" i="2"/>
  <c r="A304" i="2"/>
  <c r="J303" i="2"/>
  <c r="H303" i="2"/>
  <c r="A303" i="2"/>
  <c r="J302" i="2"/>
  <c r="H302" i="2"/>
  <c r="A302" i="2"/>
  <c r="J301" i="2"/>
  <c r="H301" i="2"/>
  <c r="A301" i="2"/>
  <c r="J300" i="2"/>
  <c r="H300" i="2"/>
  <c r="A300" i="2"/>
  <c r="J299" i="2"/>
  <c r="H299" i="2"/>
  <c r="A299" i="2"/>
  <c r="J298" i="2"/>
  <c r="H298" i="2"/>
  <c r="A298" i="2"/>
  <c r="J297" i="2"/>
  <c r="H297" i="2"/>
  <c r="A297" i="2"/>
  <c r="J296" i="2"/>
  <c r="H296" i="2"/>
  <c r="A296" i="2"/>
  <c r="J295" i="2"/>
  <c r="H295" i="2"/>
  <c r="A295" i="2"/>
  <c r="J294" i="2"/>
  <c r="H294" i="2"/>
  <c r="A294" i="2"/>
  <c r="J293" i="2"/>
  <c r="H293" i="2"/>
  <c r="A293" i="2"/>
  <c r="J292" i="2"/>
  <c r="H292" i="2"/>
  <c r="A292" i="2"/>
  <c r="J291" i="2"/>
  <c r="H291" i="2"/>
  <c r="A291" i="2"/>
  <c r="J290" i="2"/>
  <c r="H290" i="2"/>
  <c r="A290" i="2"/>
  <c r="J289" i="2"/>
  <c r="H289" i="2"/>
  <c r="A289" i="2"/>
  <c r="J288" i="2"/>
  <c r="H288" i="2"/>
  <c r="A288" i="2"/>
  <c r="J287" i="2"/>
  <c r="H287" i="2"/>
  <c r="A287" i="2"/>
  <c r="J286" i="2"/>
  <c r="H286" i="2"/>
  <c r="A286" i="2"/>
  <c r="J285" i="2"/>
  <c r="H285" i="2"/>
  <c r="A285" i="2"/>
  <c r="J284" i="2"/>
  <c r="H284" i="2"/>
  <c r="A284" i="2"/>
  <c r="J283" i="2"/>
  <c r="H283" i="2"/>
  <c r="A283" i="2"/>
  <c r="J282" i="2"/>
  <c r="H282" i="2"/>
  <c r="A282" i="2"/>
  <c r="J281" i="2"/>
  <c r="H281" i="2"/>
  <c r="A281" i="2"/>
  <c r="J280" i="2"/>
  <c r="H280" i="2"/>
  <c r="A280" i="2"/>
  <c r="J279" i="2"/>
  <c r="H279" i="2"/>
  <c r="A279" i="2"/>
  <c r="J278" i="2"/>
  <c r="H278" i="2"/>
  <c r="A278" i="2"/>
  <c r="J277" i="2"/>
  <c r="H277" i="2"/>
  <c r="A277" i="2"/>
  <c r="J276" i="2"/>
  <c r="H276" i="2"/>
  <c r="A276" i="2"/>
  <c r="J275" i="2"/>
  <c r="H275" i="2"/>
  <c r="A275" i="2"/>
  <c r="J274" i="2"/>
  <c r="H274" i="2"/>
  <c r="A274" i="2"/>
  <c r="J273" i="2"/>
  <c r="H273" i="2"/>
  <c r="A273" i="2"/>
  <c r="J272" i="2"/>
  <c r="H272" i="2"/>
  <c r="A272" i="2"/>
  <c r="J271" i="2"/>
  <c r="H271" i="2"/>
  <c r="A271" i="2"/>
  <c r="J270" i="2"/>
  <c r="H270" i="2"/>
  <c r="A270" i="2"/>
  <c r="J269" i="2"/>
  <c r="H269" i="2"/>
  <c r="A269" i="2"/>
  <c r="J268" i="2"/>
  <c r="H268" i="2"/>
  <c r="A268" i="2"/>
  <c r="J267" i="2"/>
  <c r="H267" i="2"/>
  <c r="A267" i="2"/>
  <c r="J266" i="2"/>
  <c r="H266" i="2"/>
  <c r="A266" i="2"/>
  <c r="J265" i="2"/>
  <c r="H265" i="2"/>
  <c r="A265" i="2"/>
  <c r="J264" i="2"/>
  <c r="H264" i="2"/>
  <c r="A264" i="2"/>
  <c r="J263" i="2"/>
  <c r="H263" i="2"/>
  <c r="A263" i="2"/>
  <c r="J262" i="2"/>
  <c r="H262" i="2"/>
  <c r="A262" i="2"/>
  <c r="J261" i="2"/>
  <c r="H261" i="2"/>
  <c r="A261" i="2"/>
  <c r="J260" i="2"/>
  <c r="H260" i="2"/>
  <c r="A260" i="2"/>
  <c r="J259" i="2"/>
  <c r="H259" i="2"/>
  <c r="A259" i="2"/>
  <c r="J258" i="2"/>
  <c r="H258" i="2"/>
  <c r="A258" i="2"/>
  <c r="J257" i="2"/>
  <c r="H257" i="2"/>
  <c r="A257" i="2"/>
  <c r="J256" i="2"/>
  <c r="H256" i="2"/>
  <c r="A256" i="2"/>
  <c r="J255" i="2"/>
  <c r="H255" i="2"/>
  <c r="A255" i="2"/>
  <c r="J254" i="2"/>
  <c r="H254" i="2"/>
  <c r="A254" i="2"/>
  <c r="J253" i="2"/>
  <c r="H253" i="2"/>
  <c r="A253" i="2"/>
  <c r="J252" i="2"/>
  <c r="H252" i="2"/>
  <c r="A252" i="2"/>
  <c r="J251" i="2"/>
  <c r="H251" i="2"/>
  <c r="A251" i="2"/>
  <c r="J250" i="2"/>
  <c r="H250" i="2"/>
  <c r="A250" i="2"/>
  <c r="J249" i="2"/>
  <c r="H249" i="2"/>
  <c r="A249" i="2"/>
  <c r="J248" i="2"/>
  <c r="H248" i="2"/>
  <c r="A248" i="2"/>
  <c r="J247" i="2"/>
  <c r="H247" i="2"/>
  <c r="A247" i="2"/>
  <c r="J246" i="2"/>
  <c r="H246" i="2"/>
  <c r="A246" i="2"/>
  <c r="J245" i="2"/>
  <c r="H245" i="2"/>
  <c r="A245" i="2"/>
  <c r="J244" i="2"/>
  <c r="H244" i="2"/>
  <c r="A244" i="2"/>
  <c r="J243" i="2"/>
  <c r="H243" i="2"/>
  <c r="A243" i="2"/>
  <c r="J242" i="2"/>
  <c r="H242" i="2"/>
  <c r="A242" i="2"/>
  <c r="J241" i="2"/>
  <c r="H241" i="2"/>
  <c r="A241" i="2"/>
  <c r="J240" i="2"/>
  <c r="H240" i="2"/>
  <c r="A240" i="2"/>
  <c r="J239" i="2"/>
  <c r="H239" i="2"/>
  <c r="A239" i="2"/>
  <c r="J238" i="2"/>
  <c r="H238" i="2"/>
  <c r="A238" i="2"/>
  <c r="J237" i="2"/>
  <c r="H237" i="2"/>
  <c r="A237" i="2"/>
  <c r="J236" i="2"/>
  <c r="H236" i="2"/>
  <c r="A236" i="2"/>
  <c r="J235" i="2"/>
  <c r="H235" i="2"/>
  <c r="A235" i="2"/>
  <c r="J234" i="2"/>
  <c r="H234" i="2"/>
  <c r="A234" i="2"/>
  <c r="J233" i="2"/>
  <c r="H233" i="2"/>
  <c r="A233" i="2"/>
  <c r="J232" i="2"/>
  <c r="H232" i="2"/>
  <c r="A232" i="2"/>
  <c r="J231" i="2"/>
  <c r="H231" i="2"/>
  <c r="A231" i="2"/>
  <c r="J230" i="2"/>
  <c r="H230" i="2"/>
  <c r="A230" i="2"/>
  <c r="J229" i="2"/>
  <c r="H229" i="2"/>
  <c r="A229" i="2"/>
  <c r="J228" i="2"/>
  <c r="H228" i="2"/>
  <c r="A228" i="2"/>
  <c r="J227" i="2"/>
  <c r="H227" i="2"/>
  <c r="A227" i="2"/>
  <c r="J226" i="2"/>
  <c r="H226" i="2"/>
  <c r="A226" i="2"/>
  <c r="J225" i="2"/>
  <c r="H225" i="2"/>
  <c r="A225" i="2"/>
  <c r="J224" i="2"/>
  <c r="H224" i="2"/>
  <c r="A224" i="2"/>
  <c r="J223" i="2"/>
  <c r="H223" i="2"/>
  <c r="A223" i="2"/>
  <c r="J222" i="2"/>
  <c r="H222" i="2"/>
  <c r="A222" i="2"/>
  <c r="J221" i="2"/>
  <c r="H221" i="2"/>
  <c r="A221" i="2"/>
  <c r="J220" i="2"/>
  <c r="H220" i="2"/>
  <c r="A220" i="2"/>
  <c r="J219" i="2"/>
  <c r="H219" i="2"/>
  <c r="A219" i="2"/>
  <c r="J218" i="2"/>
  <c r="H218" i="2"/>
  <c r="A218" i="2"/>
  <c r="J217" i="2"/>
  <c r="H217" i="2"/>
  <c r="A217" i="2"/>
  <c r="J216" i="2"/>
  <c r="H216" i="2"/>
  <c r="A216" i="2"/>
  <c r="J215" i="2"/>
  <c r="H215" i="2"/>
  <c r="A215" i="2"/>
  <c r="J214" i="2"/>
  <c r="H214" i="2"/>
  <c r="A214" i="2"/>
  <c r="J213" i="2"/>
  <c r="H213" i="2"/>
  <c r="A213" i="2"/>
  <c r="J212" i="2"/>
  <c r="H212" i="2"/>
  <c r="A212" i="2"/>
  <c r="J211" i="2"/>
  <c r="H211" i="2"/>
  <c r="A211" i="2"/>
  <c r="J210" i="2"/>
  <c r="H210" i="2"/>
  <c r="A210" i="2"/>
  <c r="J209" i="2"/>
  <c r="H209" i="2"/>
  <c r="A209" i="2"/>
  <c r="J208" i="2"/>
  <c r="H208" i="2"/>
  <c r="A208" i="2"/>
  <c r="J207" i="2"/>
  <c r="H207" i="2"/>
  <c r="A207" i="2"/>
  <c r="J206" i="2"/>
  <c r="H206" i="2"/>
  <c r="A206" i="2"/>
  <c r="J205" i="2"/>
  <c r="H205" i="2"/>
  <c r="A205" i="2"/>
  <c r="J204" i="2"/>
  <c r="H204" i="2"/>
  <c r="A204" i="2"/>
  <c r="J203" i="2"/>
  <c r="H203" i="2"/>
  <c r="A203" i="2"/>
  <c r="J202" i="2"/>
  <c r="H202" i="2"/>
  <c r="A202" i="2"/>
  <c r="J201" i="2"/>
  <c r="H201" i="2"/>
  <c r="A201" i="2"/>
  <c r="J200" i="2"/>
  <c r="H200" i="2"/>
  <c r="A200" i="2"/>
  <c r="J199" i="2"/>
  <c r="H199" i="2"/>
  <c r="A199" i="2"/>
  <c r="J198" i="2"/>
  <c r="H198" i="2"/>
  <c r="A198" i="2"/>
  <c r="J197" i="2"/>
  <c r="H197" i="2"/>
  <c r="A197" i="2"/>
  <c r="J196" i="2"/>
  <c r="H196" i="2"/>
  <c r="A196" i="2"/>
  <c r="J195" i="2"/>
  <c r="H195" i="2"/>
  <c r="A195" i="2"/>
  <c r="J194" i="2"/>
  <c r="H194" i="2"/>
  <c r="A194" i="2"/>
  <c r="J193" i="2"/>
  <c r="H193" i="2"/>
  <c r="A193" i="2"/>
  <c r="J192" i="2"/>
  <c r="H192" i="2"/>
  <c r="A192" i="2"/>
  <c r="J191" i="2"/>
  <c r="H191" i="2"/>
  <c r="A191" i="2"/>
  <c r="J190" i="2"/>
  <c r="H190" i="2"/>
  <c r="A190" i="2"/>
  <c r="J189" i="2"/>
  <c r="H189" i="2"/>
  <c r="A189" i="2"/>
  <c r="J188" i="2"/>
  <c r="H188" i="2"/>
  <c r="A188" i="2"/>
  <c r="J187" i="2"/>
  <c r="H187" i="2"/>
  <c r="A187" i="2"/>
  <c r="J186" i="2"/>
  <c r="H186" i="2"/>
  <c r="A186" i="2"/>
  <c r="J185" i="2"/>
  <c r="H185" i="2"/>
  <c r="A185" i="2"/>
  <c r="J184" i="2"/>
  <c r="H184" i="2"/>
  <c r="A184" i="2"/>
  <c r="J183" i="2"/>
  <c r="H183" i="2"/>
  <c r="A183" i="2"/>
  <c r="J182" i="2"/>
  <c r="H182" i="2"/>
  <c r="A182" i="2"/>
  <c r="J181" i="2"/>
  <c r="H181" i="2"/>
  <c r="A181" i="2"/>
  <c r="J180" i="2"/>
  <c r="H180" i="2"/>
  <c r="A180" i="2"/>
  <c r="J179" i="2"/>
  <c r="H179" i="2"/>
  <c r="A179" i="2"/>
  <c r="J178" i="2"/>
  <c r="H178" i="2"/>
  <c r="A178" i="2"/>
  <c r="J177" i="2"/>
  <c r="H177" i="2"/>
  <c r="A177" i="2"/>
  <c r="J176" i="2"/>
  <c r="H176" i="2"/>
  <c r="A176" i="2"/>
  <c r="J175" i="2"/>
  <c r="H175" i="2"/>
  <c r="A175" i="2"/>
  <c r="J174" i="2"/>
  <c r="H174" i="2"/>
  <c r="A174" i="2"/>
  <c r="J173" i="2"/>
  <c r="H173" i="2"/>
  <c r="A173" i="2"/>
  <c r="J172" i="2"/>
  <c r="H172" i="2"/>
  <c r="A172" i="2"/>
  <c r="J171" i="2"/>
  <c r="H171" i="2"/>
  <c r="A171" i="2"/>
  <c r="J170" i="2"/>
  <c r="H170" i="2"/>
  <c r="A170" i="2"/>
  <c r="J169" i="2"/>
  <c r="H169" i="2"/>
  <c r="A169" i="2"/>
  <c r="J168" i="2"/>
  <c r="H168" i="2"/>
  <c r="A168" i="2"/>
  <c r="J167" i="2"/>
  <c r="H167" i="2"/>
  <c r="A167" i="2"/>
  <c r="J166" i="2"/>
  <c r="H166" i="2"/>
  <c r="A166" i="2"/>
  <c r="J165" i="2"/>
  <c r="H165" i="2"/>
  <c r="A165" i="2"/>
  <c r="J164" i="2"/>
  <c r="H164" i="2"/>
  <c r="A164" i="2"/>
  <c r="J163" i="2"/>
  <c r="H163" i="2"/>
  <c r="A163" i="2"/>
  <c r="J162" i="2"/>
  <c r="H162" i="2"/>
  <c r="A162" i="2"/>
  <c r="J161" i="2"/>
  <c r="H161" i="2"/>
  <c r="A161" i="2"/>
  <c r="J160" i="2"/>
  <c r="H160" i="2"/>
  <c r="A160" i="2"/>
  <c r="J159" i="2"/>
  <c r="H159" i="2"/>
  <c r="A159" i="2"/>
  <c r="J158" i="2"/>
  <c r="H158" i="2"/>
  <c r="A158" i="2"/>
  <c r="J157" i="2"/>
  <c r="H157" i="2"/>
  <c r="A157" i="2"/>
  <c r="J156" i="2"/>
  <c r="H156" i="2"/>
  <c r="A156" i="2"/>
  <c r="J155" i="2"/>
  <c r="H155" i="2"/>
  <c r="A155" i="2"/>
  <c r="J154" i="2"/>
  <c r="H154" i="2"/>
  <c r="A154" i="2"/>
  <c r="J153" i="2"/>
  <c r="H153" i="2"/>
  <c r="A153" i="2"/>
  <c r="J152" i="2"/>
  <c r="H152" i="2"/>
  <c r="A152" i="2"/>
  <c r="J151" i="2"/>
  <c r="H151" i="2"/>
  <c r="A151" i="2"/>
  <c r="J150" i="2"/>
  <c r="H150" i="2"/>
  <c r="A150" i="2"/>
  <c r="J149" i="2"/>
  <c r="H149" i="2"/>
  <c r="A149" i="2"/>
  <c r="J148" i="2"/>
  <c r="H148" i="2"/>
  <c r="A148" i="2"/>
  <c r="J147" i="2"/>
  <c r="H147" i="2"/>
  <c r="A147" i="2"/>
  <c r="J146" i="2"/>
  <c r="H146" i="2"/>
  <c r="A146" i="2"/>
  <c r="J145" i="2"/>
  <c r="H145" i="2"/>
  <c r="A145" i="2"/>
  <c r="J144" i="2"/>
  <c r="H144" i="2"/>
  <c r="A144" i="2"/>
  <c r="J143" i="2"/>
  <c r="H143" i="2"/>
  <c r="A143" i="2"/>
  <c r="J142" i="2"/>
  <c r="H142" i="2"/>
  <c r="A142" i="2"/>
  <c r="J141" i="2"/>
  <c r="H141" i="2"/>
  <c r="A141" i="2"/>
  <c r="J140" i="2"/>
  <c r="H140" i="2"/>
  <c r="A140" i="2"/>
  <c r="J139" i="2"/>
  <c r="H139" i="2"/>
  <c r="A139" i="2"/>
  <c r="J138" i="2"/>
  <c r="H138" i="2"/>
  <c r="A138" i="2"/>
  <c r="J137" i="2"/>
  <c r="H137" i="2"/>
  <c r="A137" i="2"/>
  <c r="J136" i="2"/>
  <c r="H136" i="2"/>
  <c r="A136" i="2"/>
  <c r="J135" i="2"/>
  <c r="H135" i="2"/>
  <c r="A135" i="2"/>
  <c r="J134" i="2"/>
  <c r="H134" i="2"/>
  <c r="A134" i="2"/>
  <c r="J133" i="2"/>
  <c r="H133" i="2"/>
  <c r="A133" i="2"/>
  <c r="J132" i="2"/>
  <c r="H132" i="2"/>
  <c r="A132" i="2"/>
  <c r="J131" i="2"/>
  <c r="H131" i="2"/>
  <c r="A131" i="2"/>
  <c r="J130" i="2"/>
  <c r="H130" i="2"/>
  <c r="A130" i="2"/>
  <c r="J129" i="2"/>
  <c r="H129" i="2"/>
  <c r="A129" i="2"/>
  <c r="J128" i="2"/>
  <c r="H128" i="2"/>
  <c r="A128" i="2"/>
  <c r="J127" i="2"/>
  <c r="H127" i="2"/>
  <c r="A127" i="2"/>
  <c r="J126" i="2"/>
  <c r="H126" i="2"/>
  <c r="A126" i="2"/>
  <c r="J125" i="2"/>
  <c r="H125" i="2"/>
  <c r="A125" i="2"/>
  <c r="J124" i="2"/>
  <c r="H124" i="2"/>
  <c r="A124" i="2"/>
  <c r="J123" i="2"/>
  <c r="H123" i="2"/>
  <c r="A123" i="2"/>
  <c r="J122" i="2"/>
  <c r="H122" i="2"/>
  <c r="A122" i="2"/>
  <c r="J121" i="2"/>
  <c r="H121" i="2"/>
  <c r="A121" i="2"/>
  <c r="J120" i="2"/>
  <c r="H120" i="2"/>
  <c r="A120" i="2"/>
  <c r="J119" i="2"/>
  <c r="H119" i="2"/>
  <c r="A119" i="2"/>
  <c r="J118" i="2"/>
  <c r="H118" i="2"/>
  <c r="A118" i="2"/>
  <c r="J117" i="2"/>
  <c r="H117" i="2"/>
  <c r="A117" i="2"/>
  <c r="J116" i="2"/>
  <c r="H116" i="2"/>
  <c r="A116" i="2"/>
  <c r="J115" i="2"/>
  <c r="H115" i="2"/>
  <c r="A115" i="2"/>
  <c r="J114" i="2"/>
  <c r="H114" i="2"/>
  <c r="A114" i="2"/>
  <c r="J113" i="2"/>
  <c r="H113" i="2"/>
  <c r="A113" i="2"/>
  <c r="J112" i="2"/>
  <c r="H112" i="2"/>
  <c r="A112" i="2"/>
  <c r="J111" i="2"/>
  <c r="H111" i="2"/>
  <c r="A111" i="2"/>
  <c r="J110" i="2"/>
  <c r="H110" i="2"/>
  <c r="A110" i="2"/>
  <c r="J109" i="2"/>
  <c r="H109" i="2"/>
  <c r="A109" i="2"/>
  <c r="J108" i="2"/>
  <c r="H108" i="2"/>
  <c r="A108" i="2"/>
  <c r="J107" i="2"/>
  <c r="H107" i="2"/>
  <c r="A107" i="2"/>
  <c r="J106" i="2"/>
  <c r="H106" i="2"/>
  <c r="A106" i="2"/>
  <c r="J105" i="2"/>
  <c r="H105" i="2"/>
  <c r="A105" i="2"/>
  <c r="J104" i="2"/>
  <c r="H104" i="2"/>
  <c r="A104" i="2"/>
  <c r="J103" i="2"/>
  <c r="H103" i="2"/>
  <c r="A103" i="2"/>
  <c r="J102" i="2"/>
  <c r="H102" i="2"/>
  <c r="A102" i="2"/>
  <c r="J101" i="2"/>
  <c r="H101" i="2"/>
  <c r="A101" i="2"/>
  <c r="J100" i="2"/>
  <c r="H100" i="2"/>
  <c r="A100" i="2"/>
  <c r="J99" i="2"/>
  <c r="H99" i="2"/>
  <c r="A99" i="2"/>
  <c r="J98" i="2"/>
  <c r="H98" i="2"/>
  <c r="A98" i="2"/>
  <c r="J97" i="2"/>
  <c r="H97" i="2"/>
  <c r="A97" i="2"/>
  <c r="J96" i="2"/>
  <c r="H96" i="2"/>
  <c r="A96" i="2"/>
  <c r="J95" i="2"/>
  <c r="H95" i="2"/>
  <c r="A95" i="2"/>
  <c r="J94" i="2"/>
  <c r="H94" i="2"/>
  <c r="A94" i="2"/>
  <c r="J93" i="2"/>
  <c r="H93" i="2"/>
  <c r="A93" i="2"/>
  <c r="J92" i="2"/>
  <c r="H92" i="2"/>
  <c r="A92" i="2"/>
  <c r="J91" i="2"/>
  <c r="H91" i="2"/>
  <c r="A91" i="2"/>
  <c r="J90" i="2"/>
  <c r="H90" i="2"/>
  <c r="A90" i="2"/>
  <c r="J89" i="2"/>
  <c r="H89" i="2"/>
  <c r="A89" i="2"/>
  <c r="J88" i="2"/>
  <c r="H88" i="2"/>
  <c r="A88" i="2"/>
  <c r="J87" i="2"/>
  <c r="H87" i="2"/>
  <c r="A87" i="2"/>
  <c r="J86" i="2"/>
  <c r="H86" i="2"/>
  <c r="A86" i="2"/>
  <c r="J85" i="2"/>
  <c r="H85" i="2"/>
  <c r="A85" i="2"/>
  <c r="J84" i="2"/>
  <c r="H84" i="2"/>
  <c r="A84" i="2"/>
  <c r="J83" i="2"/>
  <c r="H83" i="2"/>
  <c r="A83" i="2"/>
  <c r="J82" i="2"/>
  <c r="H82" i="2"/>
  <c r="A82" i="2"/>
  <c r="J81" i="2"/>
  <c r="H81" i="2"/>
  <c r="A81" i="2"/>
  <c r="J80" i="2"/>
  <c r="H80" i="2"/>
  <c r="A80" i="2"/>
  <c r="J79" i="2"/>
  <c r="H79" i="2"/>
  <c r="A79" i="2"/>
  <c r="J78" i="2"/>
  <c r="H78" i="2"/>
  <c r="A78" i="2"/>
  <c r="J77" i="2"/>
  <c r="H77" i="2"/>
  <c r="A77" i="2"/>
  <c r="J76" i="2"/>
  <c r="H76" i="2"/>
  <c r="A76" i="2"/>
  <c r="J75" i="2"/>
  <c r="H75" i="2"/>
  <c r="A75" i="2"/>
  <c r="J74" i="2"/>
  <c r="H74" i="2"/>
  <c r="A74" i="2"/>
  <c r="J73" i="2"/>
  <c r="H73" i="2"/>
  <c r="A73" i="2"/>
  <c r="J72" i="2"/>
  <c r="H72" i="2"/>
  <c r="A72" i="2"/>
  <c r="J71" i="2"/>
  <c r="H71" i="2"/>
  <c r="A71" i="2"/>
  <c r="J70" i="2"/>
  <c r="H70" i="2"/>
  <c r="A70" i="2"/>
  <c r="J69" i="2"/>
  <c r="H69" i="2"/>
  <c r="A69" i="2"/>
  <c r="J68" i="2"/>
  <c r="H68" i="2"/>
  <c r="A68" i="2"/>
  <c r="J67" i="2"/>
  <c r="H67" i="2"/>
  <c r="A67" i="2"/>
  <c r="J66" i="2"/>
  <c r="H66" i="2"/>
  <c r="A66" i="2"/>
  <c r="J65" i="2"/>
  <c r="H65" i="2"/>
  <c r="A65" i="2"/>
  <c r="J64" i="2"/>
  <c r="H64" i="2"/>
  <c r="A64" i="2"/>
  <c r="J63" i="2"/>
  <c r="H63" i="2"/>
  <c r="A63" i="2"/>
  <c r="J62" i="2"/>
  <c r="H62" i="2"/>
  <c r="A62" i="2"/>
  <c r="J61" i="2"/>
  <c r="H61" i="2"/>
  <c r="A61" i="2"/>
  <c r="J60" i="2"/>
  <c r="H60" i="2"/>
  <c r="A60" i="2"/>
  <c r="J59" i="2"/>
  <c r="H59" i="2"/>
  <c r="A59" i="2"/>
  <c r="J58" i="2"/>
  <c r="H58" i="2"/>
  <c r="A58" i="2"/>
  <c r="J57" i="2"/>
  <c r="H57" i="2"/>
  <c r="A57" i="2"/>
  <c r="J56" i="2"/>
  <c r="H56" i="2"/>
  <c r="A56" i="2"/>
  <c r="J55" i="2"/>
  <c r="H55" i="2"/>
  <c r="A55" i="2"/>
  <c r="J54" i="2"/>
  <c r="H54" i="2"/>
  <c r="A54" i="2"/>
  <c r="J53" i="2"/>
  <c r="H53" i="2"/>
  <c r="A53" i="2"/>
  <c r="J52" i="2"/>
  <c r="H52" i="2"/>
  <c r="A52" i="2"/>
  <c r="J51" i="2"/>
  <c r="H51" i="2"/>
  <c r="A51" i="2"/>
  <c r="J50" i="2"/>
  <c r="H50" i="2"/>
  <c r="A50" i="2"/>
  <c r="J49" i="2"/>
  <c r="H49" i="2"/>
  <c r="A49" i="2"/>
  <c r="J48" i="2"/>
  <c r="H48" i="2"/>
  <c r="A48" i="2"/>
  <c r="J47" i="2"/>
  <c r="H47" i="2"/>
  <c r="A47" i="2"/>
  <c r="J46" i="2"/>
  <c r="H46" i="2"/>
  <c r="A46" i="2"/>
  <c r="J45" i="2"/>
  <c r="H45" i="2"/>
  <c r="A45" i="2"/>
  <c r="J44" i="2"/>
  <c r="H44" i="2"/>
  <c r="A44" i="2"/>
  <c r="J43" i="2"/>
  <c r="H43" i="2"/>
  <c r="A43" i="2"/>
  <c r="J42" i="2"/>
  <c r="H42" i="2"/>
  <c r="A42" i="2"/>
  <c r="J41" i="2"/>
  <c r="H41" i="2"/>
  <c r="A41" i="2"/>
  <c r="J40" i="2"/>
  <c r="H40" i="2"/>
  <c r="A40" i="2"/>
  <c r="J39" i="2"/>
  <c r="H39" i="2"/>
  <c r="A39" i="2"/>
  <c r="J38" i="2"/>
  <c r="H38" i="2"/>
  <c r="A38" i="2"/>
  <c r="J37" i="2"/>
  <c r="H37" i="2"/>
  <c r="A37" i="2"/>
  <c r="J36" i="2"/>
  <c r="H36" i="2"/>
  <c r="A36" i="2"/>
  <c r="J35" i="2"/>
  <c r="H35" i="2"/>
  <c r="A35" i="2"/>
  <c r="J34" i="2"/>
  <c r="H34" i="2"/>
  <c r="A34" i="2"/>
  <c r="J33" i="2"/>
  <c r="H33" i="2"/>
  <c r="A33" i="2"/>
  <c r="J32" i="2"/>
  <c r="H32" i="2"/>
  <c r="A32" i="2"/>
  <c r="J31" i="2"/>
  <c r="H31" i="2"/>
  <c r="A31" i="2"/>
  <c r="J30" i="2"/>
  <c r="H30" i="2"/>
  <c r="A30" i="2"/>
  <c r="J29" i="2"/>
  <c r="H29" i="2"/>
  <c r="A29" i="2"/>
  <c r="J28" i="2"/>
  <c r="H28" i="2"/>
  <c r="A28" i="2"/>
  <c r="J27" i="2"/>
  <c r="H27" i="2"/>
  <c r="A27" i="2"/>
  <c r="J26" i="2"/>
  <c r="H26" i="2"/>
  <c r="A26" i="2"/>
  <c r="J25" i="2"/>
  <c r="H25" i="2"/>
  <c r="A25" i="2"/>
  <c r="J24" i="2"/>
  <c r="H24" i="2"/>
  <c r="A24" i="2"/>
  <c r="J23" i="2"/>
  <c r="H23" i="2"/>
  <c r="A23" i="2"/>
  <c r="J22" i="2"/>
  <c r="H22" i="2"/>
  <c r="A22" i="2"/>
  <c r="J21" i="2"/>
  <c r="H21" i="2"/>
  <c r="A21" i="2"/>
  <c r="J20" i="2"/>
  <c r="H20" i="2"/>
  <c r="A20" i="2"/>
  <c r="J19" i="2"/>
  <c r="H19" i="2"/>
  <c r="A19" i="2"/>
  <c r="J18" i="2"/>
  <c r="H18" i="2"/>
  <c r="A18" i="2"/>
  <c r="J17" i="2"/>
  <c r="H17" i="2"/>
  <c r="A17" i="2"/>
  <c r="J16" i="2"/>
  <c r="H16" i="2"/>
  <c r="A16" i="2"/>
  <c r="J15" i="2"/>
  <c r="H15" i="2"/>
  <c r="A15" i="2"/>
  <c r="J14" i="2"/>
  <c r="H14" i="2"/>
  <c r="A14" i="2"/>
  <c r="J13" i="2"/>
  <c r="H13" i="2"/>
  <c r="A13" i="2"/>
  <c r="J12" i="2"/>
  <c r="H12" i="2"/>
  <c r="A12" i="2"/>
  <c r="J11" i="2"/>
  <c r="H11" i="2"/>
  <c r="A11" i="2"/>
  <c r="J10" i="2"/>
  <c r="H10" i="2"/>
  <c r="A10" i="2"/>
  <c r="J9" i="2"/>
  <c r="H9" i="2"/>
  <c r="A9" i="2"/>
  <c r="J8" i="2"/>
  <c r="H8" i="2"/>
  <c r="A8" i="2"/>
  <c r="J7" i="2"/>
  <c r="H7" i="2"/>
  <c r="A7" i="2"/>
  <c r="J6" i="2"/>
  <c r="H6" i="2"/>
  <c r="A6" i="2"/>
  <c r="J5" i="2"/>
  <c r="H5" i="2"/>
  <c r="J2001" i="2" l="1"/>
  <c r="L2" i="2" s="1"/>
  <c r="C182" i="1" l="1"/>
  <c r="C29" i="1"/>
  <c r="C301" i="1"/>
  <c r="C78" i="1"/>
  <c r="C302" i="1"/>
  <c r="C155" i="1"/>
  <c r="C172" i="1"/>
  <c r="C128" i="1"/>
  <c r="C132" i="1"/>
  <c r="C51" i="1"/>
  <c r="C68" i="1"/>
  <c r="C69" i="1"/>
  <c r="C242" i="1"/>
  <c r="C217" i="1"/>
  <c r="C239" i="1"/>
  <c r="C271" i="1"/>
  <c r="C237" i="1"/>
  <c r="C84" i="1"/>
  <c r="C272" i="1"/>
  <c r="C110" i="1"/>
  <c r="C133" i="1"/>
  <c r="C143" i="1"/>
  <c r="C288" i="1"/>
  <c r="C200" i="1"/>
  <c r="C73" i="1"/>
  <c r="C278" i="1"/>
  <c r="C150" i="1"/>
  <c r="C304" i="1"/>
  <c r="C16" i="1"/>
  <c r="C171" i="1"/>
  <c r="C31" i="1"/>
  <c r="C157" i="1"/>
  <c r="C146" i="1"/>
  <c r="C144" i="1"/>
  <c r="C201" i="1"/>
  <c r="C52" i="1"/>
  <c r="C149" i="1"/>
  <c r="C195" i="1"/>
  <c r="C223" i="1"/>
  <c r="C216" i="1"/>
  <c r="C60" i="1"/>
  <c r="C158" i="1"/>
  <c r="C164" i="1"/>
  <c r="C101" i="1"/>
  <c r="C296" i="1"/>
  <c r="C165" i="1"/>
  <c r="C259" i="1"/>
  <c r="C188" i="1"/>
  <c r="C57" i="1"/>
  <c r="C19" i="1"/>
  <c r="C139" i="1"/>
  <c r="C213" i="1"/>
  <c r="C21" i="1"/>
  <c r="C50" i="1"/>
  <c r="C87" i="1"/>
  <c r="C125" i="1"/>
  <c r="C49" i="1"/>
  <c r="C70" i="1"/>
  <c r="C122" i="1"/>
  <c r="C108" i="1"/>
  <c r="C121" i="1"/>
  <c r="C153" i="1"/>
  <c r="C163" i="1"/>
  <c r="C112" i="1"/>
  <c r="C180" i="1"/>
  <c r="C173" i="1"/>
  <c r="C181" i="1"/>
  <c r="C264" i="1"/>
  <c r="C62" i="1"/>
  <c r="C141" i="1"/>
  <c r="C297" i="1"/>
  <c r="C152" i="1"/>
  <c r="C197" i="1"/>
  <c r="C174" i="1"/>
  <c r="C231" i="1"/>
  <c r="C7" i="1"/>
  <c r="C305" i="1"/>
  <c r="C306" i="1"/>
  <c r="C176" i="1"/>
  <c r="C307" i="1"/>
  <c r="C308" i="1"/>
  <c r="C260" i="1"/>
  <c r="C135" i="1"/>
  <c r="C154" i="1"/>
  <c r="C97" i="1"/>
  <c r="C148" i="1"/>
  <c r="C83" i="1"/>
  <c r="C199" i="1"/>
  <c r="C107" i="1"/>
  <c r="C14" i="1"/>
  <c r="C17" i="1"/>
  <c r="C81" i="1"/>
  <c r="C66" i="1"/>
  <c r="C219" i="1"/>
  <c r="C189" i="1"/>
  <c r="C258" i="1"/>
  <c r="C119" i="1"/>
  <c r="C208" i="1"/>
  <c r="C270" i="1"/>
  <c r="C30" i="1"/>
  <c r="C48" i="1"/>
  <c r="C215" i="1"/>
  <c r="C156" i="1"/>
  <c r="C220" i="1"/>
  <c r="C192" i="1"/>
  <c r="C11" i="1"/>
  <c r="C116" i="1"/>
  <c r="C25" i="1"/>
  <c r="C63" i="1"/>
  <c r="C90" i="1"/>
  <c r="C298" i="1"/>
  <c r="C293" i="1"/>
  <c r="C44" i="1"/>
  <c r="C15" i="1"/>
  <c r="C94" i="1"/>
  <c r="C190" i="1"/>
  <c r="C131" i="1"/>
  <c r="C232" i="1"/>
  <c r="C191" i="1"/>
  <c r="C193" i="1"/>
  <c r="C248" i="1"/>
  <c r="C166" i="1"/>
  <c r="C26" i="1"/>
  <c r="C309" i="1"/>
  <c r="C96" i="1"/>
  <c r="C103" i="1"/>
  <c r="C114" i="1"/>
  <c r="C233" i="1"/>
  <c r="C85" i="1"/>
  <c r="C177" i="1"/>
  <c r="C179" i="1"/>
  <c r="C295" i="1"/>
  <c r="C160" i="1"/>
  <c r="C142" i="1"/>
  <c r="C224" i="1"/>
  <c r="C74" i="1"/>
  <c r="C159" i="1"/>
  <c r="C147" i="1"/>
  <c r="C136" i="1"/>
  <c r="C277" i="1"/>
  <c r="C203" i="1"/>
  <c r="C234" i="1"/>
  <c r="C250" i="1"/>
  <c r="C5" i="1"/>
  <c r="C37" i="1"/>
  <c r="C61" i="1"/>
  <c r="C167" i="1"/>
  <c r="C106" i="1"/>
  <c r="C111" i="1"/>
  <c r="C170" i="1"/>
  <c r="C117" i="1"/>
  <c r="C225" i="1"/>
  <c r="C310" i="1"/>
  <c r="C80" i="1"/>
  <c r="C75" i="1"/>
  <c r="C256" i="1"/>
  <c r="C283" i="1"/>
  <c r="C76" i="1"/>
  <c r="C92" i="1"/>
  <c r="C275" i="1"/>
  <c r="C207" i="1"/>
  <c r="C235" i="1"/>
  <c r="C72" i="1"/>
  <c r="C212" i="1"/>
  <c r="C118" i="1"/>
  <c r="C41" i="1"/>
  <c r="C206" i="1"/>
  <c r="C10" i="1"/>
  <c r="C281" i="1"/>
  <c r="C255" i="1"/>
  <c r="C82" i="1"/>
  <c r="C89" i="1"/>
  <c r="C23" i="1"/>
  <c r="C210" i="1"/>
  <c r="C247" i="1"/>
  <c r="C98" i="1"/>
  <c r="C273" i="1"/>
  <c r="C262" i="1"/>
  <c r="C290" i="1"/>
  <c r="C204" i="1"/>
  <c r="C294" i="1"/>
  <c r="C32" i="1"/>
  <c r="C18" i="1"/>
  <c r="C238" i="1"/>
  <c r="C88" i="1"/>
  <c r="C54" i="1"/>
  <c r="C115" i="1"/>
  <c r="C151" i="1"/>
  <c r="C244" i="1"/>
  <c r="C58" i="1"/>
  <c r="C285" i="1"/>
  <c r="C279" i="1"/>
  <c r="C240" i="1"/>
  <c r="C228" i="1"/>
  <c r="C261" i="1"/>
  <c r="C253" i="1"/>
  <c r="C245" i="1"/>
  <c r="C311" i="1"/>
  <c r="C299" i="1"/>
  <c r="C289" i="1"/>
  <c r="C229" i="1"/>
  <c r="C269" i="1"/>
  <c r="C79" i="1"/>
  <c r="C130" i="1"/>
  <c r="C59" i="1"/>
  <c r="C312" i="1"/>
  <c r="C226" i="1"/>
  <c r="C286" i="1"/>
  <c r="C218" i="1"/>
  <c r="C95" i="1"/>
  <c r="C93" i="1"/>
  <c r="C22" i="1"/>
  <c r="C263" i="1"/>
  <c r="C209" i="1"/>
  <c r="C266" i="1"/>
  <c r="C8" i="1"/>
  <c r="C161" i="1"/>
  <c r="C313" i="1"/>
  <c r="C9" i="1"/>
  <c r="C175" i="1"/>
  <c r="C280" i="1"/>
  <c r="C291" i="1"/>
  <c r="C102" i="1"/>
  <c r="C287" i="1"/>
  <c r="C24" i="1"/>
  <c r="C184" i="1"/>
  <c r="C28" i="1"/>
  <c r="C20" i="1"/>
  <c r="C46" i="1"/>
  <c r="C140" i="1"/>
  <c r="C145" i="1"/>
  <c r="C274" i="1"/>
  <c r="C254" i="1"/>
  <c r="C134" i="1"/>
  <c r="C214" i="1"/>
  <c r="C198" i="1"/>
  <c r="C113" i="1"/>
  <c r="C267" i="1"/>
  <c r="C230" i="1"/>
  <c r="C127" i="1"/>
  <c r="C249" i="1"/>
  <c r="C162" i="1"/>
  <c r="C222" i="1"/>
  <c r="C40" i="1"/>
  <c r="C186" i="1"/>
  <c r="C185" i="1"/>
  <c r="C86" i="1"/>
  <c r="C45" i="1"/>
  <c r="C38" i="1"/>
  <c r="C194" i="1"/>
  <c r="C64" i="1"/>
  <c r="C123" i="1"/>
  <c r="C211" i="1"/>
  <c r="C33" i="1"/>
  <c r="C53" i="1"/>
  <c r="C12" i="1"/>
  <c r="C126" i="1"/>
  <c r="C27" i="1"/>
  <c r="C36" i="1"/>
  <c r="C284" i="1"/>
  <c r="C257" i="1"/>
  <c r="C168" i="1"/>
  <c r="C91" i="1"/>
  <c r="C187" i="1"/>
  <c r="C35" i="1"/>
  <c r="C47" i="1"/>
  <c r="C42" i="1"/>
  <c r="C6" i="1"/>
  <c r="C282" i="1"/>
  <c r="C314" i="1"/>
  <c r="C105" i="1"/>
  <c r="C236" i="1"/>
  <c r="C100" i="1"/>
  <c r="C109" i="1"/>
  <c r="C124" i="1"/>
  <c r="C300" i="1"/>
  <c r="C169" i="1"/>
  <c r="C129" i="1"/>
  <c r="C202" i="1"/>
  <c r="C183" i="1"/>
  <c r="C34" i="1"/>
  <c r="C138" i="1"/>
  <c r="C56" i="1"/>
  <c r="C243" i="1"/>
  <c r="C227" i="1"/>
  <c r="C65" i="1"/>
  <c r="C292" i="1"/>
  <c r="C55" i="1"/>
  <c r="F809" i="2" l="1"/>
  <c r="F821" i="2"/>
  <c r="F833" i="2"/>
  <c r="F845" i="2"/>
  <c r="F857" i="2"/>
  <c r="F869" i="2"/>
  <c r="F881" i="2"/>
  <c r="F893" i="2"/>
  <c r="F905" i="2"/>
  <c r="F917" i="2"/>
  <c r="F929" i="2"/>
  <c r="F941" i="2"/>
  <c r="F953" i="2"/>
  <c r="F965" i="2"/>
  <c r="F977" i="2"/>
  <c r="F989" i="2"/>
  <c r="F1001" i="2"/>
  <c r="F1013" i="2"/>
  <c r="F1025" i="2"/>
  <c r="F1037" i="2"/>
  <c r="F1049" i="2"/>
  <c r="F1061" i="2"/>
  <c r="F1073" i="2"/>
  <c r="F1085" i="2"/>
  <c r="F1097" i="2"/>
  <c r="F1109" i="2"/>
  <c r="F1121" i="2"/>
  <c r="F1133" i="2"/>
  <c r="F1145" i="2"/>
  <c r="F1157" i="2"/>
  <c r="F1169" i="2"/>
  <c r="F1181" i="2"/>
  <c r="F1193" i="2"/>
  <c r="F1205" i="2"/>
  <c r="F1217" i="2"/>
  <c r="F1229" i="2"/>
  <c r="F1241" i="2"/>
  <c r="F1253" i="2"/>
  <c r="F1265" i="2"/>
  <c r="F1088" i="2"/>
  <c r="F813" i="2"/>
  <c r="F837" i="2"/>
  <c r="F861" i="2"/>
  <c r="F885" i="2"/>
  <c r="F909" i="2"/>
  <c r="F933" i="2"/>
  <c r="F957" i="2"/>
  <c r="F981" i="2"/>
  <c r="F1017" i="2"/>
  <c r="F1053" i="2"/>
  <c r="F1089" i="2"/>
  <c r="F1101" i="2"/>
  <c r="F1137" i="2"/>
  <c r="F1185" i="2"/>
  <c r="F1209" i="2"/>
  <c r="F1245" i="2"/>
  <c r="F803" i="2"/>
  <c r="F839" i="2"/>
  <c r="F875" i="2"/>
  <c r="F911" i="2"/>
  <c r="F947" i="2"/>
  <c r="F983" i="2"/>
  <c r="F1031" i="2"/>
  <c r="F1079" i="2"/>
  <c r="F1115" i="2"/>
  <c r="F1151" i="2"/>
  <c r="F1187" i="2"/>
  <c r="F1235" i="2"/>
  <c r="F1271" i="2"/>
  <c r="F816" i="2"/>
  <c r="F852" i="2"/>
  <c r="F876" i="2"/>
  <c r="F912" i="2"/>
  <c r="F948" i="2"/>
  <c r="F984" i="2"/>
  <c r="F1032" i="2"/>
  <c r="F1068" i="2"/>
  <c r="F1128" i="2"/>
  <c r="F1164" i="2"/>
  <c r="F1200" i="2"/>
  <c r="F1236" i="2"/>
  <c r="F1272" i="2"/>
  <c r="F853" i="2"/>
  <c r="F913" i="2"/>
  <c r="F949" i="2"/>
  <c r="F810" i="2"/>
  <c r="F822" i="2"/>
  <c r="F834" i="2"/>
  <c r="F846" i="2"/>
  <c r="F858" i="2"/>
  <c r="F870" i="2"/>
  <c r="F882" i="2"/>
  <c r="F894" i="2"/>
  <c r="F906" i="2"/>
  <c r="F918" i="2"/>
  <c r="F930" i="2"/>
  <c r="F942" i="2"/>
  <c r="F954" i="2"/>
  <c r="F966" i="2"/>
  <c r="F978" i="2"/>
  <c r="F990" i="2"/>
  <c r="F1002" i="2"/>
  <c r="F1014" i="2"/>
  <c r="F1026" i="2"/>
  <c r="F1038" i="2"/>
  <c r="F1050" i="2"/>
  <c r="F1062" i="2"/>
  <c r="F1074" i="2"/>
  <c r="F1086" i="2"/>
  <c r="F1098" i="2"/>
  <c r="F1110" i="2"/>
  <c r="F1122" i="2"/>
  <c r="F1134" i="2"/>
  <c r="F1146" i="2"/>
  <c r="F1158" i="2"/>
  <c r="F1170" i="2"/>
  <c r="F1182" i="2"/>
  <c r="F1194" i="2"/>
  <c r="F1206" i="2"/>
  <c r="F1218" i="2"/>
  <c r="F1230" i="2"/>
  <c r="F1242" i="2"/>
  <c r="F1254" i="2"/>
  <c r="F1266" i="2"/>
  <c r="F1076" i="2"/>
  <c r="F825" i="2"/>
  <c r="F849" i="2"/>
  <c r="F873" i="2"/>
  <c r="F897" i="2"/>
  <c r="F921" i="2"/>
  <c r="F945" i="2"/>
  <c r="F969" i="2"/>
  <c r="F993" i="2"/>
  <c r="F1029" i="2"/>
  <c r="F1041" i="2"/>
  <c r="F1077" i="2"/>
  <c r="F1113" i="2"/>
  <c r="F1149" i="2"/>
  <c r="F1173" i="2"/>
  <c r="F1233" i="2"/>
  <c r="F1269" i="2"/>
  <c r="F1055" i="2"/>
  <c r="F1223" i="2"/>
  <c r="F828" i="2"/>
  <c r="F864" i="2"/>
  <c r="F900" i="2"/>
  <c r="F936" i="2"/>
  <c r="F960" i="2"/>
  <c r="F1008" i="2"/>
  <c r="F1044" i="2"/>
  <c r="F1080" i="2"/>
  <c r="F1116" i="2"/>
  <c r="F1152" i="2"/>
  <c r="F1188" i="2"/>
  <c r="F1224" i="2"/>
  <c r="F1260" i="2"/>
  <c r="F901" i="2"/>
  <c r="F1009" i="2"/>
  <c r="F811" i="2"/>
  <c r="F823" i="2"/>
  <c r="F835" i="2"/>
  <c r="F847" i="2"/>
  <c r="F859" i="2"/>
  <c r="F871" i="2"/>
  <c r="F883" i="2"/>
  <c r="F895" i="2"/>
  <c r="F907" i="2"/>
  <c r="F919" i="2"/>
  <c r="F931" i="2"/>
  <c r="F943" i="2"/>
  <c r="F955" i="2"/>
  <c r="F967" i="2"/>
  <c r="F979" i="2"/>
  <c r="F991" i="2"/>
  <c r="F1003" i="2"/>
  <c r="F1015" i="2"/>
  <c r="F1027" i="2"/>
  <c r="F1039" i="2"/>
  <c r="F1051" i="2"/>
  <c r="F1063" i="2"/>
  <c r="F1075" i="2"/>
  <c r="F1087" i="2"/>
  <c r="F1099" i="2"/>
  <c r="F1111" i="2"/>
  <c r="F1123" i="2"/>
  <c r="F1135" i="2"/>
  <c r="F1147" i="2"/>
  <c r="F1159" i="2"/>
  <c r="F1171" i="2"/>
  <c r="F1183" i="2"/>
  <c r="F1195" i="2"/>
  <c r="F1207" i="2"/>
  <c r="F1219" i="2"/>
  <c r="F1231" i="2"/>
  <c r="F1243" i="2"/>
  <c r="F1255" i="2"/>
  <c r="F1267" i="2"/>
  <c r="F1065" i="2"/>
  <c r="F1161" i="2"/>
  <c r="F1221" i="2"/>
  <c r="F1257" i="2"/>
  <c r="F827" i="2"/>
  <c r="F851" i="2"/>
  <c r="F887" i="2"/>
  <c r="F923" i="2"/>
  <c r="F959" i="2"/>
  <c r="F1007" i="2"/>
  <c r="F1043" i="2"/>
  <c r="F1091" i="2"/>
  <c r="F1127" i="2"/>
  <c r="F1163" i="2"/>
  <c r="F1211" i="2"/>
  <c r="F1247" i="2"/>
  <c r="F804" i="2"/>
  <c r="F840" i="2"/>
  <c r="F888" i="2"/>
  <c r="F924" i="2"/>
  <c r="F972" i="2"/>
  <c r="F1020" i="2"/>
  <c r="F1056" i="2"/>
  <c r="F1104" i="2"/>
  <c r="F1140" i="2"/>
  <c r="F1176" i="2"/>
  <c r="F1212" i="2"/>
  <c r="F1248" i="2"/>
  <c r="F812" i="2"/>
  <c r="F824" i="2"/>
  <c r="F836" i="2"/>
  <c r="F848" i="2"/>
  <c r="F860" i="2"/>
  <c r="F872" i="2"/>
  <c r="F884" i="2"/>
  <c r="F896" i="2"/>
  <c r="F908" i="2"/>
  <c r="F920" i="2"/>
  <c r="F932" i="2"/>
  <c r="F944" i="2"/>
  <c r="F956" i="2"/>
  <c r="F968" i="2"/>
  <c r="F980" i="2"/>
  <c r="F992" i="2"/>
  <c r="F1004" i="2"/>
  <c r="F1016" i="2"/>
  <c r="F1028" i="2"/>
  <c r="F1040" i="2"/>
  <c r="F1052" i="2"/>
  <c r="F1064" i="2"/>
  <c r="F1100" i="2"/>
  <c r="F1112" i="2"/>
  <c r="F1124" i="2"/>
  <c r="F1136" i="2"/>
  <c r="F1148" i="2"/>
  <c r="F1160" i="2"/>
  <c r="F1172" i="2"/>
  <c r="F1184" i="2"/>
  <c r="F1196" i="2"/>
  <c r="F1208" i="2"/>
  <c r="F1220" i="2"/>
  <c r="F1232" i="2"/>
  <c r="F1244" i="2"/>
  <c r="F1256" i="2"/>
  <c r="F1268" i="2"/>
  <c r="F1005" i="2"/>
  <c r="F1125" i="2"/>
  <c r="F1197" i="2"/>
  <c r="F815" i="2"/>
  <c r="F863" i="2"/>
  <c r="F899" i="2"/>
  <c r="F935" i="2"/>
  <c r="F995" i="2"/>
  <c r="F1019" i="2"/>
  <c r="F1067" i="2"/>
  <c r="F1103" i="2"/>
  <c r="F1139" i="2"/>
  <c r="F1175" i="2"/>
  <c r="F1199" i="2"/>
  <c r="F1259" i="2"/>
  <c r="F1092" i="2"/>
  <c r="F805" i="2"/>
  <c r="F829" i="2"/>
  <c r="F841" i="2"/>
  <c r="F865" i="2"/>
  <c r="F877" i="2"/>
  <c r="F889" i="2"/>
  <c r="F925" i="2"/>
  <c r="F961" i="2"/>
  <c r="F985" i="2"/>
  <c r="F1021" i="2"/>
  <c r="F814" i="2"/>
  <c r="F826" i="2"/>
  <c r="F838" i="2"/>
  <c r="F850" i="2"/>
  <c r="F862" i="2"/>
  <c r="F874" i="2"/>
  <c r="F886" i="2"/>
  <c r="F898" i="2"/>
  <c r="F910" i="2"/>
  <c r="F922" i="2"/>
  <c r="F934" i="2"/>
  <c r="F946" i="2"/>
  <c r="F958" i="2"/>
  <c r="F970" i="2"/>
  <c r="F982" i="2"/>
  <c r="F994" i="2"/>
  <c r="F1006" i="2"/>
  <c r="F1018" i="2"/>
  <c r="F1030" i="2"/>
  <c r="F1042" i="2"/>
  <c r="F1054" i="2"/>
  <c r="F1066" i="2"/>
  <c r="F1078" i="2"/>
  <c r="F1090" i="2"/>
  <c r="F1102" i="2"/>
  <c r="F1114" i="2"/>
  <c r="F1126" i="2"/>
  <c r="F1138" i="2"/>
  <c r="F1150" i="2"/>
  <c r="F1162" i="2"/>
  <c r="F1174" i="2"/>
  <c r="F1186" i="2"/>
  <c r="F1198" i="2"/>
  <c r="F1210" i="2"/>
  <c r="F1222" i="2"/>
  <c r="F1234" i="2"/>
  <c r="F1246" i="2"/>
  <c r="F1258" i="2"/>
  <c r="F1270" i="2"/>
  <c r="F971" i="2"/>
  <c r="F996" i="2"/>
  <c r="F817" i="2"/>
  <c r="F937" i="2"/>
  <c r="F830" i="2"/>
  <c r="F878" i="2"/>
  <c r="F926" i="2"/>
  <c r="F973" i="2"/>
  <c r="F1011" i="2"/>
  <c r="F1048" i="2"/>
  <c r="F1084" i="2"/>
  <c r="F1120" i="2"/>
  <c r="F1156" i="2"/>
  <c r="F1192" i="2"/>
  <c r="F1228" i="2"/>
  <c r="F1264" i="2"/>
  <c r="F831" i="2"/>
  <c r="F879" i="2"/>
  <c r="F927" i="2"/>
  <c r="F974" i="2"/>
  <c r="F1012" i="2"/>
  <c r="F1057" i="2"/>
  <c r="F1093" i="2"/>
  <c r="F1129" i="2"/>
  <c r="F1165" i="2"/>
  <c r="F1201" i="2"/>
  <c r="F1237" i="2"/>
  <c r="F1273" i="2"/>
  <c r="F832" i="2"/>
  <c r="F880" i="2"/>
  <c r="F928" i="2"/>
  <c r="F975" i="2"/>
  <c r="F1022" i="2"/>
  <c r="F1058" i="2"/>
  <c r="F1094" i="2"/>
  <c r="F1130" i="2"/>
  <c r="F1166" i="2"/>
  <c r="F1202" i="2"/>
  <c r="F1238" i="2"/>
  <c r="F1274" i="2"/>
  <c r="F842" i="2"/>
  <c r="F890" i="2"/>
  <c r="F938" i="2"/>
  <c r="F976" i="2"/>
  <c r="F1023" i="2"/>
  <c r="F1059" i="2"/>
  <c r="F1095" i="2"/>
  <c r="F1131" i="2"/>
  <c r="F1167" i="2"/>
  <c r="F1203" i="2"/>
  <c r="F1239" i="2"/>
  <c r="F1275" i="2"/>
  <c r="F807" i="2"/>
  <c r="F855" i="2"/>
  <c r="F903" i="2"/>
  <c r="F951" i="2"/>
  <c r="F997" i="2"/>
  <c r="F1035" i="2"/>
  <c r="F1071" i="2"/>
  <c r="F1107" i="2"/>
  <c r="F1143" i="2"/>
  <c r="F1179" i="2"/>
  <c r="F1215" i="2"/>
  <c r="F1251" i="2"/>
  <c r="F808" i="2"/>
  <c r="F856" i="2"/>
  <c r="F904" i="2"/>
  <c r="F952" i="2"/>
  <c r="F998" i="2"/>
  <c r="F1036" i="2"/>
  <c r="F1072" i="2"/>
  <c r="F1108" i="2"/>
  <c r="F1144" i="2"/>
  <c r="F1180" i="2"/>
  <c r="F1216" i="2"/>
  <c r="F1252" i="2"/>
  <c r="F818" i="2"/>
  <c r="F866" i="2"/>
  <c r="F914" i="2"/>
  <c r="F999" i="2"/>
  <c r="F1045" i="2"/>
  <c r="F1081" i="2"/>
  <c r="F1117" i="2"/>
  <c r="F1189" i="2"/>
  <c r="F1261" i="2"/>
  <c r="F867" i="2"/>
  <c r="F915" i="2"/>
  <c r="F963" i="2"/>
  <c r="F1046" i="2"/>
  <c r="F1118" i="2"/>
  <c r="F1190" i="2"/>
  <c r="F1262" i="2"/>
  <c r="F820" i="2"/>
  <c r="F868" i="2"/>
  <c r="F916" i="2"/>
  <c r="F964" i="2"/>
  <c r="F1047" i="2"/>
  <c r="F1119" i="2"/>
  <c r="F1155" i="2"/>
  <c r="F1191" i="2"/>
  <c r="F1227" i="2"/>
  <c r="F1263" i="2"/>
  <c r="F1010" i="2"/>
  <c r="F843" i="2"/>
  <c r="F891" i="2"/>
  <c r="F939" i="2"/>
  <c r="F986" i="2"/>
  <c r="F1024" i="2"/>
  <c r="F1060" i="2"/>
  <c r="F1096" i="2"/>
  <c r="F1132" i="2"/>
  <c r="F1168" i="2"/>
  <c r="F1204" i="2"/>
  <c r="F1240" i="2"/>
  <c r="F902" i="2"/>
  <c r="F1153" i="2"/>
  <c r="F819" i="2"/>
  <c r="F1000" i="2"/>
  <c r="F1154" i="2"/>
  <c r="F1226" i="2"/>
  <c r="F1083" i="2"/>
  <c r="F844" i="2"/>
  <c r="F892" i="2"/>
  <c r="F940" i="2"/>
  <c r="F987" i="2"/>
  <c r="F1033" i="2"/>
  <c r="F1069" i="2"/>
  <c r="F1105" i="2"/>
  <c r="F1141" i="2"/>
  <c r="F1177" i="2"/>
  <c r="F1213" i="2"/>
  <c r="F1249" i="2"/>
  <c r="F806" i="2"/>
  <c r="F854" i="2"/>
  <c r="F950" i="2"/>
  <c r="F988" i="2"/>
  <c r="F1034" i="2"/>
  <c r="F1070" i="2"/>
  <c r="F1106" i="2"/>
  <c r="F1142" i="2"/>
  <c r="F1178" i="2"/>
  <c r="F1214" i="2"/>
  <c r="F1250" i="2"/>
  <c r="F962" i="2"/>
  <c r="F1225" i="2"/>
  <c r="F1082" i="2"/>
  <c r="F7" i="2"/>
  <c r="F19" i="2"/>
  <c r="F31" i="2"/>
  <c r="F43" i="2"/>
  <c r="F55" i="2"/>
  <c r="F67" i="2"/>
  <c r="F79" i="2"/>
  <c r="F91" i="2"/>
  <c r="F103" i="2"/>
  <c r="F115" i="2"/>
  <c r="F127" i="2"/>
  <c r="F139" i="2"/>
  <c r="F151" i="2"/>
  <c r="F163" i="2"/>
  <c r="F175" i="2"/>
  <c r="F187" i="2"/>
  <c r="F199" i="2"/>
  <c r="F211" i="2"/>
  <c r="F223" i="2"/>
  <c r="F235" i="2"/>
  <c r="F247" i="2"/>
  <c r="F259" i="2"/>
  <c r="F271" i="2"/>
  <c r="F283" i="2"/>
  <c r="F295" i="2"/>
  <c r="F307" i="2"/>
  <c r="F319" i="2"/>
  <c r="F331" i="2"/>
  <c r="F343" i="2"/>
  <c r="F355" i="2"/>
  <c r="F367" i="2"/>
  <c r="F379" i="2"/>
  <c r="F391" i="2"/>
  <c r="F403" i="2"/>
  <c r="F415" i="2"/>
  <c r="F427" i="2"/>
  <c r="F439" i="2"/>
  <c r="F451" i="2"/>
  <c r="F463" i="2"/>
  <c r="F475" i="2"/>
  <c r="F487" i="2"/>
  <c r="F499" i="2"/>
  <c r="F511" i="2"/>
  <c r="F523" i="2"/>
  <c r="F535" i="2"/>
  <c r="F547" i="2"/>
  <c r="F559" i="2"/>
  <c r="F571" i="2"/>
  <c r="F583" i="2"/>
  <c r="F595" i="2"/>
  <c r="F607" i="2"/>
  <c r="F619" i="2"/>
  <c r="F631" i="2"/>
  <c r="F643" i="2"/>
  <c r="F655" i="2"/>
  <c r="F667" i="2"/>
  <c r="F679" i="2"/>
  <c r="F691" i="2"/>
  <c r="F703" i="2"/>
  <c r="F715" i="2"/>
  <c r="F727" i="2"/>
  <c r="F739" i="2"/>
  <c r="F751" i="2"/>
  <c r="F763" i="2"/>
  <c r="F775" i="2"/>
  <c r="F787" i="2"/>
  <c r="F799" i="2"/>
  <c r="F8" i="2"/>
  <c r="F20" i="2"/>
  <c r="F32" i="2"/>
  <c r="F44" i="2"/>
  <c r="F56" i="2"/>
  <c r="F68" i="2"/>
  <c r="F80" i="2"/>
  <c r="F92" i="2"/>
  <c r="F104" i="2"/>
  <c r="F116" i="2"/>
  <c r="F128" i="2"/>
  <c r="F140" i="2"/>
  <c r="F152" i="2"/>
  <c r="F164" i="2"/>
  <c r="F176" i="2"/>
  <c r="F188" i="2"/>
  <c r="F200" i="2"/>
  <c r="F212" i="2"/>
  <c r="F224" i="2"/>
  <c r="F236" i="2"/>
  <c r="F248" i="2"/>
  <c r="F260" i="2"/>
  <c r="F272" i="2"/>
  <c r="F284" i="2"/>
  <c r="F296" i="2"/>
  <c r="F308" i="2"/>
  <c r="F320" i="2"/>
  <c r="F332" i="2"/>
  <c r="F344" i="2"/>
  <c r="F356" i="2"/>
  <c r="F368" i="2"/>
  <c r="F380" i="2"/>
  <c r="F392" i="2"/>
  <c r="F404" i="2"/>
  <c r="F416" i="2"/>
  <c r="F428" i="2"/>
  <c r="F440" i="2"/>
  <c r="F452" i="2"/>
  <c r="F464" i="2"/>
  <c r="F476" i="2"/>
  <c r="F488" i="2"/>
  <c r="F500" i="2"/>
  <c r="F512" i="2"/>
  <c r="F524" i="2"/>
  <c r="F536" i="2"/>
  <c r="F548" i="2"/>
  <c r="F560" i="2"/>
  <c r="F572" i="2"/>
  <c r="F584" i="2"/>
  <c r="F596" i="2"/>
  <c r="F608" i="2"/>
  <c r="F620" i="2"/>
  <c r="F632" i="2"/>
  <c r="F644" i="2"/>
  <c r="F656" i="2"/>
  <c r="F668" i="2"/>
  <c r="F680" i="2"/>
  <c r="F692" i="2"/>
  <c r="F704" i="2"/>
  <c r="F716" i="2"/>
  <c r="F728" i="2"/>
  <c r="F740" i="2"/>
  <c r="F752" i="2"/>
  <c r="F764" i="2"/>
  <c r="F776" i="2"/>
  <c r="F788" i="2"/>
  <c r="F800" i="2"/>
  <c r="F35" i="2"/>
  <c r="F83" i="2"/>
  <c r="F107" i="2"/>
  <c r="F131" i="2"/>
  <c r="F167" i="2"/>
  <c r="F191" i="2"/>
  <c r="F203" i="2"/>
  <c r="F239" i="2"/>
  <c r="F263" i="2"/>
  <c r="F287" i="2"/>
  <c r="F323" i="2"/>
  <c r="F359" i="2"/>
  <c r="F395" i="2"/>
  <c r="F431" i="2"/>
  <c r="F467" i="2"/>
  <c r="F503" i="2"/>
  <c r="F539" i="2"/>
  <c r="F9" i="2"/>
  <c r="F21" i="2"/>
  <c r="F33" i="2"/>
  <c r="F45" i="2"/>
  <c r="F57" i="2"/>
  <c r="F69" i="2"/>
  <c r="F81" i="2"/>
  <c r="F93" i="2"/>
  <c r="F105" i="2"/>
  <c r="F117" i="2"/>
  <c r="F129" i="2"/>
  <c r="F141" i="2"/>
  <c r="F153" i="2"/>
  <c r="F165" i="2"/>
  <c r="F177" i="2"/>
  <c r="F189" i="2"/>
  <c r="F201" i="2"/>
  <c r="F213" i="2"/>
  <c r="F225" i="2"/>
  <c r="F237" i="2"/>
  <c r="F249" i="2"/>
  <c r="F261" i="2"/>
  <c r="F273" i="2"/>
  <c r="F285" i="2"/>
  <c r="F297" i="2"/>
  <c r="F309" i="2"/>
  <c r="F321" i="2"/>
  <c r="F333" i="2"/>
  <c r="F345" i="2"/>
  <c r="F357" i="2"/>
  <c r="F369" i="2"/>
  <c r="F381" i="2"/>
  <c r="F393" i="2"/>
  <c r="F405" i="2"/>
  <c r="F417" i="2"/>
  <c r="F429" i="2"/>
  <c r="F441" i="2"/>
  <c r="F453" i="2"/>
  <c r="F465" i="2"/>
  <c r="F477" i="2"/>
  <c r="F489" i="2"/>
  <c r="F501" i="2"/>
  <c r="F513" i="2"/>
  <c r="F525" i="2"/>
  <c r="F537" i="2"/>
  <c r="F549" i="2"/>
  <c r="F561" i="2"/>
  <c r="F573" i="2"/>
  <c r="F585" i="2"/>
  <c r="F597" i="2"/>
  <c r="F609" i="2"/>
  <c r="F621" i="2"/>
  <c r="F633" i="2"/>
  <c r="F645" i="2"/>
  <c r="F657" i="2"/>
  <c r="F669" i="2"/>
  <c r="F681" i="2"/>
  <c r="F693" i="2"/>
  <c r="F705" i="2"/>
  <c r="F717" i="2"/>
  <c r="F729" i="2"/>
  <c r="F741" i="2"/>
  <c r="F753" i="2"/>
  <c r="F765" i="2"/>
  <c r="F777" i="2"/>
  <c r="F789" i="2"/>
  <c r="F801" i="2"/>
  <c r="F11" i="2"/>
  <c r="F23" i="2"/>
  <c r="F47" i="2"/>
  <c r="F59" i="2"/>
  <c r="F71" i="2"/>
  <c r="F95" i="2"/>
  <c r="F119" i="2"/>
  <c r="F155" i="2"/>
  <c r="F179" i="2"/>
  <c r="F215" i="2"/>
  <c r="F251" i="2"/>
  <c r="F275" i="2"/>
  <c r="F311" i="2"/>
  <c r="F347" i="2"/>
  <c r="F371" i="2"/>
  <c r="F407" i="2"/>
  <c r="F443" i="2"/>
  <c r="F10" i="2"/>
  <c r="F22" i="2"/>
  <c r="F34" i="2"/>
  <c r="F46" i="2"/>
  <c r="F58" i="2"/>
  <c r="F70" i="2"/>
  <c r="F82" i="2"/>
  <c r="F94" i="2"/>
  <c r="F106" i="2"/>
  <c r="F118" i="2"/>
  <c r="F130" i="2"/>
  <c r="F142" i="2"/>
  <c r="F154" i="2"/>
  <c r="F166" i="2"/>
  <c r="F178" i="2"/>
  <c r="F190" i="2"/>
  <c r="F202" i="2"/>
  <c r="F214" i="2"/>
  <c r="F226" i="2"/>
  <c r="F238" i="2"/>
  <c r="F250" i="2"/>
  <c r="F262" i="2"/>
  <c r="F274" i="2"/>
  <c r="F286" i="2"/>
  <c r="F298" i="2"/>
  <c r="F310" i="2"/>
  <c r="F322" i="2"/>
  <c r="F334" i="2"/>
  <c r="F346" i="2"/>
  <c r="F358" i="2"/>
  <c r="F370" i="2"/>
  <c r="F382" i="2"/>
  <c r="F394" i="2"/>
  <c r="F406" i="2"/>
  <c r="F418" i="2"/>
  <c r="F430" i="2"/>
  <c r="F442" i="2"/>
  <c r="F454" i="2"/>
  <c r="F466" i="2"/>
  <c r="F478" i="2"/>
  <c r="F490" i="2"/>
  <c r="F502" i="2"/>
  <c r="F514" i="2"/>
  <c r="F526" i="2"/>
  <c r="F538" i="2"/>
  <c r="F550" i="2"/>
  <c r="F562" i="2"/>
  <c r="F574" i="2"/>
  <c r="F586" i="2"/>
  <c r="F598" i="2"/>
  <c r="F610" i="2"/>
  <c r="F622" i="2"/>
  <c r="F634" i="2"/>
  <c r="F646" i="2"/>
  <c r="F658" i="2"/>
  <c r="F670" i="2"/>
  <c r="F682" i="2"/>
  <c r="F694" i="2"/>
  <c r="F706" i="2"/>
  <c r="F718" i="2"/>
  <c r="F730" i="2"/>
  <c r="F742" i="2"/>
  <c r="F754" i="2"/>
  <c r="F766" i="2"/>
  <c r="F778" i="2"/>
  <c r="F790" i="2"/>
  <c r="F802" i="2"/>
  <c r="F143" i="2"/>
  <c r="F227" i="2"/>
  <c r="F299" i="2"/>
  <c r="F335" i="2"/>
  <c r="F383" i="2"/>
  <c r="F419" i="2"/>
  <c r="F455" i="2"/>
  <c r="F491" i="2"/>
  <c r="F515" i="2"/>
  <c r="F527" i="2"/>
  <c r="F15" i="2"/>
  <c r="F37" i="2"/>
  <c r="F54" i="2"/>
  <c r="F76" i="2"/>
  <c r="F98" i="2"/>
  <c r="F120" i="2"/>
  <c r="F137" i="2"/>
  <c r="F159" i="2"/>
  <c r="F181" i="2"/>
  <c r="F198" i="2"/>
  <c r="F220" i="2"/>
  <c r="F242" i="2"/>
  <c r="F264" i="2"/>
  <c r="F281" i="2"/>
  <c r="F303" i="2"/>
  <c r="F325" i="2"/>
  <c r="F342" i="2"/>
  <c r="F364" i="2"/>
  <c r="F386" i="2"/>
  <c r="F408" i="2"/>
  <c r="F425" i="2"/>
  <c r="F447" i="2"/>
  <c r="F469" i="2"/>
  <c r="F485" i="2"/>
  <c r="F507" i="2"/>
  <c r="F529" i="2"/>
  <c r="F546" i="2"/>
  <c r="F566" i="2"/>
  <c r="F582" i="2"/>
  <c r="F602" i="2"/>
  <c r="F618" i="2"/>
  <c r="F638" i="2"/>
  <c r="F654" i="2"/>
  <c r="F674" i="2"/>
  <c r="F690" i="2"/>
  <c r="F710" i="2"/>
  <c r="F726" i="2"/>
  <c r="F746" i="2"/>
  <c r="F762" i="2"/>
  <c r="F782" i="2"/>
  <c r="F798" i="2"/>
  <c r="F39" i="2"/>
  <c r="F61" i="2"/>
  <c r="F100" i="2"/>
  <c r="F144" i="2"/>
  <c r="F183" i="2"/>
  <c r="F222" i="2"/>
  <c r="F266" i="2"/>
  <c r="F305" i="2"/>
  <c r="F349" i="2"/>
  <c r="F366" i="2"/>
  <c r="F410" i="2"/>
  <c r="F449" i="2"/>
  <c r="F492" i="2"/>
  <c r="F531" i="2"/>
  <c r="F568" i="2"/>
  <c r="F604" i="2"/>
  <c r="F640" i="2"/>
  <c r="F676" i="2"/>
  <c r="F712" i="2"/>
  <c r="F748" i="2"/>
  <c r="F784" i="2"/>
  <c r="F40" i="2"/>
  <c r="F84" i="2"/>
  <c r="F123" i="2"/>
  <c r="F162" i="2"/>
  <c r="F206" i="2"/>
  <c r="F245" i="2"/>
  <c r="F289" i="2"/>
  <c r="F328" i="2"/>
  <c r="F372" i="2"/>
  <c r="F411" i="2"/>
  <c r="F450" i="2"/>
  <c r="F472" i="2"/>
  <c r="F510" i="2"/>
  <c r="F553" i="2"/>
  <c r="F589" i="2"/>
  <c r="F641" i="2"/>
  <c r="F677" i="2"/>
  <c r="F713" i="2"/>
  <c r="F749" i="2"/>
  <c r="F785" i="2"/>
  <c r="F64" i="2"/>
  <c r="F169" i="2"/>
  <c r="F230" i="2"/>
  <c r="F16" i="2"/>
  <c r="F38" i="2"/>
  <c r="F60" i="2"/>
  <c r="F77" i="2"/>
  <c r="F99" i="2"/>
  <c r="F121" i="2"/>
  <c r="F138" i="2"/>
  <c r="F160" i="2"/>
  <c r="F182" i="2"/>
  <c r="F204" i="2"/>
  <c r="F221" i="2"/>
  <c r="F243" i="2"/>
  <c r="F265" i="2"/>
  <c r="F282" i="2"/>
  <c r="F304" i="2"/>
  <c r="F326" i="2"/>
  <c r="F348" i="2"/>
  <c r="F365" i="2"/>
  <c r="F387" i="2"/>
  <c r="F409" i="2"/>
  <c r="F426" i="2"/>
  <c r="F448" i="2"/>
  <c r="F470" i="2"/>
  <c r="F486" i="2"/>
  <c r="F508" i="2"/>
  <c r="F530" i="2"/>
  <c r="F551" i="2"/>
  <c r="F567" i="2"/>
  <c r="F587" i="2"/>
  <c r="F603" i="2"/>
  <c r="F623" i="2"/>
  <c r="F639" i="2"/>
  <c r="F659" i="2"/>
  <c r="F675" i="2"/>
  <c r="F695" i="2"/>
  <c r="F711" i="2"/>
  <c r="F731" i="2"/>
  <c r="F747" i="2"/>
  <c r="F767" i="2"/>
  <c r="F783" i="2"/>
  <c r="F17" i="2"/>
  <c r="F78" i="2"/>
  <c r="F122" i="2"/>
  <c r="F161" i="2"/>
  <c r="F205" i="2"/>
  <c r="F244" i="2"/>
  <c r="F288" i="2"/>
  <c r="F327" i="2"/>
  <c r="F388" i="2"/>
  <c r="F432" i="2"/>
  <c r="F471" i="2"/>
  <c r="F509" i="2"/>
  <c r="F552" i="2"/>
  <c r="F588" i="2"/>
  <c r="F624" i="2"/>
  <c r="F660" i="2"/>
  <c r="F696" i="2"/>
  <c r="F732" i="2"/>
  <c r="F768" i="2"/>
  <c r="F18" i="2"/>
  <c r="F62" i="2"/>
  <c r="F101" i="2"/>
  <c r="F145" i="2"/>
  <c r="F184" i="2"/>
  <c r="F228" i="2"/>
  <c r="F267" i="2"/>
  <c r="F306" i="2"/>
  <c r="F350" i="2"/>
  <c r="F389" i="2"/>
  <c r="F433" i="2"/>
  <c r="F493" i="2"/>
  <c r="F532" i="2"/>
  <c r="F569" i="2"/>
  <c r="F605" i="2"/>
  <c r="F625" i="2"/>
  <c r="F661" i="2"/>
  <c r="F697" i="2"/>
  <c r="F733" i="2"/>
  <c r="F769" i="2"/>
  <c r="F108" i="2"/>
  <c r="F208" i="2"/>
  <c r="F269" i="2"/>
  <c r="F313" i="2"/>
  <c r="F24" i="2"/>
  <c r="F41" i="2"/>
  <c r="F63" i="2"/>
  <c r="F85" i="2"/>
  <c r="F102" i="2"/>
  <c r="F124" i="2"/>
  <c r="F146" i="2"/>
  <c r="F168" i="2"/>
  <c r="F185" i="2"/>
  <c r="F207" i="2"/>
  <c r="F229" i="2"/>
  <c r="F246" i="2"/>
  <c r="F268" i="2"/>
  <c r="F290" i="2"/>
  <c r="F312" i="2"/>
  <c r="F329" i="2"/>
  <c r="F351" i="2"/>
  <c r="F373" i="2"/>
  <c r="F390" i="2"/>
  <c r="F412" i="2"/>
  <c r="F434" i="2"/>
  <c r="F456" i="2"/>
  <c r="F473" i="2"/>
  <c r="F494" i="2"/>
  <c r="F516" i="2"/>
  <c r="F533" i="2"/>
  <c r="F554" i="2"/>
  <c r="F570" i="2"/>
  <c r="F590" i="2"/>
  <c r="F606" i="2"/>
  <c r="F626" i="2"/>
  <c r="F642" i="2"/>
  <c r="F662" i="2"/>
  <c r="F678" i="2"/>
  <c r="F698" i="2"/>
  <c r="F714" i="2"/>
  <c r="F734" i="2"/>
  <c r="F750" i="2"/>
  <c r="F770" i="2"/>
  <c r="F786" i="2"/>
  <c r="F25" i="2"/>
  <c r="F42" i="2"/>
  <c r="F86" i="2"/>
  <c r="F125" i="2"/>
  <c r="F147" i="2"/>
  <c r="F186" i="2"/>
  <c r="F252" i="2"/>
  <c r="F26" i="2"/>
  <c r="F65" i="2"/>
  <c r="F109" i="2"/>
  <c r="F148" i="2"/>
  <c r="F192" i="2"/>
  <c r="F231" i="2"/>
  <c r="F270" i="2"/>
  <c r="F302" i="2"/>
  <c r="F340" i="2"/>
  <c r="F377" i="2"/>
  <c r="F414" i="2"/>
  <c r="F446" i="2"/>
  <c r="F482" i="2"/>
  <c r="F519" i="2"/>
  <c r="F555" i="2"/>
  <c r="F580" i="2"/>
  <c r="F614" i="2"/>
  <c r="F648" i="2"/>
  <c r="F673" i="2"/>
  <c r="F707" i="2"/>
  <c r="F737" i="2"/>
  <c r="F771" i="2"/>
  <c r="F796" i="2"/>
  <c r="F66" i="2"/>
  <c r="F156" i="2"/>
  <c r="F74" i="2"/>
  <c r="F157" i="2"/>
  <c r="F240" i="2"/>
  <c r="F317" i="2"/>
  <c r="F423" i="2"/>
  <c r="F528" i="2"/>
  <c r="F593" i="2"/>
  <c r="F686" i="2"/>
  <c r="F745" i="2"/>
  <c r="F424" i="2"/>
  <c r="F534" i="2"/>
  <c r="F564" i="2"/>
  <c r="F628" i="2"/>
  <c r="F687" i="2"/>
  <c r="F755" i="2"/>
  <c r="F87" i="2"/>
  <c r="F170" i="2"/>
  <c r="F253" i="2"/>
  <c r="F361" i="2"/>
  <c r="F462" i="2"/>
  <c r="F540" i="2"/>
  <c r="F599" i="2"/>
  <c r="F722" i="2"/>
  <c r="F171" i="2"/>
  <c r="F330" i="2"/>
  <c r="F399" i="2"/>
  <c r="F468" i="2"/>
  <c r="F541" i="2"/>
  <c r="F600" i="2"/>
  <c r="F689" i="2"/>
  <c r="F757" i="2"/>
  <c r="F6" i="2"/>
  <c r="F89" i="2"/>
  <c r="F172" i="2"/>
  <c r="F255" i="2"/>
  <c r="F363" i="2"/>
  <c r="F437" i="2"/>
  <c r="F505" i="2"/>
  <c r="F576" i="2"/>
  <c r="F699" i="2"/>
  <c r="F758" i="2"/>
  <c r="F12" i="2"/>
  <c r="F134" i="2"/>
  <c r="F256" i="2"/>
  <c r="F337" i="2"/>
  <c r="F438" i="2"/>
  <c r="F506" i="2"/>
  <c r="F611" i="2"/>
  <c r="F666" i="2"/>
  <c r="F725" i="2"/>
  <c r="F52" i="2"/>
  <c r="F174" i="2"/>
  <c r="F257" i="2"/>
  <c r="F338" i="2"/>
  <c r="F444" i="2"/>
  <c r="F517" i="2"/>
  <c r="F578" i="2"/>
  <c r="F637" i="2"/>
  <c r="F735" i="2"/>
  <c r="F794" i="2"/>
  <c r="F53" i="2"/>
  <c r="F219" i="2"/>
  <c r="F413" i="2"/>
  <c r="F481" i="2"/>
  <c r="F579" i="2"/>
  <c r="F647" i="2"/>
  <c r="F736" i="2"/>
  <c r="F27" i="2"/>
  <c r="F110" i="2"/>
  <c r="F149" i="2"/>
  <c r="F193" i="2"/>
  <c r="F232" i="2"/>
  <c r="F276" i="2"/>
  <c r="F314" i="2"/>
  <c r="F341" i="2"/>
  <c r="F378" i="2"/>
  <c r="F420" i="2"/>
  <c r="F457" i="2"/>
  <c r="F483" i="2"/>
  <c r="F520" i="2"/>
  <c r="F556" i="2"/>
  <c r="F581" i="2"/>
  <c r="F615" i="2"/>
  <c r="F649" i="2"/>
  <c r="F683" i="2"/>
  <c r="F708" i="2"/>
  <c r="F738" i="2"/>
  <c r="F772" i="2"/>
  <c r="F797" i="2"/>
  <c r="F617" i="2"/>
  <c r="F396" i="2"/>
  <c r="F461" i="2"/>
  <c r="F48" i="2"/>
  <c r="F126" i="2"/>
  <c r="F209" i="2"/>
  <c r="F291" i="2"/>
  <c r="F324" i="2"/>
  <c r="F398" i="2"/>
  <c r="F435" i="2"/>
  <c r="F498" i="2"/>
  <c r="F565" i="2"/>
  <c r="F629" i="2"/>
  <c r="F688" i="2"/>
  <c r="F756" i="2"/>
  <c r="F781" i="2"/>
  <c r="F292" i="2"/>
  <c r="F630" i="2"/>
  <c r="F293" i="2"/>
  <c r="F635" i="2"/>
  <c r="F51" i="2"/>
  <c r="F374" i="2"/>
  <c r="F577" i="2"/>
  <c r="F793" i="2"/>
  <c r="F96" i="2"/>
  <c r="F375" i="2"/>
  <c r="F544" i="2"/>
  <c r="F701" i="2"/>
  <c r="F97" i="2"/>
  <c r="F180" i="2"/>
  <c r="F376" i="2"/>
  <c r="F545" i="2"/>
  <c r="F702" i="2"/>
  <c r="F795" i="2"/>
  <c r="F28" i="2"/>
  <c r="F72" i="2"/>
  <c r="F111" i="2"/>
  <c r="F150" i="2"/>
  <c r="F194" i="2"/>
  <c r="F233" i="2"/>
  <c r="F277" i="2"/>
  <c r="F315" i="2"/>
  <c r="F352" i="2"/>
  <c r="F384" i="2"/>
  <c r="F421" i="2"/>
  <c r="F458" i="2"/>
  <c r="F484" i="2"/>
  <c r="F521" i="2"/>
  <c r="F557" i="2"/>
  <c r="F591" i="2"/>
  <c r="F616" i="2"/>
  <c r="F650" i="2"/>
  <c r="F684" i="2"/>
  <c r="F709" i="2"/>
  <c r="F743" i="2"/>
  <c r="F773" i="2"/>
  <c r="F29" i="2"/>
  <c r="F73" i="2"/>
  <c r="F112" i="2"/>
  <c r="F195" i="2"/>
  <c r="F234" i="2"/>
  <c r="F278" i="2"/>
  <c r="F316" i="2"/>
  <c r="F353" i="2"/>
  <c r="F385" i="2"/>
  <c r="F422" i="2"/>
  <c r="F459" i="2"/>
  <c r="F495" i="2"/>
  <c r="F522" i="2"/>
  <c r="F558" i="2"/>
  <c r="F592" i="2"/>
  <c r="F651" i="2"/>
  <c r="F685" i="2"/>
  <c r="F719" i="2"/>
  <c r="F744" i="2"/>
  <c r="F774" i="2"/>
  <c r="F30" i="2"/>
  <c r="F113" i="2"/>
  <c r="F196" i="2"/>
  <c r="F279" i="2"/>
  <c r="F354" i="2"/>
  <c r="F460" i="2"/>
  <c r="F496" i="2"/>
  <c r="F563" i="2"/>
  <c r="F627" i="2"/>
  <c r="F652" i="2"/>
  <c r="F720" i="2"/>
  <c r="F779" i="2"/>
  <c r="F397" i="2"/>
  <c r="F497" i="2"/>
  <c r="F594" i="2"/>
  <c r="F653" i="2"/>
  <c r="F721" i="2"/>
  <c r="F780" i="2"/>
  <c r="F663" i="2"/>
  <c r="F49" i="2"/>
  <c r="F88" i="2"/>
  <c r="F132" i="2"/>
  <c r="F210" i="2"/>
  <c r="F254" i="2"/>
  <c r="F362" i="2"/>
  <c r="F436" i="2"/>
  <c r="F504" i="2"/>
  <c r="F575" i="2"/>
  <c r="F664" i="2"/>
  <c r="F723" i="2"/>
  <c r="F791" i="2"/>
  <c r="F50" i="2"/>
  <c r="F133" i="2"/>
  <c r="F216" i="2"/>
  <c r="F336" i="2"/>
  <c r="F400" i="2"/>
  <c r="F474" i="2"/>
  <c r="F542" i="2"/>
  <c r="F601" i="2"/>
  <c r="F665" i="2"/>
  <c r="F724" i="2"/>
  <c r="F792" i="2"/>
  <c r="F90" i="2"/>
  <c r="F173" i="2"/>
  <c r="F217" i="2"/>
  <c r="F294" i="2"/>
  <c r="F401" i="2"/>
  <c r="F479" i="2"/>
  <c r="F543" i="2"/>
  <c r="F636" i="2"/>
  <c r="F700" i="2"/>
  <c r="F759" i="2"/>
  <c r="F13" i="2"/>
  <c r="F135" i="2"/>
  <c r="F218" i="2"/>
  <c r="F300" i="2"/>
  <c r="F402" i="2"/>
  <c r="F480" i="2"/>
  <c r="F612" i="2"/>
  <c r="F671" i="2"/>
  <c r="F760" i="2"/>
  <c r="F14" i="2"/>
  <c r="F136" i="2"/>
  <c r="F258" i="2"/>
  <c r="F301" i="2"/>
  <c r="F339" i="2"/>
  <c r="F445" i="2"/>
  <c r="F518" i="2"/>
  <c r="F613" i="2"/>
  <c r="F672" i="2"/>
  <c r="F761" i="2"/>
  <c r="F36" i="2"/>
  <c r="F75" i="2"/>
  <c r="F114" i="2"/>
  <c r="F158" i="2"/>
  <c r="F197" i="2"/>
  <c r="F241" i="2"/>
  <c r="F280" i="2"/>
  <c r="F318" i="2"/>
  <c r="F360" i="2"/>
  <c r="C71" i="1"/>
</calcChain>
</file>

<file path=xl/sharedStrings.xml><?xml version="1.0" encoding="utf-8"?>
<sst xmlns="http://schemas.openxmlformats.org/spreadsheetml/2006/main" count="2765" uniqueCount="483">
  <si>
    <t>KDPS LIFESTYLE PVT. LTD.</t>
  </si>
  <si>
    <t>List of Sales Vouchers</t>
  </si>
  <si>
    <t>Date</t>
  </si>
  <si>
    <t>Vch/Bill No</t>
  </si>
  <si>
    <t>Particulars</t>
  </si>
  <si>
    <t>Item Details</t>
  </si>
  <si>
    <t>MRP</t>
  </si>
  <si>
    <t>Barcode</t>
  </si>
  <si>
    <t>Size</t>
  </si>
  <si>
    <t>Style Code</t>
  </si>
  <si>
    <t>Brand</t>
  </si>
  <si>
    <t>Qty.</t>
  </si>
  <si>
    <t>Unit</t>
  </si>
  <si>
    <t>Price</t>
  </si>
  <si>
    <t>Dis Amount</t>
  </si>
  <si>
    <t>Total</t>
  </si>
  <si>
    <t>Voucher Series :</t>
  </si>
  <si>
    <t>FLYING MACHINE</t>
  </si>
  <si>
    <t>BILL VALUE</t>
  </si>
  <si>
    <t>OFFER</t>
  </si>
  <si>
    <t>List of Stock Details</t>
  </si>
  <si>
    <t>Total MRP</t>
  </si>
  <si>
    <t>REPORTED QTY</t>
  </si>
  <si>
    <t>OFFER PROPORTION</t>
  </si>
  <si>
    <t>QTY</t>
  </si>
  <si>
    <t>AMOUNT</t>
  </si>
  <si>
    <t>BILL QTY</t>
  </si>
  <si>
    <t>DISCOUNT %</t>
  </si>
  <si>
    <t>EOSS FLAG</t>
  </si>
  <si>
    <t>T.QTY</t>
  </si>
  <si>
    <t>BALANCE TO DO</t>
  </si>
  <si>
    <t>AVERAGE DIS %</t>
  </si>
  <si>
    <t>LAST BILL NO</t>
  </si>
  <si>
    <t>From 01-05-2026</t>
  </si>
  <si>
    <t>SHIRT</t>
  </si>
  <si>
    <t>T-SHIRT</t>
  </si>
  <si>
    <t>JEANS</t>
  </si>
  <si>
    <t>S</t>
  </si>
  <si>
    <t>FMSHT6739</t>
  </si>
  <si>
    <t>XXL</t>
  </si>
  <si>
    <t>FMTSH9496</t>
  </si>
  <si>
    <t>FMJEN4924</t>
  </si>
  <si>
    <t>FMTSHCR0012</t>
  </si>
  <si>
    <t>FMSHT6588</t>
  </si>
  <si>
    <t>FMSHT4614</t>
  </si>
  <si>
    <t>FMJEN8163</t>
  </si>
  <si>
    <t>M</t>
  </si>
  <si>
    <t>FMTSH10469</t>
  </si>
  <si>
    <t>FMJEN6908</t>
  </si>
  <si>
    <t>FMJEN7755</t>
  </si>
  <si>
    <t>FMJEN4986</t>
  </si>
  <si>
    <t>L</t>
  </si>
  <si>
    <t>FMSHT5814</t>
  </si>
  <si>
    <t>FMJEN7900</t>
  </si>
  <si>
    <t>FMSHT6589</t>
  </si>
  <si>
    <t>FMJEN2460</t>
  </si>
  <si>
    <t>FMJEN7705</t>
  </si>
  <si>
    <t>XL</t>
  </si>
  <si>
    <t>FMJEN7694</t>
  </si>
  <si>
    <t>FMJEN8143</t>
  </si>
  <si>
    <t>FMJEN9282</t>
  </si>
  <si>
    <t>FMJEN8091</t>
  </si>
  <si>
    <t>FMJEN5842</t>
  </si>
  <si>
    <t>FMTSH9313</t>
  </si>
  <si>
    <t>FMTSH9821</t>
  </si>
  <si>
    <t>FMSHT4571</t>
  </si>
  <si>
    <t>FMJEN8146</t>
  </si>
  <si>
    <t>FMJEN4914</t>
  </si>
  <si>
    <t>FMJEN7761</t>
  </si>
  <si>
    <t>FMJEN9164</t>
  </si>
  <si>
    <t>FMJEN5030</t>
  </si>
  <si>
    <t>FMSHT4589</t>
  </si>
  <si>
    <t>FMJEN2540</t>
  </si>
  <si>
    <t>FMJEN6934</t>
  </si>
  <si>
    <t>TROUSER</t>
  </si>
  <si>
    <t>FMSHT6516</t>
  </si>
  <si>
    <t>FMSHT6472</t>
  </si>
  <si>
    <t>FMSHT6596</t>
  </si>
  <si>
    <t>FMTRCAR0588</t>
  </si>
  <si>
    <t>FMTSH10421</t>
  </si>
  <si>
    <t>FMJEN9225</t>
  </si>
  <si>
    <t>FMTSHCR0001</t>
  </si>
  <si>
    <t>FMSHT6486</t>
  </si>
  <si>
    <t>FMTSH10547</t>
  </si>
  <si>
    <t>FMJEN9223</t>
  </si>
  <si>
    <t>FMJEN9464</t>
  </si>
  <si>
    <t>FMSHT4588</t>
  </si>
  <si>
    <t>FMTSH10438</t>
  </si>
  <si>
    <t>FMJEN9485</t>
  </si>
  <si>
    <t>FMSHT6532</t>
  </si>
  <si>
    <t>FMJEN3183</t>
  </si>
  <si>
    <t>FMTSH9385</t>
  </si>
  <si>
    <t>FMTSH10454</t>
  </si>
  <si>
    <t>FMTSH10457</t>
  </si>
  <si>
    <t>FMTRCHI0092</t>
  </si>
  <si>
    <t>FMJEN9222</t>
  </si>
  <si>
    <t>FMJEN9156</t>
  </si>
  <si>
    <t>FMTRCHI0090</t>
  </si>
  <si>
    <t>FMTSH9380</t>
  </si>
  <si>
    <t>FMTSH10455</t>
  </si>
  <si>
    <t>FMJEN9503</t>
  </si>
  <si>
    <t>FMTSH10366</t>
  </si>
  <si>
    <t>FMTRCHI0091</t>
  </si>
  <si>
    <t>FMJEN9499</t>
  </si>
  <si>
    <t>FMSHT6574</t>
  </si>
  <si>
    <t>FMJEN3341A</t>
  </si>
  <si>
    <t>FMSHT6688</t>
  </si>
  <si>
    <t>FMJEN3359</t>
  </si>
  <si>
    <t>FMSHT6475</t>
  </si>
  <si>
    <t>FMJEN9778</t>
  </si>
  <si>
    <t>FMTSH7565</t>
  </si>
  <si>
    <t>FMSHT6519</t>
  </si>
  <si>
    <t>FMTSH9831</t>
  </si>
  <si>
    <t>FMSHT6651</t>
  </si>
  <si>
    <t>FMJEN2477</t>
  </si>
  <si>
    <t>FMJEN9652</t>
  </si>
  <si>
    <t>FMJEN9122</t>
  </si>
  <si>
    <t>FMSHT5797</t>
  </si>
  <si>
    <t>FMJEN9148</t>
  </si>
  <si>
    <t>FMJEN9150</t>
  </si>
  <si>
    <t>FMJEN9454</t>
  </si>
  <si>
    <t>FMSHT6719</t>
  </si>
  <si>
    <t>FMJEN3297</t>
  </si>
  <si>
    <t>FMJEN9479</t>
  </si>
  <si>
    <t>FMTSH10581</t>
  </si>
  <si>
    <t>FMJEN4982</t>
  </si>
  <si>
    <t>FMJEN9166</t>
  </si>
  <si>
    <t>FMSHT6517</t>
  </si>
  <si>
    <t>FMTRCAR0038</t>
  </si>
  <si>
    <t>FMSHTCR0007</t>
  </si>
  <si>
    <t>FMTSH9970</t>
  </si>
  <si>
    <t>FMTSH6457</t>
  </si>
  <si>
    <t>FMSHT6603</t>
  </si>
  <si>
    <t>FMSHT5792</t>
  </si>
  <si>
    <t>FMJEN9254</t>
  </si>
  <si>
    <t>FMTSH9396</t>
  </si>
  <si>
    <t>FMTSH9278</t>
  </si>
  <si>
    <t>JACKET</t>
  </si>
  <si>
    <t>FMJCK2895</t>
  </si>
  <si>
    <t>FMJCK2896</t>
  </si>
  <si>
    <t>FMJCK2897</t>
  </si>
  <si>
    <t>FMJCK2900</t>
  </si>
  <si>
    <t>FMJCK2906</t>
  </si>
  <si>
    <t>FMJCK2956</t>
  </si>
  <si>
    <t>FMJCK2957</t>
  </si>
  <si>
    <t>FMJEN2400</t>
  </si>
  <si>
    <t>FMJEN2402</t>
  </si>
  <si>
    <t>FMJEN2416</t>
  </si>
  <si>
    <t>FMJEN2420</t>
  </si>
  <si>
    <t>FMJEN2423</t>
  </si>
  <si>
    <t>FMJEN2424</t>
  </si>
  <si>
    <t>FMJEN2488</t>
  </si>
  <si>
    <t>FMJEN2492</t>
  </si>
  <si>
    <t>FMJEN2507</t>
  </si>
  <si>
    <t>FMJEN2524</t>
  </si>
  <si>
    <t>FMJEN2530</t>
  </si>
  <si>
    <t>FMJEN2535</t>
  </si>
  <si>
    <t>FMJEN2563</t>
  </si>
  <si>
    <t>FMJEN2621</t>
  </si>
  <si>
    <t>FMJEN2628</t>
  </si>
  <si>
    <t>FMJEN1930</t>
  </si>
  <si>
    <t>FMJEN3184</t>
  </si>
  <si>
    <t>FMJEN3185</t>
  </si>
  <si>
    <t>FMJEN3204</t>
  </si>
  <si>
    <t>FMJEN3210</t>
  </si>
  <si>
    <t>FMJEN3215</t>
  </si>
  <si>
    <t>FMJEN3216</t>
  </si>
  <si>
    <t>FMJEN3220</t>
  </si>
  <si>
    <t>FMJEN3233</t>
  </si>
  <si>
    <t>FMJEN3236</t>
  </si>
  <si>
    <t>FMJEN3244</t>
  </si>
  <si>
    <t>FMJEN3247</t>
  </si>
  <si>
    <t>FMJEN3255</t>
  </si>
  <si>
    <t>FMJEN3256</t>
  </si>
  <si>
    <t>FMJEN3257</t>
  </si>
  <si>
    <t>FMJEN3258</t>
  </si>
  <si>
    <t>FMJEN3259</t>
  </si>
  <si>
    <t>FMJEN3266A</t>
  </si>
  <si>
    <t>FMJEN3267</t>
  </si>
  <si>
    <t>FMJEN3279</t>
  </si>
  <si>
    <t>FMJEN3301</t>
  </si>
  <si>
    <t>FMJEN3302</t>
  </si>
  <si>
    <t>FMJEN3303</t>
  </si>
  <si>
    <t>FMJEN3307</t>
  </si>
  <si>
    <t>FMJEN3347</t>
  </si>
  <si>
    <t>FMJEN3352</t>
  </si>
  <si>
    <t>FMJEN3358</t>
  </si>
  <si>
    <t>FMJEN3367</t>
  </si>
  <si>
    <t>FMJEN3388</t>
  </si>
  <si>
    <t>FMJEN3389</t>
  </si>
  <si>
    <t>FMJEN4508</t>
  </si>
  <si>
    <t>FMJEN4509</t>
  </si>
  <si>
    <t>FMJEN4522</t>
  </si>
  <si>
    <t>FMJEN4526</t>
  </si>
  <si>
    <t>FMJEN4529</t>
  </si>
  <si>
    <t>FMJEN4531</t>
  </si>
  <si>
    <t>FMJEN4534</t>
  </si>
  <si>
    <t>FMJEN4535</t>
  </si>
  <si>
    <t>FMJEN4536</t>
  </si>
  <si>
    <t>FMJEN4548</t>
  </si>
  <si>
    <t>FMJEN4561</t>
  </si>
  <si>
    <t>FMJEN4566</t>
  </si>
  <si>
    <t>FMJEN4569</t>
  </si>
  <si>
    <t>FMJEN4570</t>
  </si>
  <si>
    <t>FMJEN4573</t>
  </si>
  <si>
    <t>FMJEN4574</t>
  </si>
  <si>
    <t>FMJEN4575</t>
  </si>
  <si>
    <t>FMJEN4578</t>
  </si>
  <si>
    <t>FMJEN4580</t>
  </si>
  <si>
    <t>FMJEN4582</t>
  </si>
  <si>
    <t>FMJEN4583</t>
  </si>
  <si>
    <t>FMJEN4587</t>
  </si>
  <si>
    <t>FMJEN4620</t>
  </si>
  <si>
    <t>FMJEN4660</t>
  </si>
  <si>
    <t>FMJEN4845</t>
  </si>
  <si>
    <t>FMJEN4919</t>
  </si>
  <si>
    <t>FMJEN4963</t>
  </si>
  <si>
    <t>FMJEN4968</t>
  </si>
  <si>
    <t>FMJEN4969</t>
  </si>
  <si>
    <t>FMJEN4979</t>
  </si>
  <si>
    <t>FMJEN5001</t>
  </si>
  <si>
    <t>FMJEN5002</t>
  </si>
  <si>
    <t>FMJEN5031</t>
  </si>
  <si>
    <t>FMJEN5037</t>
  </si>
  <si>
    <t>FMJEN5052</t>
  </si>
  <si>
    <t>FMJEN6013</t>
  </si>
  <si>
    <t>FMJEN6016</t>
  </si>
  <si>
    <t>FMJEN6018</t>
  </si>
  <si>
    <t>FMJEN6026</t>
  </si>
  <si>
    <t>FMJEN6909</t>
  </si>
  <si>
    <t>FMJEN6910</t>
  </si>
  <si>
    <t>FMJEN6911</t>
  </si>
  <si>
    <t>FMJEN6933</t>
  </si>
  <si>
    <t>FMJEN4950</t>
  </si>
  <si>
    <t>FMJEN7691</t>
  </si>
  <si>
    <t>FMJEN7695</t>
  </si>
  <si>
    <t>FMJEN7733</t>
  </si>
  <si>
    <t>FMJEN7734</t>
  </si>
  <si>
    <t>FMJEN7747</t>
  </si>
  <si>
    <t>FMJEN7753</t>
  </si>
  <si>
    <t>FMJEN7773</t>
  </si>
  <si>
    <t>FMJEN7786</t>
  </si>
  <si>
    <t>FMJEN7899</t>
  </si>
  <si>
    <t>FMJEN8132</t>
  </si>
  <si>
    <t>FMJEN8144</t>
  </si>
  <si>
    <t>FMJEN8159</t>
  </si>
  <si>
    <t>FMJEN8608</t>
  </si>
  <si>
    <t>FMJEN7740</t>
  </si>
  <si>
    <t>FMJEN9129</t>
  </si>
  <si>
    <t>FMJEN9149</t>
  </si>
  <si>
    <t>FMJEN8946</t>
  </si>
  <si>
    <t>FMJEN9052</t>
  </si>
  <si>
    <t>FMJEN9080</t>
  </si>
  <si>
    <t>FMJEN9128</t>
  </si>
  <si>
    <t>FMJEN9167</t>
  </si>
  <si>
    <t>FMJEN9169</t>
  </si>
  <si>
    <t>FMJEN9179</t>
  </si>
  <si>
    <t>FMJEN9457</t>
  </si>
  <si>
    <t>FMJEN9474</t>
  </si>
  <si>
    <t>FMJEN9487</t>
  </si>
  <si>
    <t>FMJEN9505</t>
  </si>
  <si>
    <t>FMJEN9779</t>
  </si>
  <si>
    <t>FMJEN9780</t>
  </si>
  <si>
    <t>FMJEN10181</t>
  </si>
  <si>
    <t>FMSHTCR0008</t>
  </si>
  <si>
    <t>FMSHTCR0009</t>
  </si>
  <si>
    <t>FMSHT2748</t>
  </si>
  <si>
    <t>FMSHT2749</t>
  </si>
  <si>
    <t>FMSHT2751</t>
  </si>
  <si>
    <t>FMSHT2756</t>
  </si>
  <si>
    <t>3XL</t>
  </si>
  <si>
    <t>FMSHT2757</t>
  </si>
  <si>
    <t>FMSHT2761</t>
  </si>
  <si>
    <t>FMSHT2762</t>
  </si>
  <si>
    <t>FMSHT2785</t>
  </si>
  <si>
    <t>FMSHT2850</t>
  </si>
  <si>
    <t>FMSHT2854</t>
  </si>
  <si>
    <t>FMSHT2862</t>
  </si>
  <si>
    <t>FMSHT2905</t>
  </si>
  <si>
    <t>FMSHT2918</t>
  </si>
  <si>
    <t>FMSHT2922</t>
  </si>
  <si>
    <t>FMSHT2931</t>
  </si>
  <si>
    <t>FMSHT2984</t>
  </si>
  <si>
    <t>FMSHT2985</t>
  </si>
  <si>
    <t>FMSHT2986</t>
  </si>
  <si>
    <t>FMSHT3285</t>
  </si>
  <si>
    <t>FMSHT3561</t>
  </si>
  <si>
    <t>FMSHT3679</t>
  </si>
  <si>
    <t>FMSHT3715</t>
  </si>
  <si>
    <t>FMSHT4652</t>
  </si>
  <si>
    <t>FMSHT4506</t>
  </si>
  <si>
    <t>FMSHT4511</t>
  </si>
  <si>
    <t>FMSHT4528</t>
  </si>
  <si>
    <t>FMSHT4531</t>
  </si>
  <si>
    <t>FMSHT4558</t>
  </si>
  <si>
    <t>FMSHT4559</t>
  </si>
  <si>
    <t>FMSHT4561</t>
  </si>
  <si>
    <t>FMSHT4562</t>
  </si>
  <si>
    <t>FMSHT4563</t>
  </si>
  <si>
    <t>FMSHT4564</t>
  </si>
  <si>
    <t>FMSHT4566</t>
  </si>
  <si>
    <t>FMSHT4567</t>
  </si>
  <si>
    <t>FMSHT4570</t>
  </si>
  <si>
    <t>FMSHT4579</t>
  </si>
  <si>
    <t>FMSHT4581</t>
  </si>
  <si>
    <t>FMSHT4587</t>
  </si>
  <si>
    <t>FMSHT4590</t>
  </si>
  <si>
    <t>FMSHT4647</t>
  </si>
  <si>
    <t>FMSHT4708</t>
  </si>
  <si>
    <t>FMSHT4722</t>
  </si>
  <si>
    <t>FMSHT4753</t>
  </si>
  <si>
    <t>FMSHT5710</t>
  </si>
  <si>
    <t>FMSHT5717</t>
  </si>
  <si>
    <t>FMSHT5680</t>
  </si>
  <si>
    <t>FMSHT5714</t>
  </si>
  <si>
    <t>FMSHT5715</t>
  </si>
  <si>
    <t>FMSHT5789</t>
  </si>
  <si>
    <t>FMSHT5794</t>
  </si>
  <si>
    <t>FMSHT5795</t>
  </si>
  <si>
    <t>FMSHT5815</t>
  </si>
  <si>
    <t>FMSHT5816</t>
  </si>
  <si>
    <t>FMSHT5817</t>
  </si>
  <si>
    <t>FMSHT5888</t>
  </si>
  <si>
    <t>FMSHT6474</t>
  </si>
  <si>
    <t>FMSHT6513</t>
  </si>
  <si>
    <t>FMSHT6531</t>
  </si>
  <si>
    <t>FMSHT6534</t>
  </si>
  <si>
    <t>FMSHT6508</t>
  </si>
  <si>
    <t>FMSHT6526</t>
  </si>
  <si>
    <t>FMSHT6541</t>
  </si>
  <si>
    <t>FMSHT6568</t>
  </si>
  <si>
    <t>FMSHT6569</t>
  </si>
  <si>
    <t>FMSHT6652</t>
  </si>
  <si>
    <t>FMSHT6743</t>
  </si>
  <si>
    <t>FMSHT6725</t>
  </si>
  <si>
    <t>SWEATSHIRT</t>
  </si>
  <si>
    <t>FMSWS2622</t>
  </si>
  <si>
    <t>FMSWS2963</t>
  </si>
  <si>
    <t>FMSWS2964</t>
  </si>
  <si>
    <t>FMSWS2968</t>
  </si>
  <si>
    <t>FMSWS2981</t>
  </si>
  <si>
    <t>FMSWS2982</t>
  </si>
  <si>
    <t>FMSWS2984</t>
  </si>
  <si>
    <t>FMSWS2985</t>
  </si>
  <si>
    <t>FMSWS2990</t>
  </si>
  <si>
    <t>FMSWS2992</t>
  </si>
  <si>
    <t>FMSWS2955</t>
  </si>
  <si>
    <t>FMSWS2974</t>
  </si>
  <si>
    <t>FMSWS2988</t>
  </si>
  <si>
    <t>FMSWS2989</t>
  </si>
  <si>
    <t>FMSWS2994</t>
  </si>
  <si>
    <t>FMSWS3043</t>
  </si>
  <si>
    <t>FMTRO0420</t>
  </si>
  <si>
    <t>FMTRO0667</t>
  </si>
  <si>
    <t>FMTRO0696T</t>
  </si>
  <si>
    <t>FMTRCAR0031</t>
  </si>
  <si>
    <t>FMTRCAR0032</t>
  </si>
  <si>
    <t>FMTRCAR0033</t>
  </si>
  <si>
    <t>FMTRCAR0037</t>
  </si>
  <si>
    <t>FMTRCHI0007</t>
  </si>
  <si>
    <t>FMTRCAR0589</t>
  </si>
  <si>
    <t>FMTRCHI0095</t>
  </si>
  <si>
    <t>FMTRCHI0096</t>
  </si>
  <si>
    <t>FMTSHCR0002</t>
  </si>
  <si>
    <t>FMTSHCR0007</t>
  </si>
  <si>
    <t>FMTSH4821</t>
  </si>
  <si>
    <t>FMTSH6719</t>
  </si>
  <si>
    <t>FMTSH5760</t>
  </si>
  <si>
    <t>FMTSH5761</t>
  </si>
  <si>
    <t>FMTSH5790</t>
  </si>
  <si>
    <t>FMTSH5805</t>
  </si>
  <si>
    <t>FMTSH5810</t>
  </si>
  <si>
    <t>FMTSH5814</t>
  </si>
  <si>
    <t>FMTSH5815</t>
  </si>
  <si>
    <t>FMTSH5825</t>
  </si>
  <si>
    <t>FMTSH5892</t>
  </si>
  <si>
    <t>FMTSH5909</t>
  </si>
  <si>
    <t>FMTSH5913</t>
  </si>
  <si>
    <t>FMTSH5922</t>
  </si>
  <si>
    <t>FMTSH5940</t>
  </si>
  <si>
    <t>FMTSH5944</t>
  </si>
  <si>
    <t>FMTSH5950</t>
  </si>
  <si>
    <t>FMTSH5957</t>
  </si>
  <si>
    <t>FMTSH5962</t>
  </si>
  <si>
    <t>FMTSH5974</t>
  </si>
  <si>
    <t>FMTSH6260</t>
  </si>
  <si>
    <t>FMTSH6263</t>
  </si>
  <si>
    <t>FMTSH6300</t>
  </si>
  <si>
    <t>FMTSH6324</t>
  </si>
  <si>
    <t>FMTSH6328</t>
  </si>
  <si>
    <t>FMTSH6332</t>
  </si>
  <si>
    <t>FMTSH6333</t>
  </si>
  <si>
    <t>FMTSH6336</t>
  </si>
  <si>
    <t>FMTSH7251</t>
  </si>
  <si>
    <t>FMTSH7321</t>
  </si>
  <si>
    <t>FMTSH7346</t>
  </si>
  <si>
    <t>FMTSH7424</t>
  </si>
  <si>
    <t>FMTSH7425</t>
  </si>
  <si>
    <t>FMTSH7426</t>
  </si>
  <si>
    <t>FMTSH7829</t>
  </si>
  <si>
    <t>FMTSH9272</t>
  </si>
  <si>
    <t>FMTSH9273</t>
  </si>
  <si>
    <t>FMTSH9274</t>
  </si>
  <si>
    <t>FMTSH9276</t>
  </si>
  <si>
    <t>FMTSH9277</t>
  </si>
  <si>
    <t>FMTSH9279</t>
  </si>
  <si>
    <t>FMTSH9288</t>
  </si>
  <si>
    <t>FMTSH9294</t>
  </si>
  <si>
    <t>FMTSH9299</t>
  </si>
  <si>
    <t>FMTSH9300</t>
  </si>
  <si>
    <t>FMTSH9303</t>
  </si>
  <si>
    <t>FMTSH9309</t>
  </si>
  <si>
    <t>FMTSH9310</t>
  </si>
  <si>
    <t>FMTSH9311</t>
  </si>
  <si>
    <t>FMTSH9333</t>
  </si>
  <si>
    <t>FMTSH9335</t>
  </si>
  <si>
    <t>FMTSH9338</t>
  </si>
  <si>
    <t>FMTSH9339</t>
  </si>
  <si>
    <t>FMTSH9340</t>
  </si>
  <si>
    <t>FMTSH9341</t>
  </si>
  <si>
    <t>FMTSH9343</t>
  </si>
  <si>
    <t>FMTSH9345</t>
  </si>
  <si>
    <t>FMTSH9348</t>
  </si>
  <si>
    <t>FMTSH9349</t>
  </si>
  <si>
    <t>FMTSH9350</t>
  </si>
  <si>
    <t>FMTSH9353</t>
  </si>
  <si>
    <t>FMTSH9354</t>
  </si>
  <si>
    <t>FMTSH9355</t>
  </si>
  <si>
    <t>FMTSH9357</t>
  </si>
  <si>
    <t>FMTSH9358</t>
  </si>
  <si>
    <t>FMTSH9359</t>
  </si>
  <si>
    <t>FMTSH9360</t>
  </si>
  <si>
    <t>FMTSH9363</t>
  </si>
  <si>
    <t>FMTSH9364</t>
  </si>
  <si>
    <t>FMTSH9365</t>
  </si>
  <si>
    <t>FMTSH9366</t>
  </si>
  <si>
    <t>FMTSH9367</t>
  </si>
  <si>
    <t>FMTSH9377</t>
  </si>
  <si>
    <t>FMTSH9386</t>
  </si>
  <si>
    <t>FMTSH9389</t>
  </si>
  <si>
    <t>FMTSH9395</t>
  </si>
  <si>
    <t>FMTSH9399</t>
  </si>
  <si>
    <t>FMTSH9400</t>
  </si>
  <si>
    <t>FMTSH9401</t>
  </si>
  <si>
    <t>FMTSH9402</t>
  </si>
  <si>
    <t>FMTSH9403</t>
  </si>
  <si>
    <t>FMTSH9405</t>
  </si>
  <si>
    <t>FMTSH9497</t>
  </si>
  <si>
    <t>FMTSH9498</t>
  </si>
  <si>
    <t>FMTSH9503</t>
  </si>
  <si>
    <t>FMTSH9504</t>
  </si>
  <si>
    <t>FMTSHCR0009</t>
  </si>
  <si>
    <t>FMTSHCR0011</t>
  </si>
  <si>
    <t>FMTSHCR0013</t>
  </si>
  <si>
    <t>FMTSHCR0014</t>
  </si>
  <si>
    <t>FMTSHCR0016</t>
  </si>
  <si>
    <t>FMTSH9440</t>
  </si>
  <si>
    <t>FMTSH9442</t>
  </si>
  <si>
    <t>FMTSH9444</t>
  </si>
  <si>
    <t>FMTSH9459</t>
  </si>
  <si>
    <t>FMTSH9484</t>
  </si>
  <si>
    <t>FMTSH9488</t>
  </si>
  <si>
    <t>FMTSH9834</t>
  </si>
  <si>
    <t>FMTSH9836</t>
  </si>
  <si>
    <t>FMTSH9850</t>
  </si>
  <si>
    <t>FMTSH9851</t>
  </si>
  <si>
    <t>FMTSH10010</t>
  </si>
  <si>
    <t>FMTSH9822</t>
  </si>
  <si>
    <t>FMTSH9839</t>
  </si>
  <si>
    <t>FMTSH9840</t>
  </si>
  <si>
    <t>FMTSH9868</t>
  </si>
  <si>
    <t>FMTSH9869</t>
  </si>
  <si>
    <t>FMTSH9973</t>
  </si>
  <si>
    <t>FMTSH9990</t>
  </si>
  <si>
    <t>FMTSH9993</t>
  </si>
  <si>
    <t>FMTSH10379</t>
  </si>
  <si>
    <t>FMTSH10389</t>
  </si>
  <si>
    <t>FMTSH10396</t>
  </si>
  <si>
    <t>FMTSH10425</t>
  </si>
  <si>
    <t>FMTSH10432</t>
  </si>
  <si>
    <t>FMTSH10456</t>
  </si>
  <si>
    <t>FMTSH10544</t>
  </si>
  <si>
    <t>From 01-05-2026 to 31-05-2026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</si>
</sst>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8"/>
      <color theme="1"/>
      <name val="Times New roman"/>
      <family val="1"/>
    </font>
    <font>
      <b/>
      <sz val="14"/>
      <color theme="1"/>
      <name val="Times New roman"/>
      <family val="1"/>
    </font>
    <font>
      <b/>
      <sz val="12"/>
      <color theme="1"/>
      <name val="Times New roman"/>
      <family val="1"/>
    </font>
    <font>
      <b/>
      <u/>
      <sz val="11"/>
      <color theme="1"/>
      <name val="Calibri"/>
      <family val="2"/>
      <scheme val="minor"/>
    </font>
    <font>
      <b/>
      <u/>
      <sz val="11"/>
      <color theme="1"/>
      <name val="Cambria"/>
      <family val="1"/>
    </font>
    <font>
      <sz val="11"/>
      <color theme="1"/>
      <name val="Cambria"/>
      <family val="1"/>
    </font>
    <font>
      <b/>
      <sz val="18"/>
      <color theme="1"/>
      <name val="Cambria"/>
      <family val="1"/>
    </font>
    <font>
      <b/>
      <sz val="14"/>
      <color theme="1"/>
      <name val="Cambria"/>
      <family val="1"/>
    </font>
    <font>
      <b/>
      <sz val="12"/>
      <color theme="1"/>
      <name val="Cambria"/>
      <family val="1"/>
    </font>
    <font>
      <sz val="12"/>
      <color theme="1"/>
      <name val="Cambria"/>
      <family val="1"/>
    </font>
    <font>
      <sz val="14"/>
      <color theme="1"/>
      <name val="Cambria"/>
      <family val="1"/>
    </font>
    <font>
      <sz val="11"/>
      <color theme="1"/>
      <name val="Calibri"/>
      <family val="2"/>
      <scheme val="minor"/>
    </font>
    <font>
      <sz val="11"/>
      <color theme="1"/>
      <name val="Calibri Light"/>
      <family val="1"/>
      <scheme val="major"/>
    </font>
    <font>
      <sz val="1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2" fillId="0" borderId="0" applyFont="0" applyFill="0" applyBorder="0" applyAlignment="0" applyProtection="0"/>
  </cellStyleXfs>
  <cellXfs count="76">
    <xf numFmtId="0" fontId="0" fillId="0" borderId="0" xfId="0"/>
    <xf numFmtId="14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1" fontId="6" fillId="0" borderId="2" xfId="0" applyNumberFormat="1" applyFont="1" applyBorder="1" applyAlignment="1">
      <alignment horizontal="center" vertical="center"/>
    </xf>
    <xf numFmtId="0" fontId="0" fillId="0" borderId="2" xfId="0" applyBorder="1" applyAlignment="1" applyProtection="1">
      <alignment horizontal="center" vertical="center"/>
      <protection hidden="1"/>
    </xf>
    <xf numFmtId="2" fontId="0" fillId="0" borderId="3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1" fontId="5" fillId="0" borderId="9" xfId="0" applyNumberFormat="1" applyFon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2" fontId="5" fillId="0" borderId="9" xfId="0" applyNumberFormat="1" applyFont="1" applyBorder="1" applyAlignment="1">
      <alignment horizontal="center" vertical="center"/>
    </xf>
    <xf numFmtId="2" fontId="5" fillId="0" borderId="10" xfId="0" applyNumberFormat="1" applyFont="1" applyBorder="1" applyAlignment="1">
      <alignment horizontal="center" vertical="center"/>
    </xf>
    <xf numFmtId="14" fontId="6" fillId="2" borderId="11" xfId="0" applyNumberFormat="1" applyFont="1" applyFill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2" fontId="6" fillId="0" borderId="12" xfId="0" applyNumberFormat="1" applyFont="1" applyBorder="1" applyAlignment="1">
      <alignment horizontal="center" vertical="center"/>
    </xf>
    <xf numFmtId="2" fontId="6" fillId="2" borderId="13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2" fontId="6" fillId="0" borderId="2" xfId="0" applyNumberFormat="1" applyFont="1" applyBorder="1" applyAlignment="1">
      <alignment horizontal="center" vertical="center"/>
    </xf>
    <xf numFmtId="2" fontId="6" fillId="2" borderId="14" xfId="0" applyNumberFormat="1" applyFont="1" applyFill="1" applyBorder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2" fontId="6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15" xfId="0" applyFont="1" applyBorder="1" applyAlignment="1" applyProtection="1">
      <alignment horizontal="center" vertical="center"/>
      <protection hidden="1"/>
    </xf>
    <xf numFmtId="14" fontId="0" fillId="0" borderId="16" xfId="0" applyNumberFormat="1" applyBorder="1" applyAlignment="1">
      <alignment horizontal="center" vertical="center"/>
    </xf>
    <xf numFmtId="0" fontId="0" fillId="0" borderId="17" xfId="0" applyBorder="1" applyAlignment="1" applyProtection="1">
      <alignment horizontal="center" vertical="center"/>
      <protection hidden="1"/>
    </xf>
    <xf numFmtId="0" fontId="4" fillId="0" borderId="5" xfId="0" applyFont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2" fontId="4" fillId="0" borderId="20" xfId="0" applyNumberFormat="1" applyFont="1" applyBorder="1" applyAlignment="1">
      <alignment horizontal="center" vertical="center"/>
    </xf>
    <xf numFmtId="1" fontId="5" fillId="0" borderId="18" xfId="0" applyNumberFormat="1" applyFont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2" fontId="4" fillId="3" borderId="19" xfId="0" applyNumberFormat="1" applyFont="1" applyFill="1" applyBorder="1" applyAlignment="1">
      <alignment horizontal="center" vertical="center"/>
    </xf>
    <xf numFmtId="2" fontId="4" fillId="3" borderId="20" xfId="0" applyNumberFormat="1" applyFont="1" applyFill="1" applyBorder="1" applyAlignment="1">
      <alignment horizontal="center" vertical="center"/>
    </xf>
    <xf numFmtId="2" fontId="4" fillId="3" borderId="21" xfId="0" applyNumberFormat="1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2" fontId="4" fillId="0" borderId="21" xfId="0" applyNumberFormat="1" applyFont="1" applyBorder="1" applyAlignment="1">
      <alignment horizontal="center" vertical="center"/>
    </xf>
    <xf numFmtId="10" fontId="14" fillId="0" borderId="0" xfId="1" applyNumberFormat="1" applyFont="1" applyAlignment="1">
      <alignment horizontal="center" vertical="center"/>
    </xf>
    <xf numFmtId="2" fontId="14" fillId="0" borderId="0" xfId="0" applyNumberFormat="1" applyFont="1" applyAlignment="1">
      <alignment horizontal="center" vertical="center"/>
    </xf>
    <xf numFmtId="2" fontId="4" fillId="0" borderId="22" xfId="0" applyNumberFormat="1" applyFont="1" applyBorder="1" applyAlignment="1">
      <alignment horizontal="center" vertical="center"/>
    </xf>
    <xf numFmtId="9" fontId="13" fillId="0" borderId="0" xfId="1" applyFont="1" applyAlignment="1">
      <alignment horizontal="center" vertical="center"/>
    </xf>
    <xf numFmtId="2" fontId="10" fillId="0" borderId="0" xfId="0" applyNumberFormat="1" applyFont="1" applyAlignment="1">
      <alignment horizontal="center" vertical="center"/>
    </xf>
    <xf numFmtId="14" fontId="4" fillId="0" borderId="5" xfId="0" applyNumberFormat="1" applyFont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14" fillId="0" borderId="0" xfId="0" applyFont="1" applyAlignment="1">
      <alignment horizontal="center"/>
    </xf>
    <xf numFmtId="2" fontId="11" fillId="0" borderId="15" xfId="0" applyNumberFormat="1" applyFont="1" applyBorder="1" applyAlignment="1" applyProtection="1">
      <alignment horizontal="center" vertical="center"/>
      <protection hidden="1"/>
    </xf>
    <xf numFmtId="14" fontId="0" fillId="0" borderId="11" xfId="0" applyNumberForma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2" xfId="0" applyBorder="1" applyAlignment="1" applyProtection="1">
      <alignment horizontal="center" vertical="center"/>
      <protection hidden="1"/>
    </xf>
    <xf numFmtId="2" fontId="0" fillId="0" borderId="12" xfId="0" applyNumberFormat="1" applyBorder="1" applyAlignment="1">
      <alignment horizontal="center" vertical="center"/>
    </xf>
    <xf numFmtId="14" fontId="0" fillId="0" borderId="23" xfId="0" applyNumberFormat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4" xfId="0" applyBorder="1" applyAlignment="1" applyProtection="1">
      <alignment horizontal="center" vertical="center"/>
      <protection hidden="1"/>
    </xf>
    <xf numFmtId="2" fontId="0" fillId="0" borderId="24" xfId="0" applyNumberFormat="1" applyBorder="1" applyAlignment="1">
      <alignment horizontal="center" vertical="center"/>
    </xf>
    <xf numFmtId="1" fontId="6" fillId="0" borderId="24" xfId="0" applyNumberFormat="1" applyFont="1" applyBorder="1" applyAlignment="1">
      <alignment horizontal="center" vertical="center"/>
    </xf>
    <xf numFmtId="0" fontId="0" fillId="0" borderId="9" xfId="0" applyBorder="1" applyAlignment="1" applyProtection="1">
      <alignment horizontal="center" vertical="center"/>
      <protection hidden="1"/>
    </xf>
    <xf numFmtId="2" fontId="0" fillId="0" borderId="25" xfId="0" applyNumberFormat="1" applyBorder="1" applyAlignment="1">
      <alignment horizontal="center" vertical="center"/>
    </xf>
    <xf numFmtId="9" fontId="0" fillId="0" borderId="0" xfId="1" applyFont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4" fontId="3" fillId="0" borderId="4" xfId="0" applyNumberFormat="1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4">
    <dxf>
      <font>
        <color rgb="FFFF000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INVOICE,%20MARGIN,%20&amp;%20DEFECTIVE%20FORMAT/ARVIND%20LINEN%20CLUB%20&amp;%20SPYKAR%20INVOICE/ARVIND%20ORDER%20&amp;%20EOSS%20TAG%20SHEET/ARVIND%20AW'25%20ORDER%20SHEET%20&amp;%20EOSS%20TAG/1.%20ARVIND%20ALL%20BRAND%20AW'25%20EOSS%20OFFER.xlsx" TargetMode="External"/><Relationship Id="rId2" Type="http://schemas.openxmlformats.org/officeDocument/2006/relationships/externalLinkPath" Target="file:///D:\KDPS\INVOICE,%20MARGIN,%20&amp;%20DEFECTIVE%20FORMAT\ARVIND%20LINEN%20CLUB%20&amp;%20SPYKAR%20INVOICE\ARVIND%20ORDER%20&amp;%20EOSS%20TAG%20SHEET\ARVIND%20AW'25%20ORDER%20SHEET%20&amp;%20EOSS%20TAG\1.%20ARVIND%20ALL%20BRAND%20AW'25%20EOSS%20OFFER.xlsx" TargetMode="External"/><Relationship Id="rId1" Type="http://schemas.openxmlformats.org/officeDocument/2006/relationships/externalLinkPath" Target="/KDPS/INVOICE,%20MARGIN,%20&amp;%20DEFECTIVE%20FORMAT/ARVIND%20LINEN%20CLUB%20&amp;%20SPYKAR%20INVOICE/ARVIND%20ORDER%20&amp;%20EOSS%20TAG%20SHEET/ARVIND%20AW'25%20ORDER%20SHEET%20&amp;%20EOSS%20TAG/1.%20ARVIND%20ALL%20BRAND%20AW'25%20EOSS%20OFFER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\Downloads\FM%20APPAREL%20A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1"/>
    </sheetNames>
    <sheetDataSet>
      <sheetData sheetId="0" refreshError="1">
        <row r="3">
          <cell r="C3" t="str">
            <v>AREB5092A</v>
          </cell>
          <cell r="D3" t="str">
            <v>CORE</v>
          </cell>
          <cell r="E3" t="str">
            <v>CO25</v>
          </cell>
          <cell r="F3">
            <v>6320</v>
          </cell>
          <cell r="G3" t="str">
            <v>AR</v>
          </cell>
          <cell r="H3" t="str">
            <v>ARRARMBLZ</v>
          </cell>
          <cell r="I3" t="str">
            <v>AREB5092A001</v>
          </cell>
          <cell r="J3" t="str">
            <v>34</v>
          </cell>
          <cell r="K3" t="str">
            <v>BLAZER</v>
          </cell>
          <cell r="L3" t="str">
            <v>NOD</v>
          </cell>
        </row>
        <row r="4">
          <cell r="C4" t="str">
            <v>AREB5092A</v>
          </cell>
          <cell r="D4" t="str">
            <v>CORE</v>
          </cell>
          <cell r="E4" t="str">
            <v>CO25</v>
          </cell>
          <cell r="F4">
            <v>6320</v>
          </cell>
          <cell r="G4" t="str">
            <v>AR</v>
          </cell>
          <cell r="H4" t="str">
            <v>ARRARMBLZ</v>
          </cell>
          <cell r="I4" t="str">
            <v>AREB5092A002</v>
          </cell>
          <cell r="J4" t="str">
            <v>36</v>
          </cell>
          <cell r="K4" t="str">
            <v>BLAZER</v>
          </cell>
          <cell r="L4" t="str">
            <v>NOD</v>
          </cell>
        </row>
        <row r="5">
          <cell r="C5" t="str">
            <v>AREB5092A</v>
          </cell>
          <cell r="D5" t="str">
            <v>CORE</v>
          </cell>
          <cell r="E5" t="str">
            <v>CO25</v>
          </cell>
          <cell r="F5">
            <v>6320</v>
          </cell>
          <cell r="G5" t="str">
            <v>AR</v>
          </cell>
          <cell r="H5" t="str">
            <v>ARRARMBLZ</v>
          </cell>
          <cell r="I5" t="str">
            <v>AREB5092A003</v>
          </cell>
          <cell r="J5" t="str">
            <v>38</v>
          </cell>
          <cell r="K5" t="str">
            <v>BLAZER</v>
          </cell>
          <cell r="L5" t="str">
            <v>NOD</v>
          </cell>
        </row>
        <row r="6">
          <cell r="C6" t="str">
            <v>AREB5092A</v>
          </cell>
          <cell r="D6" t="str">
            <v>CORE</v>
          </cell>
          <cell r="E6" t="str">
            <v>CO25</v>
          </cell>
          <cell r="F6">
            <v>6320</v>
          </cell>
          <cell r="G6" t="str">
            <v>AR</v>
          </cell>
          <cell r="H6" t="str">
            <v>ARRARMBLZ</v>
          </cell>
          <cell r="I6" t="str">
            <v>AREB5092A004</v>
          </cell>
          <cell r="J6" t="str">
            <v>40</v>
          </cell>
          <cell r="K6" t="str">
            <v>BLAZER</v>
          </cell>
          <cell r="L6" t="str">
            <v>NOD</v>
          </cell>
        </row>
        <row r="7">
          <cell r="C7" t="str">
            <v>AREB5092A</v>
          </cell>
          <cell r="D7" t="str">
            <v>CORE</v>
          </cell>
          <cell r="E7" t="str">
            <v>CO25</v>
          </cell>
          <cell r="F7">
            <v>6320</v>
          </cell>
          <cell r="G7" t="str">
            <v>AR</v>
          </cell>
          <cell r="H7" t="str">
            <v>ARRARMBLZ</v>
          </cell>
          <cell r="I7" t="str">
            <v>AREB5092A005</v>
          </cell>
          <cell r="J7" t="str">
            <v>42</v>
          </cell>
          <cell r="K7" t="str">
            <v>BLAZER</v>
          </cell>
          <cell r="L7" t="str">
            <v>NOD</v>
          </cell>
        </row>
        <row r="8">
          <cell r="C8" t="str">
            <v>AREB5092A</v>
          </cell>
          <cell r="D8" t="str">
            <v>CORE</v>
          </cell>
          <cell r="E8" t="str">
            <v>CO25</v>
          </cell>
          <cell r="F8">
            <v>6320</v>
          </cell>
          <cell r="G8" t="str">
            <v>AR</v>
          </cell>
          <cell r="H8" t="str">
            <v>ARRARMBLZ</v>
          </cell>
          <cell r="I8" t="str">
            <v>AREB5092A006</v>
          </cell>
          <cell r="J8" t="str">
            <v>44</v>
          </cell>
          <cell r="K8" t="str">
            <v>BLAZER</v>
          </cell>
          <cell r="L8" t="str">
            <v>NOD</v>
          </cell>
        </row>
        <row r="9">
          <cell r="C9" t="str">
            <v>AREB5092A</v>
          </cell>
          <cell r="D9" t="str">
            <v>CORE</v>
          </cell>
          <cell r="E9" t="str">
            <v>CO25</v>
          </cell>
          <cell r="F9">
            <v>6320</v>
          </cell>
          <cell r="G9" t="str">
            <v>AR</v>
          </cell>
          <cell r="H9" t="str">
            <v>ARRARMBLZ</v>
          </cell>
          <cell r="I9" t="str">
            <v>AREB5092A007</v>
          </cell>
          <cell r="J9" t="str">
            <v>46</v>
          </cell>
          <cell r="K9" t="str">
            <v>BLAZER</v>
          </cell>
          <cell r="L9" t="str">
            <v>NOD</v>
          </cell>
        </row>
        <row r="10">
          <cell r="C10" t="str">
            <v>AREB5092A</v>
          </cell>
          <cell r="D10" t="str">
            <v>CORE</v>
          </cell>
          <cell r="E10" t="str">
            <v>CO25</v>
          </cell>
          <cell r="F10">
            <v>6320</v>
          </cell>
          <cell r="G10" t="str">
            <v>AR</v>
          </cell>
          <cell r="H10" t="str">
            <v>ARRARMBLZ</v>
          </cell>
          <cell r="I10" t="str">
            <v>AREB5092A008</v>
          </cell>
          <cell r="J10" t="str">
            <v>48</v>
          </cell>
          <cell r="K10" t="str">
            <v>BLAZER</v>
          </cell>
          <cell r="L10" t="str">
            <v>NOD</v>
          </cell>
        </row>
        <row r="11">
          <cell r="C11" t="str">
            <v>AREB5092A</v>
          </cell>
          <cell r="D11" t="str">
            <v>CORE</v>
          </cell>
          <cell r="E11" t="str">
            <v>CO25</v>
          </cell>
          <cell r="F11">
            <v>6320</v>
          </cell>
          <cell r="G11" t="str">
            <v>AR</v>
          </cell>
          <cell r="H11" t="str">
            <v>ARRARMBLZ</v>
          </cell>
          <cell r="I11" t="str">
            <v>AREB5092A009</v>
          </cell>
          <cell r="J11" t="str">
            <v>50</v>
          </cell>
          <cell r="K11" t="str">
            <v>BLAZER</v>
          </cell>
          <cell r="L11" t="str">
            <v>NOD</v>
          </cell>
        </row>
        <row r="12">
          <cell r="C12" t="str">
            <v>AREB5092A</v>
          </cell>
          <cell r="D12" t="str">
            <v>CORE</v>
          </cell>
          <cell r="E12" t="str">
            <v>CO25</v>
          </cell>
          <cell r="F12">
            <v>6320</v>
          </cell>
          <cell r="G12" t="str">
            <v>AR</v>
          </cell>
          <cell r="H12" t="str">
            <v>ARRARMBLZ</v>
          </cell>
          <cell r="I12" t="str">
            <v>AREB5092A010</v>
          </cell>
          <cell r="J12" t="str">
            <v>52</v>
          </cell>
          <cell r="K12" t="str">
            <v>BLAZER</v>
          </cell>
          <cell r="L12" t="str">
            <v>NOD</v>
          </cell>
        </row>
        <row r="13">
          <cell r="C13" t="str">
            <v>AREB5092AG</v>
          </cell>
          <cell r="D13" t="str">
            <v>CORE</v>
          </cell>
          <cell r="E13" t="str">
            <v>CO25</v>
          </cell>
          <cell r="F13">
            <v>6999</v>
          </cell>
          <cell r="G13" t="str">
            <v>AR</v>
          </cell>
          <cell r="H13" t="str">
            <v>ARRARMBLZ</v>
          </cell>
          <cell r="I13" t="str">
            <v>AREB5092AG001</v>
          </cell>
          <cell r="J13" t="str">
            <v>34</v>
          </cell>
          <cell r="K13" t="str">
            <v>BLAZER</v>
          </cell>
          <cell r="L13" t="str">
            <v>NOD</v>
          </cell>
        </row>
        <row r="14">
          <cell r="C14" t="str">
            <v>AREB5092AG</v>
          </cell>
          <cell r="D14" t="str">
            <v>CORE</v>
          </cell>
          <cell r="E14" t="str">
            <v>CO25</v>
          </cell>
          <cell r="F14">
            <v>6999</v>
          </cell>
          <cell r="G14" t="str">
            <v>AR</v>
          </cell>
          <cell r="H14" t="str">
            <v>ARRARMBLZ</v>
          </cell>
          <cell r="I14" t="str">
            <v>AREB5092AG002</v>
          </cell>
          <cell r="J14" t="str">
            <v>36</v>
          </cell>
          <cell r="K14" t="str">
            <v>BLAZER</v>
          </cell>
          <cell r="L14" t="str">
            <v>NOD</v>
          </cell>
        </row>
        <row r="15">
          <cell r="C15" t="str">
            <v>AREB5092AG</v>
          </cell>
          <cell r="D15" t="str">
            <v>CORE</v>
          </cell>
          <cell r="E15" t="str">
            <v>CO25</v>
          </cell>
          <cell r="F15">
            <v>6999</v>
          </cell>
          <cell r="G15" t="str">
            <v>AR</v>
          </cell>
          <cell r="H15" t="str">
            <v>ARRARMBLZ</v>
          </cell>
          <cell r="I15" t="str">
            <v>AREB5092AG003</v>
          </cell>
          <cell r="J15" t="str">
            <v>38</v>
          </cell>
          <cell r="K15" t="str">
            <v>BLAZER</v>
          </cell>
          <cell r="L15" t="str">
            <v>NOD</v>
          </cell>
        </row>
        <row r="16">
          <cell r="C16" t="str">
            <v>AREB5092AG</v>
          </cell>
          <cell r="D16" t="str">
            <v>CORE</v>
          </cell>
          <cell r="E16" t="str">
            <v>CO25</v>
          </cell>
          <cell r="F16">
            <v>6999</v>
          </cell>
          <cell r="G16" t="str">
            <v>AR</v>
          </cell>
          <cell r="H16" t="str">
            <v>ARRARMBLZ</v>
          </cell>
          <cell r="I16" t="str">
            <v>AREB5092AG004</v>
          </cell>
          <cell r="J16" t="str">
            <v>40</v>
          </cell>
          <cell r="K16" t="str">
            <v>BLAZER</v>
          </cell>
          <cell r="L16" t="str">
            <v>NOD</v>
          </cell>
        </row>
        <row r="17">
          <cell r="C17" t="str">
            <v>AREB5092AG</v>
          </cell>
          <cell r="D17" t="str">
            <v>CORE</v>
          </cell>
          <cell r="E17" t="str">
            <v>CO25</v>
          </cell>
          <cell r="F17">
            <v>6999</v>
          </cell>
          <cell r="G17" t="str">
            <v>AR</v>
          </cell>
          <cell r="H17" t="str">
            <v>ARRARMBLZ</v>
          </cell>
          <cell r="I17" t="str">
            <v>AREB5092AG005</v>
          </cell>
          <cell r="J17" t="str">
            <v>42</v>
          </cell>
          <cell r="K17" t="str">
            <v>BLAZER</v>
          </cell>
          <cell r="L17" t="str">
            <v>NOD</v>
          </cell>
        </row>
        <row r="18">
          <cell r="C18" t="str">
            <v>AREB5092AG</v>
          </cell>
          <cell r="D18" t="str">
            <v>CORE</v>
          </cell>
          <cell r="E18" t="str">
            <v>CO25</v>
          </cell>
          <cell r="F18">
            <v>6999</v>
          </cell>
          <cell r="G18" t="str">
            <v>AR</v>
          </cell>
          <cell r="H18" t="str">
            <v>ARRARMBLZ</v>
          </cell>
          <cell r="I18" t="str">
            <v>AREB5092AG006</v>
          </cell>
          <cell r="J18" t="str">
            <v>44</v>
          </cell>
          <cell r="K18" t="str">
            <v>BLAZER</v>
          </cell>
          <cell r="L18" t="str">
            <v>NOD</v>
          </cell>
        </row>
        <row r="19">
          <cell r="C19" t="str">
            <v>AREB5092AG</v>
          </cell>
          <cell r="D19" t="str">
            <v>CORE</v>
          </cell>
          <cell r="E19" t="str">
            <v>CO25</v>
          </cell>
          <cell r="F19">
            <v>6999</v>
          </cell>
          <cell r="G19" t="str">
            <v>AR</v>
          </cell>
          <cell r="H19" t="str">
            <v>ARRARMBLZ</v>
          </cell>
          <cell r="I19" t="str">
            <v>AREB5092AG007</v>
          </cell>
          <cell r="J19" t="str">
            <v>46</v>
          </cell>
          <cell r="K19" t="str">
            <v>BLAZER</v>
          </cell>
          <cell r="L19" t="str">
            <v>NOD</v>
          </cell>
        </row>
        <row r="20">
          <cell r="C20" t="str">
            <v>AREB5092AG</v>
          </cell>
          <cell r="D20" t="str">
            <v>CORE</v>
          </cell>
          <cell r="E20" t="str">
            <v>CO25</v>
          </cell>
          <cell r="F20">
            <v>6999</v>
          </cell>
          <cell r="G20" t="str">
            <v>AR</v>
          </cell>
          <cell r="H20" t="str">
            <v>ARRARMBLZ</v>
          </cell>
          <cell r="I20" t="str">
            <v>AREB5092AG008</v>
          </cell>
          <cell r="J20" t="str">
            <v>48</v>
          </cell>
          <cell r="K20" t="str">
            <v>BLAZER</v>
          </cell>
          <cell r="L20" t="str">
            <v>NOD</v>
          </cell>
        </row>
        <row r="21">
          <cell r="C21" t="str">
            <v>AREB5092AG</v>
          </cell>
          <cell r="D21" t="str">
            <v>CORE</v>
          </cell>
          <cell r="E21" t="str">
            <v>CO25</v>
          </cell>
          <cell r="F21">
            <v>6999</v>
          </cell>
          <cell r="G21" t="str">
            <v>AR</v>
          </cell>
          <cell r="H21" t="str">
            <v>ARRARMBLZ</v>
          </cell>
          <cell r="I21" t="str">
            <v>AREB5092AG009</v>
          </cell>
          <cell r="J21" t="str">
            <v>50</v>
          </cell>
          <cell r="K21" t="str">
            <v>BLAZER</v>
          </cell>
          <cell r="L21" t="str">
            <v>NOD</v>
          </cell>
        </row>
        <row r="22">
          <cell r="C22" t="str">
            <v>AREB5092AG</v>
          </cell>
          <cell r="D22" t="str">
            <v>CORE</v>
          </cell>
          <cell r="E22" t="str">
            <v>CO25</v>
          </cell>
          <cell r="F22">
            <v>6999</v>
          </cell>
          <cell r="G22" t="str">
            <v>AR</v>
          </cell>
          <cell r="H22" t="str">
            <v>ARRARMBLZ</v>
          </cell>
          <cell r="I22" t="str">
            <v>AREB5092AG010</v>
          </cell>
          <cell r="J22" t="str">
            <v>52</v>
          </cell>
          <cell r="K22" t="str">
            <v>BLAZER</v>
          </cell>
          <cell r="L22" t="str">
            <v>NOD</v>
          </cell>
        </row>
        <row r="23">
          <cell r="C23" t="str">
            <v>AREB5093A</v>
          </cell>
          <cell r="D23" t="str">
            <v>CORE</v>
          </cell>
          <cell r="E23" t="str">
            <v>CO25</v>
          </cell>
          <cell r="F23">
            <v>6320</v>
          </cell>
          <cell r="G23" t="str">
            <v>AR</v>
          </cell>
          <cell r="H23" t="str">
            <v>ARRARMBLZ</v>
          </cell>
          <cell r="I23" t="str">
            <v>AREB5093A001</v>
          </cell>
          <cell r="J23" t="str">
            <v>34</v>
          </cell>
          <cell r="K23" t="str">
            <v>BLAZER</v>
          </cell>
          <cell r="L23" t="str">
            <v>NOD</v>
          </cell>
        </row>
        <row r="24">
          <cell r="C24" t="str">
            <v>AREB5093A</v>
          </cell>
          <cell r="D24" t="str">
            <v>CORE</v>
          </cell>
          <cell r="E24" t="str">
            <v>CO25</v>
          </cell>
          <cell r="F24">
            <v>6320</v>
          </cell>
          <cell r="G24" t="str">
            <v>AR</v>
          </cell>
          <cell r="H24" t="str">
            <v>ARRARMBLZ</v>
          </cell>
          <cell r="I24" t="str">
            <v>AREB5093A002</v>
          </cell>
          <cell r="J24" t="str">
            <v>36</v>
          </cell>
          <cell r="K24" t="str">
            <v>BLAZER</v>
          </cell>
          <cell r="L24" t="str">
            <v>NOD</v>
          </cell>
        </row>
        <row r="25">
          <cell r="C25" t="str">
            <v>AREB5093A</v>
          </cell>
          <cell r="D25" t="str">
            <v>CORE</v>
          </cell>
          <cell r="E25" t="str">
            <v>CO25</v>
          </cell>
          <cell r="F25">
            <v>6320</v>
          </cell>
          <cell r="G25" t="str">
            <v>AR</v>
          </cell>
          <cell r="H25" t="str">
            <v>ARRARMBLZ</v>
          </cell>
          <cell r="I25" t="str">
            <v>AREB5093A003</v>
          </cell>
          <cell r="J25" t="str">
            <v>38</v>
          </cell>
          <cell r="K25" t="str">
            <v>BLAZER</v>
          </cell>
          <cell r="L25" t="str">
            <v>NOD</v>
          </cell>
        </row>
        <row r="26">
          <cell r="C26" t="str">
            <v>AREB5093A</v>
          </cell>
          <cell r="D26" t="str">
            <v>CORE</v>
          </cell>
          <cell r="E26" t="str">
            <v>CO25</v>
          </cell>
          <cell r="F26">
            <v>6320</v>
          </cell>
          <cell r="G26" t="str">
            <v>AR</v>
          </cell>
          <cell r="H26" t="str">
            <v>ARRARMBLZ</v>
          </cell>
          <cell r="I26" t="str">
            <v>AREB5093A004</v>
          </cell>
          <cell r="J26" t="str">
            <v>40</v>
          </cell>
          <cell r="K26" t="str">
            <v>BLAZER</v>
          </cell>
          <cell r="L26" t="str">
            <v>NOD</v>
          </cell>
        </row>
        <row r="27">
          <cell r="C27" t="str">
            <v>AREB5093A</v>
          </cell>
          <cell r="D27" t="str">
            <v>CORE</v>
          </cell>
          <cell r="E27" t="str">
            <v>CO25</v>
          </cell>
          <cell r="F27">
            <v>6320</v>
          </cell>
          <cell r="G27" t="str">
            <v>AR</v>
          </cell>
          <cell r="H27" t="str">
            <v>ARRARMBLZ</v>
          </cell>
          <cell r="I27" t="str">
            <v>AREB5093A005</v>
          </cell>
          <cell r="J27" t="str">
            <v>42</v>
          </cell>
          <cell r="K27" t="str">
            <v>BLAZER</v>
          </cell>
          <cell r="L27" t="str">
            <v>NOD</v>
          </cell>
        </row>
        <row r="28">
          <cell r="C28" t="str">
            <v>AREB5093A</v>
          </cell>
          <cell r="D28" t="str">
            <v>CORE</v>
          </cell>
          <cell r="E28" t="str">
            <v>CO25</v>
          </cell>
          <cell r="F28">
            <v>6320</v>
          </cell>
          <cell r="G28" t="str">
            <v>AR</v>
          </cell>
          <cell r="H28" t="str">
            <v>ARRARMBLZ</v>
          </cell>
          <cell r="I28" t="str">
            <v>AREB5093A006</v>
          </cell>
          <cell r="J28" t="str">
            <v>44</v>
          </cell>
          <cell r="K28" t="str">
            <v>BLAZER</v>
          </cell>
          <cell r="L28" t="str">
            <v>NOD</v>
          </cell>
        </row>
        <row r="29">
          <cell r="C29" t="str">
            <v>AREB5093A</v>
          </cell>
          <cell r="D29" t="str">
            <v>CORE</v>
          </cell>
          <cell r="E29" t="str">
            <v>CO25</v>
          </cell>
          <cell r="F29">
            <v>6320</v>
          </cell>
          <cell r="G29" t="str">
            <v>AR</v>
          </cell>
          <cell r="H29" t="str">
            <v>ARRARMBLZ</v>
          </cell>
          <cell r="I29" t="str">
            <v>AREB5093A007</v>
          </cell>
          <cell r="J29" t="str">
            <v>46</v>
          </cell>
          <cell r="K29" t="str">
            <v>BLAZER</v>
          </cell>
          <cell r="L29" t="str">
            <v>NOD</v>
          </cell>
        </row>
        <row r="30">
          <cell r="C30" t="str">
            <v>AREB5093A</v>
          </cell>
          <cell r="D30" t="str">
            <v>CORE</v>
          </cell>
          <cell r="E30" t="str">
            <v>CO25</v>
          </cell>
          <cell r="F30">
            <v>6320</v>
          </cell>
          <cell r="G30" t="str">
            <v>AR</v>
          </cell>
          <cell r="H30" t="str">
            <v>ARRARMBLZ</v>
          </cell>
          <cell r="I30" t="str">
            <v>AREB5093A008</v>
          </cell>
          <cell r="J30" t="str">
            <v>48</v>
          </cell>
          <cell r="K30" t="str">
            <v>BLAZER</v>
          </cell>
          <cell r="L30" t="str">
            <v>NOD</v>
          </cell>
        </row>
        <row r="31">
          <cell r="C31" t="str">
            <v>AREB5093A</v>
          </cell>
          <cell r="D31" t="str">
            <v>CORE</v>
          </cell>
          <cell r="E31" t="str">
            <v>CO25</v>
          </cell>
          <cell r="F31">
            <v>6320</v>
          </cell>
          <cell r="G31" t="str">
            <v>AR</v>
          </cell>
          <cell r="H31" t="str">
            <v>ARRARMBLZ</v>
          </cell>
          <cell r="I31" t="str">
            <v>AREB5093A009</v>
          </cell>
          <cell r="J31" t="str">
            <v>50</v>
          </cell>
          <cell r="K31" t="str">
            <v>BLAZER</v>
          </cell>
          <cell r="L31" t="str">
            <v>NOD</v>
          </cell>
        </row>
        <row r="32">
          <cell r="C32" t="str">
            <v>AREB5093A</v>
          </cell>
          <cell r="D32" t="str">
            <v>CORE</v>
          </cell>
          <cell r="E32" t="str">
            <v>CO25</v>
          </cell>
          <cell r="F32">
            <v>6320</v>
          </cell>
          <cell r="G32" t="str">
            <v>AR</v>
          </cell>
          <cell r="H32" t="str">
            <v>ARRARMBLZ</v>
          </cell>
          <cell r="I32" t="str">
            <v>AREB5093A010</v>
          </cell>
          <cell r="J32" t="str">
            <v>52</v>
          </cell>
          <cell r="K32" t="str">
            <v>BLAZER</v>
          </cell>
          <cell r="L32" t="str">
            <v>NOD</v>
          </cell>
        </row>
        <row r="33">
          <cell r="C33" t="str">
            <v>AREB5093AG</v>
          </cell>
          <cell r="D33" t="str">
            <v>CORE</v>
          </cell>
          <cell r="E33" t="str">
            <v>CO25</v>
          </cell>
          <cell r="F33">
            <v>6999</v>
          </cell>
          <cell r="G33" t="str">
            <v>AR</v>
          </cell>
          <cell r="H33" t="str">
            <v>ARRARMBLZ</v>
          </cell>
          <cell r="I33" t="str">
            <v>AREB5093AG001</v>
          </cell>
          <cell r="J33" t="str">
            <v>34</v>
          </cell>
          <cell r="K33" t="str">
            <v>BLAZER</v>
          </cell>
          <cell r="L33" t="str">
            <v>NOD</v>
          </cell>
        </row>
        <row r="34">
          <cell r="C34" t="str">
            <v>AREB5093AG</v>
          </cell>
          <cell r="D34" t="str">
            <v>CORE</v>
          </cell>
          <cell r="E34" t="str">
            <v>CO25</v>
          </cell>
          <cell r="F34">
            <v>6999</v>
          </cell>
          <cell r="G34" t="str">
            <v>AR</v>
          </cell>
          <cell r="H34" t="str">
            <v>ARRARMBLZ</v>
          </cell>
          <cell r="I34" t="str">
            <v>AREB5093AG002</v>
          </cell>
          <cell r="J34" t="str">
            <v>36</v>
          </cell>
          <cell r="K34" t="str">
            <v>BLAZER</v>
          </cell>
          <cell r="L34" t="str">
            <v>NOD</v>
          </cell>
        </row>
        <row r="35">
          <cell r="C35" t="str">
            <v>AREB5093AG</v>
          </cell>
          <cell r="D35" t="str">
            <v>CORE</v>
          </cell>
          <cell r="E35" t="str">
            <v>CO25</v>
          </cell>
          <cell r="F35">
            <v>6999</v>
          </cell>
          <cell r="G35" t="str">
            <v>AR</v>
          </cell>
          <cell r="H35" t="str">
            <v>ARRARMBLZ</v>
          </cell>
          <cell r="I35" t="str">
            <v>AREB5093AG003</v>
          </cell>
          <cell r="J35" t="str">
            <v>38</v>
          </cell>
          <cell r="K35" t="str">
            <v>BLAZER</v>
          </cell>
          <cell r="L35" t="str">
            <v>NOD</v>
          </cell>
        </row>
        <row r="36">
          <cell r="C36" t="str">
            <v>AREB5093AG</v>
          </cell>
          <cell r="D36" t="str">
            <v>CORE</v>
          </cell>
          <cell r="E36" t="str">
            <v>CO25</v>
          </cell>
          <cell r="F36">
            <v>6999</v>
          </cell>
          <cell r="G36" t="str">
            <v>AR</v>
          </cell>
          <cell r="H36" t="str">
            <v>ARRARMBLZ</v>
          </cell>
          <cell r="I36" t="str">
            <v>AREB5093AG004</v>
          </cell>
          <cell r="J36" t="str">
            <v>40</v>
          </cell>
          <cell r="K36" t="str">
            <v>BLAZER</v>
          </cell>
          <cell r="L36" t="str">
            <v>NOD</v>
          </cell>
        </row>
        <row r="37">
          <cell r="C37" t="str">
            <v>AREB5093AG</v>
          </cell>
          <cell r="D37" t="str">
            <v>CORE</v>
          </cell>
          <cell r="E37" t="str">
            <v>CO25</v>
          </cell>
          <cell r="F37">
            <v>6999</v>
          </cell>
          <cell r="G37" t="str">
            <v>AR</v>
          </cell>
          <cell r="H37" t="str">
            <v>ARRARMBLZ</v>
          </cell>
          <cell r="I37" t="str">
            <v>AREB5093AG005</v>
          </cell>
          <cell r="J37" t="str">
            <v>42</v>
          </cell>
          <cell r="K37" t="str">
            <v>BLAZER</v>
          </cell>
          <cell r="L37" t="str">
            <v>NOD</v>
          </cell>
        </row>
        <row r="38">
          <cell r="C38" t="str">
            <v>AREB5093AG</v>
          </cell>
          <cell r="D38" t="str">
            <v>CORE</v>
          </cell>
          <cell r="E38" t="str">
            <v>CO25</v>
          </cell>
          <cell r="F38">
            <v>6999</v>
          </cell>
          <cell r="G38" t="str">
            <v>AR</v>
          </cell>
          <cell r="H38" t="str">
            <v>ARRARMBLZ</v>
          </cell>
          <cell r="I38" t="str">
            <v>AREB5093AG006</v>
          </cell>
          <cell r="J38" t="str">
            <v>44</v>
          </cell>
          <cell r="K38" t="str">
            <v>BLAZER</v>
          </cell>
          <cell r="L38" t="str">
            <v>NOD</v>
          </cell>
        </row>
        <row r="39">
          <cell r="C39" t="str">
            <v>AREB5093AG</v>
          </cell>
          <cell r="D39" t="str">
            <v>CORE</v>
          </cell>
          <cell r="E39" t="str">
            <v>CO25</v>
          </cell>
          <cell r="F39">
            <v>6999</v>
          </cell>
          <cell r="G39" t="str">
            <v>AR</v>
          </cell>
          <cell r="H39" t="str">
            <v>ARRARMBLZ</v>
          </cell>
          <cell r="I39" t="str">
            <v>AREB5093AG007</v>
          </cell>
          <cell r="J39" t="str">
            <v>46</v>
          </cell>
          <cell r="K39" t="str">
            <v>BLAZER</v>
          </cell>
          <cell r="L39" t="str">
            <v>NOD</v>
          </cell>
        </row>
        <row r="40">
          <cell r="C40" t="str">
            <v>AREB5093AG</v>
          </cell>
          <cell r="D40" t="str">
            <v>CORE</v>
          </cell>
          <cell r="E40" t="str">
            <v>CO25</v>
          </cell>
          <cell r="F40">
            <v>6999</v>
          </cell>
          <cell r="G40" t="str">
            <v>AR</v>
          </cell>
          <cell r="H40" t="str">
            <v>ARRARMBLZ</v>
          </cell>
          <cell r="I40" t="str">
            <v>AREB5093AG008</v>
          </cell>
          <cell r="J40" t="str">
            <v>48</v>
          </cell>
          <cell r="K40" t="str">
            <v>BLAZER</v>
          </cell>
          <cell r="L40" t="str">
            <v>NOD</v>
          </cell>
        </row>
        <row r="41">
          <cell r="C41" t="str">
            <v>AREB5093AG</v>
          </cell>
          <cell r="D41" t="str">
            <v>CORE</v>
          </cell>
          <cell r="E41" t="str">
            <v>CO25</v>
          </cell>
          <cell r="F41">
            <v>6999</v>
          </cell>
          <cell r="G41" t="str">
            <v>AR</v>
          </cell>
          <cell r="H41" t="str">
            <v>ARRARMBLZ</v>
          </cell>
          <cell r="I41" t="str">
            <v>AREB5093AG009</v>
          </cell>
          <cell r="J41" t="str">
            <v>50</v>
          </cell>
          <cell r="K41" t="str">
            <v>BLAZER</v>
          </cell>
          <cell r="L41" t="str">
            <v>NOD</v>
          </cell>
        </row>
        <row r="42">
          <cell r="C42" t="str">
            <v>AREB5093AG</v>
          </cell>
          <cell r="D42" t="str">
            <v>CORE</v>
          </cell>
          <cell r="E42" t="str">
            <v>CO25</v>
          </cell>
          <cell r="F42">
            <v>6999</v>
          </cell>
          <cell r="G42" t="str">
            <v>AR</v>
          </cell>
          <cell r="H42" t="str">
            <v>ARRARMBLZ</v>
          </cell>
          <cell r="I42" t="str">
            <v>AREB5093AG010</v>
          </cell>
          <cell r="J42" t="str">
            <v>52</v>
          </cell>
          <cell r="K42" t="str">
            <v>BLAZER</v>
          </cell>
          <cell r="L42" t="str">
            <v>NOD</v>
          </cell>
        </row>
        <row r="43">
          <cell r="C43" t="str">
            <v>AREB5094</v>
          </cell>
          <cell r="D43" t="str">
            <v>CORE</v>
          </cell>
          <cell r="E43" t="str">
            <v>CO25</v>
          </cell>
          <cell r="F43">
            <v>5266</v>
          </cell>
          <cell r="G43" t="str">
            <v>AN</v>
          </cell>
          <cell r="H43" t="str">
            <v>ARRANMBLZ</v>
          </cell>
          <cell r="I43" t="str">
            <v>AREB5094001</v>
          </cell>
          <cell r="J43" t="str">
            <v>52</v>
          </cell>
          <cell r="K43" t="str">
            <v>BLAZER</v>
          </cell>
          <cell r="L43" t="str">
            <v>NOD</v>
          </cell>
        </row>
        <row r="44">
          <cell r="C44" t="str">
            <v>AREB5094</v>
          </cell>
          <cell r="D44" t="str">
            <v>CORE</v>
          </cell>
          <cell r="E44" t="str">
            <v>CO25</v>
          </cell>
          <cell r="F44">
            <v>5266</v>
          </cell>
          <cell r="G44" t="str">
            <v>AN</v>
          </cell>
          <cell r="H44" t="str">
            <v>ARRANMBLZ</v>
          </cell>
          <cell r="I44" t="str">
            <v>AREB5094002</v>
          </cell>
          <cell r="J44" t="str">
            <v>34</v>
          </cell>
          <cell r="K44" t="str">
            <v>BLAZER</v>
          </cell>
          <cell r="L44" t="str">
            <v>NOD</v>
          </cell>
        </row>
        <row r="45">
          <cell r="C45" t="str">
            <v>AREB5094</v>
          </cell>
          <cell r="D45" t="str">
            <v>CORE</v>
          </cell>
          <cell r="E45" t="str">
            <v>CO25</v>
          </cell>
          <cell r="F45">
            <v>5266</v>
          </cell>
          <cell r="G45" t="str">
            <v>AN</v>
          </cell>
          <cell r="H45" t="str">
            <v>ARRANMBLZ</v>
          </cell>
          <cell r="I45" t="str">
            <v>AREB5094361</v>
          </cell>
          <cell r="J45" t="str">
            <v>36</v>
          </cell>
          <cell r="K45" t="str">
            <v>BLAZER</v>
          </cell>
          <cell r="L45" t="str">
            <v>NOD</v>
          </cell>
        </row>
        <row r="46">
          <cell r="C46" t="str">
            <v>AREB5094</v>
          </cell>
          <cell r="D46" t="str">
            <v>CORE</v>
          </cell>
          <cell r="E46" t="str">
            <v>CO25</v>
          </cell>
          <cell r="F46">
            <v>5266</v>
          </cell>
          <cell r="G46" t="str">
            <v>AN</v>
          </cell>
          <cell r="H46" t="str">
            <v>ARRANMBLZ</v>
          </cell>
          <cell r="I46" t="str">
            <v>AREB5094381</v>
          </cell>
          <cell r="J46" t="str">
            <v>38</v>
          </cell>
          <cell r="K46" t="str">
            <v>BLAZER</v>
          </cell>
          <cell r="L46" t="str">
            <v>NOD</v>
          </cell>
        </row>
        <row r="47">
          <cell r="C47" t="str">
            <v>AREB5094</v>
          </cell>
          <cell r="D47" t="str">
            <v>CORE</v>
          </cell>
          <cell r="E47" t="str">
            <v>CO25</v>
          </cell>
          <cell r="F47">
            <v>5266</v>
          </cell>
          <cell r="G47" t="str">
            <v>AN</v>
          </cell>
          <cell r="H47" t="str">
            <v>ARRANMBLZ</v>
          </cell>
          <cell r="I47" t="str">
            <v>AREB5094401</v>
          </cell>
          <cell r="J47" t="str">
            <v>40</v>
          </cell>
          <cell r="K47" t="str">
            <v>BLAZER</v>
          </cell>
          <cell r="L47" t="str">
            <v>NOD</v>
          </cell>
        </row>
        <row r="48">
          <cell r="C48" t="str">
            <v>AREB5094</v>
          </cell>
          <cell r="D48" t="str">
            <v>CORE</v>
          </cell>
          <cell r="E48" t="str">
            <v>CO25</v>
          </cell>
          <cell r="F48">
            <v>5266</v>
          </cell>
          <cell r="G48" t="str">
            <v>AN</v>
          </cell>
          <cell r="H48" t="str">
            <v>ARRANMBLZ</v>
          </cell>
          <cell r="I48" t="str">
            <v>AREB5094421</v>
          </cell>
          <cell r="J48" t="str">
            <v>42</v>
          </cell>
          <cell r="K48" t="str">
            <v>BLAZER</v>
          </cell>
          <cell r="L48" t="str">
            <v>NOD</v>
          </cell>
        </row>
        <row r="49">
          <cell r="C49" t="str">
            <v>AREB5094</v>
          </cell>
          <cell r="D49" t="str">
            <v>CORE</v>
          </cell>
          <cell r="E49" t="str">
            <v>CO25</v>
          </cell>
          <cell r="F49">
            <v>5266</v>
          </cell>
          <cell r="G49" t="str">
            <v>AN</v>
          </cell>
          <cell r="H49" t="str">
            <v>ARRANMBLZ</v>
          </cell>
          <cell r="I49" t="str">
            <v>AREB5094441</v>
          </cell>
          <cell r="J49" t="str">
            <v>44</v>
          </cell>
          <cell r="K49" t="str">
            <v>BLAZER</v>
          </cell>
          <cell r="L49" t="str">
            <v>NOD</v>
          </cell>
        </row>
        <row r="50">
          <cell r="C50" t="str">
            <v>AREB5094</v>
          </cell>
          <cell r="D50" t="str">
            <v>CORE</v>
          </cell>
          <cell r="E50" t="str">
            <v>CO25</v>
          </cell>
          <cell r="F50">
            <v>5266</v>
          </cell>
          <cell r="G50" t="str">
            <v>AN</v>
          </cell>
          <cell r="H50" t="str">
            <v>ARRANMBLZ</v>
          </cell>
          <cell r="I50" t="str">
            <v>AREB5094461</v>
          </cell>
          <cell r="J50" t="str">
            <v>46</v>
          </cell>
          <cell r="K50" t="str">
            <v>BLAZER</v>
          </cell>
          <cell r="L50" t="str">
            <v>NOD</v>
          </cell>
        </row>
        <row r="51">
          <cell r="C51" t="str">
            <v>AREB5094</v>
          </cell>
          <cell r="D51" t="str">
            <v>CORE</v>
          </cell>
          <cell r="E51" t="str">
            <v>CO25</v>
          </cell>
          <cell r="F51">
            <v>5266</v>
          </cell>
          <cell r="G51" t="str">
            <v>AN</v>
          </cell>
          <cell r="H51" t="str">
            <v>ARRANMBLZ</v>
          </cell>
          <cell r="I51" t="str">
            <v>AREB5094481</v>
          </cell>
          <cell r="J51" t="str">
            <v>48</v>
          </cell>
          <cell r="K51" t="str">
            <v>BLAZER</v>
          </cell>
          <cell r="L51" t="str">
            <v>NOD</v>
          </cell>
        </row>
        <row r="52">
          <cell r="C52" t="str">
            <v>AREB5094</v>
          </cell>
          <cell r="D52" t="str">
            <v>CORE</v>
          </cell>
          <cell r="E52" t="str">
            <v>CO25</v>
          </cell>
          <cell r="F52">
            <v>5266</v>
          </cell>
          <cell r="G52" t="str">
            <v>AN</v>
          </cell>
          <cell r="H52" t="str">
            <v>ARRANMBLZ</v>
          </cell>
          <cell r="I52" t="str">
            <v>AREB5094501</v>
          </cell>
          <cell r="J52" t="str">
            <v>50</v>
          </cell>
          <cell r="K52" t="str">
            <v>BLAZER</v>
          </cell>
          <cell r="L52" t="str">
            <v>NOD</v>
          </cell>
        </row>
        <row r="53">
          <cell r="C53" t="str">
            <v>AREB5094G</v>
          </cell>
          <cell r="D53" t="str">
            <v>CORE</v>
          </cell>
          <cell r="E53" t="str">
            <v>CO25</v>
          </cell>
          <cell r="F53">
            <v>5999</v>
          </cell>
          <cell r="G53" t="str">
            <v>AR</v>
          </cell>
          <cell r="H53" t="str">
            <v>ARRARMBLZ</v>
          </cell>
          <cell r="I53" t="str">
            <v>AREB5094G001</v>
          </cell>
          <cell r="J53" t="str">
            <v>34</v>
          </cell>
          <cell r="K53" t="str">
            <v>BLAZER</v>
          </cell>
          <cell r="L53" t="str">
            <v>NOD</v>
          </cell>
        </row>
        <row r="54">
          <cell r="C54" t="str">
            <v>AREB5094G</v>
          </cell>
          <cell r="D54" t="str">
            <v>CORE</v>
          </cell>
          <cell r="E54" t="str">
            <v>CO25</v>
          </cell>
          <cell r="F54">
            <v>5999</v>
          </cell>
          <cell r="G54" t="str">
            <v>AR</v>
          </cell>
          <cell r="H54" t="str">
            <v>ARRARMBLZ</v>
          </cell>
          <cell r="I54" t="str">
            <v>AREB5094G002</v>
          </cell>
          <cell r="J54" t="str">
            <v>36</v>
          </cell>
          <cell r="K54" t="str">
            <v>BLAZER</v>
          </cell>
          <cell r="L54" t="str">
            <v>NOD</v>
          </cell>
        </row>
        <row r="55">
          <cell r="C55" t="str">
            <v>AREB5094G</v>
          </cell>
          <cell r="D55" t="str">
            <v>CORE</v>
          </cell>
          <cell r="E55" t="str">
            <v>CO25</v>
          </cell>
          <cell r="F55">
            <v>5999</v>
          </cell>
          <cell r="G55" t="str">
            <v>AR</v>
          </cell>
          <cell r="H55" t="str">
            <v>ARRARMBLZ</v>
          </cell>
          <cell r="I55" t="str">
            <v>AREB5094G003</v>
          </cell>
          <cell r="J55" t="str">
            <v>38</v>
          </cell>
          <cell r="K55" t="str">
            <v>BLAZER</v>
          </cell>
          <cell r="L55" t="str">
            <v>NOD</v>
          </cell>
        </row>
        <row r="56">
          <cell r="C56" t="str">
            <v>AREB5094G</v>
          </cell>
          <cell r="D56" t="str">
            <v>CORE</v>
          </cell>
          <cell r="E56" t="str">
            <v>CO25</v>
          </cell>
          <cell r="F56">
            <v>5999</v>
          </cell>
          <cell r="G56" t="str">
            <v>AR</v>
          </cell>
          <cell r="H56" t="str">
            <v>ARRARMBLZ</v>
          </cell>
          <cell r="I56" t="str">
            <v>AREB5094G004</v>
          </cell>
          <cell r="J56" t="str">
            <v>40</v>
          </cell>
          <cell r="K56" t="str">
            <v>BLAZER</v>
          </cell>
          <cell r="L56" t="str">
            <v>NOD</v>
          </cell>
        </row>
        <row r="57">
          <cell r="C57" t="str">
            <v>AREB5094G</v>
          </cell>
          <cell r="D57" t="str">
            <v>CORE</v>
          </cell>
          <cell r="E57" t="str">
            <v>CO25</v>
          </cell>
          <cell r="F57">
            <v>5999</v>
          </cell>
          <cell r="G57" t="str">
            <v>AR</v>
          </cell>
          <cell r="H57" t="str">
            <v>ARRARMBLZ</v>
          </cell>
          <cell r="I57" t="str">
            <v>AREB5094G005</v>
          </cell>
          <cell r="J57" t="str">
            <v>42</v>
          </cell>
          <cell r="K57" t="str">
            <v>BLAZER</v>
          </cell>
          <cell r="L57" t="str">
            <v>NOD</v>
          </cell>
        </row>
        <row r="58">
          <cell r="C58" t="str">
            <v>AREB5094G</v>
          </cell>
          <cell r="D58" t="str">
            <v>CORE</v>
          </cell>
          <cell r="E58" t="str">
            <v>CO25</v>
          </cell>
          <cell r="F58">
            <v>5999</v>
          </cell>
          <cell r="G58" t="str">
            <v>AR</v>
          </cell>
          <cell r="H58" t="str">
            <v>ARRARMBLZ</v>
          </cell>
          <cell r="I58" t="str">
            <v>AREB5094G006</v>
          </cell>
          <cell r="J58" t="str">
            <v>44</v>
          </cell>
          <cell r="K58" t="str">
            <v>BLAZER</v>
          </cell>
          <cell r="L58" t="str">
            <v>NOD</v>
          </cell>
        </row>
        <row r="59">
          <cell r="C59" t="str">
            <v>AREB5094G</v>
          </cell>
          <cell r="D59" t="str">
            <v>CORE</v>
          </cell>
          <cell r="E59" t="str">
            <v>CO25</v>
          </cell>
          <cell r="F59">
            <v>5999</v>
          </cell>
          <cell r="G59" t="str">
            <v>AR</v>
          </cell>
          <cell r="H59" t="str">
            <v>ARRARMBLZ</v>
          </cell>
          <cell r="I59" t="str">
            <v>AREB5094G007</v>
          </cell>
          <cell r="J59" t="str">
            <v>46</v>
          </cell>
          <cell r="K59" t="str">
            <v>BLAZER</v>
          </cell>
          <cell r="L59" t="str">
            <v>NOD</v>
          </cell>
        </row>
        <row r="60">
          <cell r="C60" t="str">
            <v>AREB5094G</v>
          </cell>
          <cell r="D60" t="str">
            <v>CORE</v>
          </cell>
          <cell r="E60" t="str">
            <v>CO25</v>
          </cell>
          <cell r="F60">
            <v>5999</v>
          </cell>
          <cell r="G60" t="str">
            <v>AR</v>
          </cell>
          <cell r="H60" t="str">
            <v>ARRARMBLZ</v>
          </cell>
          <cell r="I60" t="str">
            <v>AREB5094G008</v>
          </cell>
          <cell r="J60" t="str">
            <v>48</v>
          </cell>
          <cell r="K60" t="str">
            <v>BLAZER</v>
          </cell>
          <cell r="L60" t="str">
            <v>NOD</v>
          </cell>
        </row>
        <row r="61">
          <cell r="C61" t="str">
            <v>AREB5094G</v>
          </cell>
          <cell r="D61" t="str">
            <v>CORE</v>
          </cell>
          <cell r="E61" t="str">
            <v>CO25</v>
          </cell>
          <cell r="F61">
            <v>5999</v>
          </cell>
          <cell r="G61" t="str">
            <v>AR</v>
          </cell>
          <cell r="H61" t="str">
            <v>ARRARMBLZ</v>
          </cell>
          <cell r="I61" t="str">
            <v>AREB5094G009</v>
          </cell>
          <cell r="J61" t="str">
            <v>50</v>
          </cell>
          <cell r="K61" t="str">
            <v>BLAZER</v>
          </cell>
          <cell r="L61" t="str">
            <v>NOD</v>
          </cell>
        </row>
        <row r="62">
          <cell r="C62" t="str">
            <v>AREB5094G</v>
          </cell>
          <cell r="D62" t="str">
            <v>CORE</v>
          </cell>
          <cell r="E62" t="str">
            <v>CO25</v>
          </cell>
          <cell r="F62">
            <v>5999</v>
          </cell>
          <cell r="G62" t="str">
            <v>AR</v>
          </cell>
          <cell r="H62" t="str">
            <v>ARRARMBLZ</v>
          </cell>
          <cell r="I62" t="str">
            <v>AREB5094G010</v>
          </cell>
          <cell r="J62" t="str">
            <v>52</v>
          </cell>
          <cell r="K62" t="str">
            <v>BLAZER</v>
          </cell>
          <cell r="L62" t="str">
            <v>NOD</v>
          </cell>
        </row>
        <row r="63">
          <cell r="C63" t="str">
            <v>AREB5095</v>
          </cell>
          <cell r="D63" t="str">
            <v>CORE</v>
          </cell>
          <cell r="E63" t="str">
            <v>CO25</v>
          </cell>
          <cell r="F63">
            <v>5266</v>
          </cell>
          <cell r="G63" t="str">
            <v>AN</v>
          </cell>
          <cell r="H63" t="str">
            <v>ARRANMBLZ</v>
          </cell>
          <cell r="I63" t="str">
            <v>AREB5095001</v>
          </cell>
          <cell r="J63" t="str">
            <v>52</v>
          </cell>
          <cell r="K63" t="str">
            <v>BLAZER</v>
          </cell>
          <cell r="L63" t="str">
            <v>NOD</v>
          </cell>
        </row>
        <row r="64">
          <cell r="C64" t="str">
            <v>AREB5095</v>
          </cell>
          <cell r="D64" t="str">
            <v>CORE</v>
          </cell>
          <cell r="E64" t="str">
            <v>CO25</v>
          </cell>
          <cell r="F64">
            <v>5266</v>
          </cell>
          <cell r="G64" t="str">
            <v>AN</v>
          </cell>
          <cell r="H64" t="str">
            <v>ARRANMBLZ</v>
          </cell>
          <cell r="I64" t="str">
            <v>AREB5095002</v>
          </cell>
          <cell r="J64" t="str">
            <v>34</v>
          </cell>
          <cell r="K64" t="str">
            <v>BLAZER</v>
          </cell>
          <cell r="L64" t="str">
            <v>NOD</v>
          </cell>
        </row>
        <row r="65">
          <cell r="C65" t="str">
            <v>AREB5095</v>
          </cell>
          <cell r="D65" t="str">
            <v>CORE</v>
          </cell>
          <cell r="E65" t="str">
            <v>CO25</v>
          </cell>
          <cell r="F65">
            <v>5266</v>
          </cell>
          <cell r="G65" t="str">
            <v>AN</v>
          </cell>
          <cell r="H65" t="str">
            <v>ARRANMBLZ</v>
          </cell>
          <cell r="I65" t="str">
            <v>AREB5095361</v>
          </cell>
          <cell r="J65" t="str">
            <v>36</v>
          </cell>
          <cell r="K65" t="str">
            <v>BLAZER</v>
          </cell>
          <cell r="L65" t="str">
            <v>NOD</v>
          </cell>
        </row>
        <row r="66">
          <cell r="C66" t="str">
            <v>AREB5095</v>
          </cell>
          <cell r="D66" t="str">
            <v>CORE</v>
          </cell>
          <cell r="E66" t="str">
            <v>CO25</v>
          </cell>
          <cell r="F66">
            <v>5266</v>
          </cell>
          <cell r="G66" t="str">
            <v>AN</v>
          </cell>
          <cell r="H66" t="str">
            <v>ARRANMBLZ</v>
          </cell>
          <cell r="I66" t="str">
            <v>AREB5095381</v>
          </cell>
          <cell r="J66" t="str">
            <v>38</v>
          </cell>
          <cell r="K66" t="str">
            <v>BLAZER</v>
          </cell>
          <cell r="L66" t="str">
            <v>NOD</v>
          </cell>
        </row>
        <row r="67">
          <cell r="C67" t="str">
            <v>AREB5095</v>
          </cell>
          <cell r="D67" t="str">
            <v>CORE</v>
          </cell>
          <cell r="E67" t="str">
            <v>CO25</v>
          </cell>
          <cell r="F67">
            <v>5266</v>
          </cell>
          <cell r="G67" t="str">
            <v>AN</v>
          </cell>
          <cell r="H67" t="str">
            <v>ARRANMBLZ</v>
          </cell>
          <cell r="I67" t="str">
            <v>AREB5095401</v>
          </cell>
          <cell r="J67" t="str">
            <v>40</v>
          </cell>
          <cell r="K67" t="str">
            <v>BLAZER</v>
          </cell>
          <cell r="L67" t="str">
            <v>NOD</v>
          </cell>
        </row>
        <row r="68">
          <cell r="C68" t="str">
            <v>AREB5095</v>
          </cell>
          <cell r="D68" t="str">
            <v>CORE</v>
          </cell>
          <cell r="E68" t="str">
            <v>CO25</v>
          </cell>
          <cell r="F68">
            <v>5266</v>
          </cell>
          <cell r="G68" t="str">
            <v>AN</v>
          </cell>
          <cell r="H68" t="str">
            <v>ARRANMBLZ</v>
          </cell>
          <cell r="I68" t="str">
            <v>AREB5095421</v>
          </cell>
          <cell r="J68" t="str">
            <v>42</v>
          </cell>
          <cell r="K68" t="str">
            <v>BLAZER</v>
          </cell>
          <cell r="L68" t="str">
            <v>NOD</v>
          </cell>
        </row>
        <row r="69">
          <cell r="C69" t="str">
            <v>AREB5095</v>
          </cell>
          <cell r="D69" t="str">
            <v>CORE</v>
          </cell>
          <cell r="E69" t="str">
            <v>CO25</v>
          </cell>
          <cell r="F69">
            <v>5266</v>
          </cell>
          <cell r="G69" t="str">
            <v>AN</v>
          </cell>
          <cell r="H69" t="str">
            <v>ARRANMBLZ</v>
          </cell>
          <cell r="I69" t="str">
            <v>AREB5095441</v>
          </cell>
          <cell r="J69" t="str">
            <v>44</v>
          </cell>
          <cell r="K69" t="str">
            <v>BLAZER</v>
          </cell>
          <cell r="L69" t="str">
            <v>NOD</v>
          </cell>
        </row>
        <row r="70">
          <cell r="C70" t="str">
            <v>AREB5095</v>
          </cell>
          <cell r="D70" t="str">
            <v>CORE</v>
          </cell>
          <cell r="E70" t="str">
            <v>CO25</v>
          </cell>
          <cell r="F70">
            <v>5266</v>
          </cell>
          <cell r="G70" t="str">
            <v>AN</v>
          </cell>
          <cell r="H70" t="str">
            <v>ARRANMBLZ</v>
          </cell>
          <cell r="I70" t="str">
            <v>AREB5095461</v>
          </cell>
          <cell r="J70" t="str">
            <v>46</v>
          </cell>
          <cell r="K70" t="str">
            <v>BLAZER</v>
          </cell>
          <cell r="L70" t="str">
            <v>NOD</v>
          </cell>
        </row>
        <row r="71">
          <cell r="C71" t="str">
            <v>AREB5095</v>
          </cell>
          <cell r="D71" t="str">
            <v>CORE</v>
          </cell>
          <cell r="E71" t="str">
            <v>CO25</v>
          </cell>
          <cell r="F71">
            <v>5266</v>
          </cell>
          <cell r="G71" t="str">
            <v>AN</v>
          </cell>
          <cell r="H71" t="str">
            <v>ARRANMBLZ</v>
          </cell>
          <cell r="I71" t="str">
            <v>AREB5095481</v>
          </cell>
          <cell r="J71" t="str">
            <v>48</v>
          </cell>
          <cell r="K71" t="str">
            <v>BLAZER</v>
          </cell>
          <cell r="L71" t="str">
            <v>NOD</v>
          </cell>
        </row>
        <row r="72">
          <cell r="C72" t="str">
            <v>AREB5095</v>
          </cell>
          <cell r="D72" t="str">
            <v>CORE</v>
          </cell>
          <cell r="E72" t="str">
            <v>CO25</v>
          </cell>
          <cell r="F72">
            <v>5266</v>
          </cell>
          <cell r="G72" t="str">
            <v>AN</v>
          </cell>
          <cell r="H72" t="str">
            <v>ARRANMBLZ</v>
          </cell>
          <cell r="I72" t="str">
            <v>AREB5095501</v>
          </cell>
          <cell r="J72" t="str">
            <v>50</v>
          </cell>
          <cell r="K72" t="str">
            <v>BLAZER</v>
          </cell>
          <cell r="L72" t="str">
            <v>NOD</v>
          </cell>
        </row>
        <row r="73">
          <cell r="C73" t="str">
            <v>AREB5095G</v>
          </cell>
          <cell r="D73" t="str">
            <v>CORE</v>
          </cell>
          <cell r="E73" t="str">
            <v>CO25</v>
          </cell>
          <cell r="F73">
            <v>5999</v>
          </cell>
          <cell r="G73" t="str">
            <v>AR</v>
          </cell>
          <cell r="H73" t="str">
            <v>ARRARMBLZ</v>
          </cell>
          <cell r="I73" t="str">
            <v>AREB5095G001</v>
          </cell>
          <cell r="J73" t="str">
            <v>34</v>
          </cell>
          <cell r="K73" t="str">
            <v>BLAZER</v>
          </cell>
          <cell r="L73" t="str">
            <v>NOD</v>
          </cell>
        </row>
        <row r="74">
          <cell r="C74" t="str">
            <v>AREB5095G</v>
          </cell>
          <cell r="D74" t="str">
            <v>CORE</v>
          </cell>
          <cell r="E74" t="str">
            <v>CO25</v>
          </cell>
          <cell r="F74">
            <v>5999</v>
          </cell>
          <cell r="G74" t="str">
            <v>AR</v>
          </cell>
          <cell r="H74" t="str">
            <v>ARRARMBLZ</v>
          </cell>
          <cell r="I74" t="str">
            <v>AREB5095G002</v>
          </cell>
          <cell r="J74" t="str">
            <v>36</v>
          </cell>
          <cell r="K74" t="str">
            <v>BLAZER</v>
          </cell>
          <cell r="L74" t="str">
            <v>NOD</v>
          </cell>
        </row>
        <row r="75">
          <cell r="C75" t="str">
            <v>AREB5095G</v>
          </cell>
          <cell r="D75" t="str">
            <v>CORE</v>
          </cell>
          <cell r="E75" t="str">
            <v>CO25</v>
          </cell>
          <cell r="F75">
            <v>5999</v>
          </cell>
          <cell r="G75" t="str">
            <v>AR</v>
          </cell>
          <cell r="H75" t="str">
            <v>ARRARMBLZ</v>
          </cell>
          <cell r="I75" t="str">
            <v>AREB5095G003</v>
          </cell>
          <cell r="J75" t="str">
            <v>38</v>
          </cell>
          <cell r="K75" t="str">
            <v>BLAZER</v>
          </cell>
          <cell r="L75" t="str">
            <v>NOD</v>
          </cell>
        </row>
        <row r="76">
          <cell r="C76" t="str">
            <v>AREB5095G</v>
          </cell>
          <cell r="D76" t="str">
            <v>CORE</v>
          </cell>
          <cell r="E76" t="str">
            <v>CO25</v>
          </cell>
          <cell r="F76">
            <v>5999</v>
          </cell>
          <cell r="G76" t="str">
            <v>AR</v>
          </cell>
          <cell r="H76" t="str">
            <v>ARRARMBLZ</v>
          </cell>
          <cell r="I76" t="str">
            <v>AREB5095G004</v>
          </cell>
          <cell r="J76" t="str">
            <v>40</v>
          </cell>
          <cell r="K76" t="str">
            <v>BLAZER</v>
          </cell>
          <cell r="L76" t="str">
            <v>NOD</v>
          </cell>
        </row>
        <row r="77">
          <cell r="C77" t="str">
            <v>AREB5095G</v>
          </cell>
          <cell r="D77" t="str">
            <v>CORE</v>
          </cell>
          <cell r="E77" t="str">
            <v>CO25</v>
          </cell>
          <cell r="F77">
            <v>5999</v>
          </cell>
          <cell r="G77" t="str">
            <v>AR</v>
          </cell>
          <cell r="H77" t="str">
            <v>ARRARMBLZ</v>
          </cell>
          <cell r="I77" t="str">
            <v>AREB5095G005</v>
          </cell>
          <cell r="J77" t="str">
            <v>42</v>
          </cell>
          <cell r="K77" t="str">
            <v>BLAZER</v>
          </cell>
          <cell r="L77" t="str">
            <v>NOD</v>
          </cell>
        </row>
        <row r="78">
          <cell r="C78" t="str">
            <v>AREB5095G</v>
          </cell>
          <cell r="D78" t="str">
            <v>CORE</v>
          </cell>
          <cell r="E78" t="str">
            <v>CO25</v>
          </cell>
          <cell r="F78">
            <v>5999</v>
          </cell>
          <cell r="G78" t="str">
            <v>AR</v>
          </cell>
          <cell r="H78" t="str">
            <v>ARRARMBLZ</v>
          </cell>
          <cell r="I78" t="str">
            <v>AREB5095G006</v>
          </cell>
          <cell r="J78" t="str">
            <v>44</v>
          </cell>
          <cell r="K78" t="str">
            <v>BLAZER</v>
          </cell>
          <cell r="L78" t="str">
            <v>NOD</v>
          </cell>
        </row>
        <row r="79">
          <cell r="C79" t="str">
            <v>AREB5095G</v>
          </cell>
          <cell r="D79" t="str">
            <v>CORE</v>
          </cell>
          <cell r="E79" t="str">
            <v>CO25</v>
          </cell>
          <cell r="F79">
            <v>5999</v>
          </cell>
          <cell r="G79" t="str">
            <v>AR</v>
          </cell>
          <cell r="H79" t="str">
            <v>ARRARMBLZ</v>
          </cell>
          <cell r="I79" t="str">
            <v>AREB5095G007</v>
          </cell>
          <cell r="J79" t="str">
            <v>46</v>
          </cell>
          <cell r="K79" t="str">
            <v>BLAZER</v>
          </cell>
          <cell r="L79" t="str">
            <v>NOD</v>
          </cell>
        </row>
        <row r="80">
          <cell r="C80" t="str">
            <v>AREB5095G</v>
          </cell>
          <cell r="D80" t="str">
            <v>CORE</v>
          </cell>
          <cell r="E80" t="str">
            <v>CO25</v>
          </cell>
          <cell r="F80">
            <v>5999</v>
          </cell>
          <cell r="G80" t="str">
            <v>AR</v>
          </cell>
          <cell r="H80" t="str">
            <v>ARRARMBLZ</v>
          </cell>
          <cell r="I80" t="str">
            <v>AREB5095G008</v>
          </cell>
          <cell r="J80" t="str">
            <v>48</v>
          </cell>
          <cell r="K80" t="str">
            <v>BLAZER</v>
          </cell>
          <cell r="L80" t="str">
            <v>NOD</v>
          </cell>
        </row>
        <row r="81">
          <cell r="C81" t="str">
            <v>AREB5095G</v>
          </cell>
          <cell r="D81" t="str">
            <v>CORE</v>
          </cell>
          <cell r="E81" t="str">
            <v>CO25</v>
          </cell>
          <cell r="F81">
            <v>5999</v>
          </cell>
          <cell r="G81" t="str">
            <v>AR</v>
          </cell>
          <cell r="H81" t="str">
            <v>ARRARMBLZ</v>
          </cell>
          <cell r="I81" t="str">
            <v>AREB5095G009</v>
          </cell>
          <cell r="J81" t="str">
            <v>50</v>
          </cell>
          <cell r="K81" t="str">
            <v>BLAZER</v>
          </cell>
          <cell r="L81" t="str">
            <v>NOD</v>
          </cell>
        </row>
        <row r="82">
          <cell r="C82" t="str">
            <v>AREB5095G</v>
          </cell>
          <cell r="D82" t="str">
            <v>CORE</v>
          </cell>
          <cell r="E82" t="str">
            <v>CO25</v>
          </cell>
          <cell r="F82">
            <v>5999</v>
          </cell>
          <cell r="G82" t="str">
            <v>AR</v>
          </cell>
          <cell r="H82" t="str">
            <v>ARRARMBLZ</v>
          </cell>
          <cell r="I82" t="str">
            <v>AREB5095G010</v>
          </cell>
          <cell r="J82" t="str">
            <v>52</v>
          </cell>
          <cell r="K82" t="str">
            <v>BLAZER</v>
          </cell>
          <cell r="L82" t="str">
            <v>NOD</v>
          </cell>
        </row>
        <row r="83">
          <cell r="C83" t="str">
            <v>AREB5096</v>
          </cell>
          <cell r="D83" t="str">
            <v>CORE</v>
          </cell>
          <cell r="E83" t="str">
            <v>CO25</v>
          </cell>
          <cell r="F83">
            <v>5266</v>
          </cell>
          <cell r="G83" t="str">
            <v>AN</v>
          </cell>
          <cell r="H83" t="str">
            <v>ARRANMBLZ</v>
          </cell>
          <cell r="I83" t="str">
            <v>AREB5096001</v>
          </cell>
          <cell r="J83" t="str">
            <v>52</v>
          </cell>
          <cell r="K83" t="str">
            <v>BLAZER</v>
          </cell>
          <cell r="L83" t="str">
            <v>NOD</v>
          </cell>
        </row>
        <row r="84">
          <cell r="C84" t="str">
            <v>AREB5096</v>
          </cell>
          <cell r="D84" t="str">
            <v>CORE</v>
          </cell>
          <cell r="E84" t="str">
            <v>CO25</v>
          </cell>
          <cell r="F84">
            <v>5266</v>
          </cell>
          <cell r="G84" t="str">
            <v>AN</v>
          </cell>
          <cell r="H84" t="str">
            <v>ARRANMBLZ</v>
          </cell>
          <cell r="I84" t="str">
            <v>AREB5096002</v>
          </cell>
          <cell r="J84" t="str">
            <v>34</v>
          </cell>
          <cell r="K84" t="str">
            <v>BLAZER</v>
          </cell>
          <cell r="L84" t="str">
            <v>NOD</v>
          </cell>
        </row>
        <row r="85">
          <cell r="C85" t="str">
            <v>AREB5096</v>
          </cell>
          <cell r="D85" t="str">
            <v>CORE</v>
          </cell>
          <cell r="E85" t="str">
            <v>CO25</v>
          </cell>
          <cell r="F85">
            <v>5266</v>
          </cell>
          <cell r="G85" t="str">
            <v>AN</v>
          </cell>
          <cell r="H85" t="str">
            <v>ARRANMBLZ</v>
          </cell>
          <cell r="I85" t="str">
            <v>AREB5096361</v>
          </cell>
          <cell r="J85" t="str">
            <v>36</v>
          </cell>
          <cell r="K85" t="str">
            <v>BLAZER</v>
          </cell>
          <cell r="L85" t="str">
            <v>NOD</v>
          </cell>
        </row>
        <row r="86">
          <cell r="C86" t="str">
            <v>AREB5096</v>
          </cell>
          <cell r="D86" t="str">
            <v>CORE</v>
          </cell>
          <cell r="E86" t="str">
            <v>CO25</v>
          </cell>
          <cell r="F86">
            <v>5266</v>
          </cell>
          <cell r="G86" t="str">
            <v>AN</v>
          </cell>
          <cell r="H86" t="str">
            <v>ARRANMBLZ</v>
          </cell>
          <cell r="I86" t="str">
            <v>AREB5096381</v>
          </cell>
          <cell r="J86" t="str">
            <v>38</v>
          </cell>
          <cell r="K86" t="str">
            <v>BLAZER</v>
          </cell>
          <cell r="L86" t="str">
            <v>NOD</v>
          </cell>
        </row>
        <row r="87">
          <cell r="C87" t="str">
            <v>AREB5096</v>
          </cell>
          <cell r="D87" t="str">
            <v>CORE</v>
          </cell>
          <cell r="E87" t="str">
            <v>CO25</v>
          </cell>
          <cell r="F87">
            <v>5266</v>
          </cell>
          <cell r="G87" t="str">
            <v>AN</v>
          </cell>
          <cell r="H87" t="str">
            <v>ARRANMBLZ</v>
          </cell>
          <cell r="I87" t="str">
            <v>AREB5096401</v>
          </cell>
          <cell r="J87" t="str">
            <v>40</v>
          </cell>
          <cell r="K87" t="str">
            <v>BLAZER</v>
          </cell>
          <cell r="L87" t="str">
            <v>NOD</v>
          </cell>
        </row>
        <row r="88">
          <cell r="C88" t="str">
            <v>AREB5096</v>
          </cell>
          <cell r="D88" t="str">
            <v>CORE</v>
          </cell>
          <cell r="E88" t="str">
            <v>CO25</v>
          </cell>
          <cell r="F88">
            <v>5266</v>
          </cell>
          <cell r="G88" t="str">
            <v>AN</v>
          </cell>
          <cell r="H88" t="str">
            <v>ARRANMBLZ</v>
          </cell>
          <cell r="I88" t="str">
            <v>AREB5096421</v>
          </cell>
          <cell r="J88" t="str">
            <v>42</v>
          </cell>
          <cell r="K88" t="str">
            <v>BLAZER</v>
          </cell>
          <cell r="L88" t="str">
            <v>NOD</v>
          </cell>
        </row>
        <row r="89">
          <cell r="C89" t="str">
            <v>AREB5096</v>
          </cell>
          <cell r="D89" t="str">
            <v>CORE</v>
          </cell>
          <cell r="E89" t="str">
            <v>CO25</v>
          </cell>
          <cell r="F89">
            <v>5266</v>
          </cell>
          <cell r="G89" t="str">
            <v>AN</v>
          </cell>
          <cell r="H89" t="str">
            <v>ARRANMBLZ</v>
          </cell>
          <cell r="I89" t="str">
            <v>AREB5096441</v>
          </cell>
          <cell r="J89" t="str">
            <v>44</v>
          </cell>
          <cell r="K89" t="str">
            <v>BLAZER</v>
          </cell>
          <cell r="L89" t="str">
            <v>NOD</v>
          </cell>
        </row>
        <row r="90">
          <cell r="C90" t="str">
            <v>AREB5096</v>
          </cell>
          <cell r="D90" t="str">
            <v>CORE</v>
          </cell>
          <cell r="E90" t="str">
            <v>CO25</v>
          </cell>
          <cell r="F90">
            <v>5266</v>
          </cell>
          <cell r="G90" t="str">
            <v>AN</v>
          </cell>
          <cell r="H90" t="str">
            <v>ARRANMBLZ</v>
          </cell>
          <cell r="I90" t="str">
            <v>AREB5096461</v>
          </cell>
          <cell r="J90" t="str">
            <v>46</v>
          </cell>
          <cell r="K90" t="str">
            <v>BLAZER</v>
          </cell>
          <cell r="L90" t="str">
            <v>NOD</v>
          </cell>
        </row>
        <row r="91">
          <cell r="C91" t="str">
            <v>AREB5096</v>
          </cell>
          <cell r="D91" t="str">
            <v>CORE</v>
          </cell>
          <cell r="E91" t="str">
            <v>CO25</v>
          </cell>
          <cell r="F91">
            <v>5266</v>
          </cell>
          <cell r="G91" t="str">
            <v>AN</v>
          </cell>
          <cell r="H91" t="str">
            <v>ARRANMBLZ</v>
          </cell>
          <cell r="I91" t="str">
            <v>AREB5096481</v>
          </cell>
          <cell r="J91" t="str">
            <v>48</v>
          </cell>
          <cell r="K91" t="str">
            <v>BLAZER</v>
          </cell>
          <cell r="L91" t="str">
            <v>NOD</v>
          </cell>
        </row>
        <row r="92">
          <cell r="C92" t="str">
            <v>AREB5096</v>
          </cell>
          <cell r="D92" t="str">
            <v>CORE</v>
          </cell>
          <cell r="E92" t="str">
            <v>CO25</v>
          </cell>
          <cell r="F92">
            <v>5266</v>
          </cell>
          <cell r="G92" t="str">
            <v>AN</v>
          </cell>
          <cell r="H92" t="str">
            <v>ARRANMBLZ</v>
          </cell>
          <cell r="I92" t="str">
            <v>AREB5096501</v>
          </cell>
          <cell r="J92" t="str">
            <v>50</v>
          </cell>
          <cell r="K92" t="str">
            <v>BLAZER</v>
          </cell>
          <cell r="L92" t="str">
            <v>NOD</v>
          </cell>
        </row>
        <row r="93">
          <cell r="C93" t="str">
            <v>AREB5096G</v>
          </cell>
          <cell r="D93" t="str">
            <v>CORE</v>
          </cell>
          <cell r="E93" t="str">
            <v>CO25</v>
          </cell>
          <cell r="F93">
            <v>5999</v>
          </cell>
          <cell r="G93" t="str">
            <v>AR</v>
          </cell>
          <cell r="H93" t="str">
            <v>ARRARMBLZ</v>
          </cell>
          <cell r="I93" t="str">
            <v>AREB5096G001</v>
          </cell>
          <cell r="J93" t="str">
            <v>34</v>
          </cell>
          <cell r="K93" t="str">
            <v>BLAZER</v>
          </cell>
          <cell r="L93" t="str">
            <v>NOD</v>
          </cell>
        </row>
        <row r="94">
          <cell r="C94" t="str">
            <v>AREB5096G</v>
          </cell>
          <cell r="D94" t="str">
            <v>CORE</v>
          </cell>
          <cell r="E94" t="str">
            <v>CO25</v>
          </cell>
          <cell r="F94">
            <v>5999</v>
          </cell>
          <cell r="G94" t="str">
            <v>AR</v>
          </cell>
          <cell r="H94" t="str">
            <v>ARRARMBLZ</v>
          </cell>
          <cell r="I94" t="str">
            <v>AREB5096G002</v>
          </cell>
          <cell r="J94" t="str">
            <v>36</v>
          </cell>
          <cell r="K94" t="str">
            <v>BLAZER</v>
          </cell>
          <cell r="L94" t="str">
            <v>NOD</v>
          </cell>
        </row>
        <row r="95">
          <cell r="C95" t="str">
            <v>AREB5096G</v>
          </cell>
          <cell r="D95" t="str">
            <v>CORE</v>
          </cell>
          <cell r="E95" t="str">
            <v>CO25</v>
          </cell>
          <cell r="F95">
            <v>5999</v>
          </cell>
          <cell r="G95" t="str">
            <v>AR</v>
          </cell>
          <cell r="H95" t="str">
            <v>ARRARMBLZ</v>
          </cell>
          <cell r="I95" t="str">
            <v>AREB5096G003</v>
          </cell>
          <cell r="J95" t="str">
            <v>38</v>
          </cell>
          <cell r="K95" t="str">
            <v>BLAZER</v>
          </cell>
          <cell r="L95" t="str">
            <v>NOD</v>
          </cell>
        </row>
        <row r="96">
          <cell r="C96" t="str">
            <v>AREB5096G</v>
          </cell>
          <cell r="D96" t="str">
            <v>CORE</v>
          </cell>
          <cell r="E96" t="str">
            <v>CO25</v>
          </cell>
          <cell r="F96">
            <v>5999</v>
          </cell>
          <cell r="G96" t="str">
            <v>AR</v>
          </cell>
          <cell r="H96" t="str">
            <v>ARRARMBLZ</v>
          </cell>
          <cell r="I96" t="str">
            <v>AREB5096G004</v>
          </cell>
          <cell r="J96" t="str">
            <v>40</v>
          </cell>
          <cell r="K96" t="str">
            <v>BLAZER</v>
          </cell>
          <cell r="L96" t="str">
            <v>NOD</v>
          </cell>
        </row>
        <row r="97">
          <cell r="C97" t="str">
            <v>AREB5096G</v>
          </cell>
          <cell r="D97" t="str">
            <v>CORE</v>
          </cell>
          <cell r="E97" t="str">
            <v>CO25</v>
          </cell>
          <cell r="F97">
            <v>5999</v>
          </cell>
          <cell r="G97" t="str">
            <v>AR</v>
          </cell>
          <cell r="H97" t="str">
            <v>ARRARMBLZ</v>
          </cell>
          <cell r="I97" t="str">
            <v>AREB5096G005</v>
          </cell>
          <cell r="J97" t="str">
            <v>42</v>
          </cell>
          <cell r="K97" t="str">
            <v>BLAZER</v>
          </cell>
          <cell r="L97" t="str">
            <v>NOD</v>
          </cell>
        </row>
        <row r="98">
          <cell r="C98" t="str">
            <v>AREB5096G</v>
          </cell>
          <cell r="D98" t="str">
            <v>CORE</v>
          </cell>
          <cell r="E98" t="str">
            <v>CO25</v>
          </cell>
          <cell r="F98">
            <v>5999</v>
          </cell>
          <cell r="G98" t="str">
            <v>AR</v>
          </cell>
          <cell r="H98" t="str">
            <v>ARRARMBLZ</v>
          </cell>
          <cell r="I98" t="str">
            <v>AREB5096G006</v>
          </cell>
          <cell r="J98" t="str">
            <v>44</v>
          </cell>
          <cell r="K98" t="str">
            <v>BLAZER</v>
          </cell>
          <cell r="L98" t="str">
            <v>NOD</v>
          </cell>
        </row>
        <row r="99">
          <cell r="C99" t="str">
            <v>AREB5096G</v>
          </cell>
          <cell r="D99" t="str">
            <v>CORE</v>
          </cell>
          <cell r="E99" t="str">
            <v>CO25</v>
          </cell>
          <cell r="F99">
            <v>5999</v>
          </cell>
          <cell r="G99" t="str">
            <v>AR</v>
          </cell>
          <cell r="H99" t="str">
            <v>ARRARMBLZ</v>
          </cell>
          <cell r="I99" t="str">
            <v>AREB5096G007</v>
          </cell>
          <cell r="J99" t="str">
            <v>46</v>
          </cell>
          <cell r="K99" t="str">
            <v>BLAZER</v>
          </cell>
          <cell r="L99" t="str">
            <v>NOD</v>
          </cell>
        </row>
        <row r="100">
          <cell r="C100" t="str">
            <v>AREB5096G</v>
          </cell>
          <cell r="D100" t="str">
            <v>CORE</v>
          </cell>
          <cell r="E100" t="str">
            <v>CO25</v>
          </cell>
          <cell r="F100">
            <v>5999</v>
          </cell>
          <cell r="G100" t="str">
            <v>AR</v>
          </cell>
          <cell r="H100" t="str">
            <v>ARRARMBLZ</v>
          </cell>
          <cell r="I100" t="str">
            <v>AREB5096G008</v>
          </cell>
          <cell r="J100" t="str">
            <v>48</v>
          </cell>
          <cell r="K100" t="str">
            <v>BLAZER</v>
          </cell>
          <cell r="L100" t="str">
            <v>NOD</v>
          </cell>
        </row>
        <row r="101">
          <cell r="C101" t="str">
            <v>AREB5096G</v>
          </cell>
          <cell r="D101" t="str">
            <v>CORE</v>
          </cell>
          <cell r="E101" t="str">
            <v>CO25</v>
          </cell>
          <cell r="F101">
            <v>5999</v>
          </cell>
          <cell r="G101" t="str">
            <v>AR</v>
          </cell>
          <cell r="H101" t="str">
            <v>ARRARMBLZ</v>
          </cell>
          <cell r="I101" t="str">
            <v>AREB5096G009</v>
          </cell>
          <cell r="J101" t="str">
            <v>50</v>
          </cell>
          <cell r="K101" t="str">
            <v>BLAZER</v>
          </cell>
          <cell r="L101" t="str">
            <v>NOD</v>
          </cell>
        </row>
        <row r="102">
          <cell r="C102" t="str">
            <v>AREB5096G</v>
          </cell>
          <cell r="D102" t="str">
            <v>CORE</v>
          </cell>
          <cell r="E102" t="str">
            <v>CO25</v>
          </cell>
          <cell r="F102">
            <v>5999</v>
          </cell>
          <cell r="G102" t="str">
            <v>AR</v>
          </cell>
          <cell r="H102" t="str">
            <v>ARRARMBLZ</v>
          </cell>
          <cell r="I102" t="str">
            <v>AREB5096G010</v>
          </cell>
          <cell r="J102" t="str">
            <v>52</v>
          </cell>
          <cell r="K102" t="str">
            <v>BLAZER</v>
          </cell>
          <cell r="L102" t="str">
            <v>NOD</v>
          </cell>
        </row>
        <row r="103">
          <cell r="C103" t="str">
            <v>AREK0298A</v>
          </cell>
          <cell r="D103" t="str">
            <v>CORE</v>
          </cell>
          <cell r="E103" t="str">
            <v>CO25</v>
          </cell>
          <cell r="F103">
            <v>1699</v>
          </cell>
          <cell r="G103" t="str">
            <v>AS</v>
          </cell>
          <cell r="H103" t="str">
            <v>ARRASMTSH</v>
          </cell>
          <cell r="I103" t="str">
            <v>AREK0298A001</v>
          </cell>
          <cell r="J103" t="str">
            <v>3XL</v>
          </cell>
          <cell r="K103" t="str">
            <v>T-SHIRT</v>
          </cell>
          <cell r="L103" t="str">
            <v>NOD</v>
          </cell>
        </row>
        <row r="104">
          <cell r="C104" t="str">
            <v>AREK0298A</v>
          </cell>
          <cell r="D104" t="str">
            <v>CORE</v>
          </cell>
          <cell r="E104" t="str">
            <v>CO25</v>
          </cell>
          <cell r="F104">
            <v>1699</v>
          </cell>
          <cell r="G104" t="str">
            <v>AS</v>
          </cell>
          <cell r="H104" t="str">
            <v>ARRASMTSH</v>
          </cell>
          <cell r="I104" t="str">
            <v>AREK0298A002</v>
          </cell>
          <cell r="J104" t="str">
            <v>4XL</v>
          </cell>
          <cell r="K104" t="str">
            <v>T-SHIRT</v>
          </cell>
          <cell r="L104" t="str">
            <v>NOD</v>
          </cell>
        </row>
        <row r="105">
          <cell r="C105" t="str">
            <v>AREK0298A</v>
          </cell>
          <cell r="D105" t="str">
            <v>CORE</v>
          </cell>
          <cell r="E105" t="str">
            <v>CO25</v>
          </cell>
          <cell r="F105">
            <v>1699</v>
          </cell>
          <cell r="G105" t="str">
            <v>AS</v>
          </cell>
          <cell r="H105" t="str">
            <v>ARRASMTSH</v>
          </cell>
          <cell r="I105" t="str">
            <v>AREK0298A003</v>
          </cell>
          <cell r="J105" t="str">
            <v>5XL</v>
          </cell>
          <cell r="K105" t="str">
            <v>T-SHIRT</v>
          </cell>
          <cell r="L105" t="str">
            <v>NOD</v>
          </cell>
        </row>
        <row r="106">
          <cell r="C106" t="str">
            <v>AREK0298A</v>
          </cell>
          <cell r="D106" t="str">
            <v>CORE</v>
          </cell>
          <cell r="E106" t="str">
            <v>CO25</v>
          </cell>
          <cell r="F106">
            <v>1699</v>
          </cell>
          <cell r="G106" t="str">
            <v>AS</v>
          </cell>
          <cell r="H106" t="str">
            <v>ARRASMTSH</v>
          </cell>
          <cell r="I106" t="str">
            <v>AREK0298A004</v>
          </cell>
          <cell r="J106" t="str">
            <v>6XL</v>
          </cell>
          <cell r="K106" t="str">
            <v>T-SHIRT</v>
          </cell>
          <cell r="L106" t="str">
            <v>NOD</v>
          </cell>
        </row>
        <row r="107">
          <cell r="C107" t="str">
            <v>AREK0298A</v>
          </cell>
          <cell r="D107" t="str">
            <v>CORE</v>
          </cell>
          <cell r="E107" t="str">
            <v>CO25</v>
          </cell>
          <cell r="F107">
            <v>1499</v>
          </cell>
          <cell r="G107" t="str">
            <v>AS</v>
          </cell>
          <cell r="H107" t="str">
            <v>ARRASMTSH</v>
          </cell>
          <cell r="I107" t="str">
            <v>AREK0298A005</v>
          </cell>
          <cell r="J107" t="str">
            <v>L</v>
          </cell>
          <cell r="K107" t="str">
            <v>T-SHIRT</v>
          </cell>
          <cell r="L107" t="str">
            <v>NOD</v>
          </cell>
        </row>
        <row r="108">
          <cell r="C108" t="str">
            <v>AREK0298A</v>
          </cell>
          <cell r="D108" t="str">
            <v>CORE</v>
          </cell>
          <cell r="E108" t="str">
            <v>CO25</v>
          </cell>
          <cell r="F108">
            <v>1499</v>
          </cell>
          <cell r="G108" t="str">
            <v>AS</v>
          </cell>
          <cell r="H108" t="str">
            <v>ARRASMTSH</v>
          </cell>
          <cell r="I108" t="str">
            <v>AREK0298A006</v>
          </cell>
          <cell r="J108" t="str">
            <v>M</v>
          </cell>
          <cell r="K108" t="str">
            <v>T-SHIRT</v>
          </cell>
          <cell r="L108" t="str">
            <v>NOD</v>
          </cell>
        </row>
        <row r="109">
          <cell r="C109" t="str">
            <v>AREK0298A</v>
          </cell>
          <cell r="D109" t="str">
            <v>CORE</v>
          </cell>
          <cell r="E109" t="str">
            <v>CO25</v>
          </cell>
          <cell r="F109">
            <v>1499</v>
          </cell>
          <cell r="G109" t="str">
            <v>AS</v>
          </cell>
          <cell r="H109" t="str">
            <v>ARRASMTSH</v>
          </cell>
          <cell r="I109" t="str">
            <v>AREK0298A007</v>
          </cell>
          <cell r="J109" t="str">
            <v>S</v>
          </cell>
          <cell r="K109" t="str">
            <v>T-SHIRT</v>
          </cell>
          <cell r="L109" t="str">
            <v>NOD</v>
          </cell>
        </row>
        <row r="110">
          <cell r="C110" t="str">
            <v>AREK0298A</v>
          </cell>
          <cell r="D110" t="str">
            <v>CORE</v>
          </cell>
          <cell r="E110" t="str">
            <v>CO25</v>
          </cell>
          <cell r="F110">
            <v>1499</v>
          </cell>
          <cell r="G110" t="str">
            <v>AS</v>
          </cell>
          <cell r="H110" t="str">
            <v>ARRASMTSH</v>
          </cell>
          <cell r="I110" t="str">
            <v>AREK0298A008</v>
          </cell>
          <cell r="J110" t="str">
            <v>XL</v>
          </cell>
          <cell r="K110" t="str">
            <v>T-SHIRT</v>
          </cell>
          <cell r="L110" t="str">
            <v>NOD</v>
          </cell>
        </row>
        <row r="111">
          <cell r="C111" t="str">
            <v>AREK0298A</v>
          </cell>
          <cell r="D111" t="str">
            <v>CORE</v>
          </cell>
          <cell r="E111" t="str">
            <v>CO25</v>
          </cell>
          <cell r="F111">
            <v>1499</v>
          </cell>
          <cell r="G111" t="str">
            <v>AS</v>
          </cell>
          <cell r="H111" t="str">
            <v>ARRASMTSH</v>
          </cell>
          <cell r="I111" t="str">
            <v>AREK0298A009</v>
          </cell>
          <cell r="J111" t="str">
            <v>XXL</v>
          </cell>
          <cell r="K111" t="str">
            <v>T-SHIRT</v>
          </cell>
          <cell r="L111" t="str">
            <v>NOD</v>
          </cell>
        </row>
        <row r="112">
          <cell r="C112" t="str">
            <v>AREK0299A</v>
          </cell>
          <cell r="D112" t="str">
            <v>CORE</v>
          </cell>
          <cell r="E112" t="str">
            <v>CO25</v>
          </cell>
          <cell r="F112">
            <v>1699</v>
          </cell>
          <cell r="G112" t="str">
            <v>AS</v>
          </cell>
          <cell r="H112" t="str">
            <v>ARRASMTSH</v>
          </cell>
          <cell r="I112" t="str">
            <v>AREK0299A001</v>
          </cell>
          <cell r="J112" t="str">
            <v>3XL</v>
          </cell>
          <cell r="K112" t="str">
            <v>T-SHIRT</v>
          </cell>
          <cell r="L112" t="str">
            <v>NOD</v>
          </cell>
        </row>
        <row r="113">
          <cell r="C113" t="str">
            <v>AREK0299A</v>
          </cell>
          <cell r="D113" t="str">
            <v>CORE</v>
          </cell>
          <cell r="E113" t="str">
            <v>CO25</v>
          </cell>
          <cell r="F113">
            <v>1699</v>
          </cell>
          <cell r="G113" t="str">
            <v>AS</v>
          </cell>
          <cell r="H113" t="str">
            <v>ARRASMTSH</v>
          </cell>
          <cell r="I113" t="str">
            <v>AREK0299A002</v>
          </cell>
          <cell r="J113" t="str">
            <v>4XL</v>
          </cell>
          <cell r="K113" t="str">
            <v>T-SHIRT</v>
          </cell>
          <cell r="L113" t="str">
            <v>NOD</v>
          </cell>
        </row>
        <row r="114">
          <cell r="C114" t="str">
            <v>AREK0299A</v>
          </cell>
          <cell r="D114" t="str">
            <v>CORE</v>
          </cell>
          <cell r="E114" t="str">
            <v>CO25</v>
          </cell>
          <cell r="F114">
            <v>1699</v>
          </cell>
          <cell r="G114" t="str">
            <v>AS</v>
          </cell>
          <cell r="H114" t="str">
            <v>ARRASMTSH</v>
          </cell>
          <cell r="I114" t="str">
            <v>AREK0299A003</v>
          </cell>
          <cell r="J114" t="str">
            <v>5XL</v>
          </cell>
          <cell r="K114" t="str">
            <v>T-SHIRT</v>
          </cell>
          <cell r="L114" t="str">
            <v>NOD</v>
          </cell>
        </row>
        <row r="115">
          <cell r="C115" t="str">
            <v>AREK0299A</v>
          </cell>
          <cell r="D115" t="str">
            <v>CORE</v>
          </cell>
          <cell r="E115" t="str">
            <v>CO25</v>
          </cell>
          <cell r="F115">
            <v>1699</v>
          </cell>
          <cell r="G115" t="str">
            <v>AS</v>
          </cell>
          <cell r="H115" t="str">
            <v>ARRASMTSH</v>
          </cell>
          <cell r="I115" t="str">
            <v>AREK0299A004</v>
          </cell>
          <cell r="J115" t="str">
            <v>6XL</v>
          </cell>
          <cell r="K115" t="str">
            <v>T-SHIRT</v>
          </cell>
          <cell r="L115" t="str">
            <v>NOD</v>
          </cell>
        </row>
        <row r="116">
          <cell r="C116" t="str">
            <v>AREK0299A</v>
          </cell>
          <cell r="D116" t="str">
            <v>CORE</v>
          </cell>
          <cell r="E116" t="str">
            <v>CO25</v>
          </cell>
          <cell r="F116">
            <v>1499</v>
          </cell>
          <cell r="G116" t="str">
            <v>AS</v>
          </cell>
          <cell r="H116" t="str">
            <v>ARRASMTSH</v>
          </cell>
          <cell r="I116" t="str">
            <v>AREK0299A005</v>
          </cell>
          <cell r="J116" t="str">
            <v>L</v>
          </cell>
          <cell r="K116" t="str">
            <v>T-SHIRT</v>
          </cell>
          <cell r="L116" t="str">
            <v>NOD</v>
          </cell>
        </row>
        <row r="117">
          <cell r="C117" t="str">
            <v>AREK0299A</v>
          </cell>
          <cell r="D117" t="str">
            <v>CORE</v>
          </cell>
          <cell r="E117" t="str">
            <v>CO25</v>
          </cell>
          <cell r="F117">
            <v>1499</v>
          </cell>
          <cell r="G117" t="str">
            <v>AS</v>
          </cell>
          <cell r="H117" t="str">
            <v>ARRASMTSH</v>
          </cell>
          <cell r="I117" t="str">
            <v>AREK0299A006</v>
          </cell>
          <cell r="J117" t="str">
            <v>M</v>
          </cell>
          <cell r="K117" t="str">
            <v>T-SHIRT</v>
          </cell>
          <cell r="L117" t="str">
            <v>NOD</v>
          </cell>
        </row>
        <row r="118">
          <cell r="C118" t="str">
            <v>AREK0299A</v>
          </cell>
          <cell r="D118" t="str">
            <v>CORE</v>
          </cell>
          <cell r="E118" t="str">
            <v>CO25</v>
          </cell>
          <cell r="F118">
            <v>1499</v>
          </cell>
          <cell r="G118" t="str">
            <v>AS</v>
          </cell>
          <cell r="H118" t="str">
            <v>ARRASMTSH</v>
          </cell>
          <cell r="I118" t="str">
            <v>AREK0299A007</v>
          </cell>
          <cell r="J118" t="str">
            <v>S</v>
          </cell>
          <cell r="K118" t="str">
            <v>T-SHIRT</v>
          </cell>
          <cell r="L118" t="str">
            <v>NOD</v>
          </cell>
        </row>
        <row r="119">
          <cell r="C119" t="str">
            <v>AREK0299A</v>
          </cell>
          <cell r="D119" t="str">
            <v>CORE</v>
          </cell>
          <cell r="E119" t="str">
            <v>CO25</v>
          </cell>
          <cell r="F119">
            <v>1499</v>
          </cell>
          <cell r="G119" t="str">
            <v>AS</v>
          </cell>
          <cell r="H119" t="str">
            <v>ARRASMTSH</v>
          </cell>
          <cell r="I119" t="str">
            <v>AREK0299A008</v>
          </cell>
          <cell r="J119" t="str">
            <v>XL</v>
          </cell>
          <cell r="K119" t="str">
            <v>T-SHIRT</v>
          </cell>
          <cell r="L119" t="str">
            <v>NOD</v>
          </cell>
        </row>
        <row r="120">
          <cell r="C120" t="str">
            <v>AREK0299A</v>
          </cell>
          <cell r="D120" t="str">
            <v>CORE</v>
          </cell>
          <cell r="E120" t="str">
            <v>CO25</v>
          </cell>
          <cell r="F120">
            <v>1499</v>
          </cell>
          <cell r="G120" t="str">
            <v>AS</v>
          </cell>
          <cell r="H120" t="str">
            <v>ARRASMTSH</v>
          </cell>
          <cell r="I120" t="str">
            <v>AREK0299A009</v>
          </cell>
          <cell r="J120" t="str">
            <v>XXL</v>
          </cell>
          <cell r="K120" t="str">
            <v>T-SHIRT</v>
          </cell>
          <cell r="L120" t="str">
            <v>NOD</v>
          </cell>
        </row>
        <row r="121">
          <cell r="C121" t="str">
            <v>AREK0300A</v>
          </cell>
          <cell r="D121" t="str">
            <v>CORE</v>
          </cell>
          <cell r="E121" t="str">
            <v>CO25</v>
          </cell>
          <cell r="F121">
            <v>1699</v>
          </cell>
          <cell r="G121" t="str">
            <v>AS</v>
          </cell>
          <cell r="H121" t="str">
            <v>ARRASMTSH</v>
          </cell>
          <cell r="I121" t="str">
            <v>AREK0300A001</v>
          </cell>
          <cell r="J121" t="str">
            <v>3XL</v>
          </cell>
          <cell r="K121" t="str">
            <v>T-SHIRT</v>
          </cell>
          <cell r="L121" t="str">
            <v>NOD</v>
          </cell>
        </row>
        <row r="122">
          <cell r="C122" t="str">
            <v>AREK0300A</v>
          </cell>
          <cell r="D122" t="str">
            <v>CORE</v>
          </cell>
          <cell r="E122" t="str">
            <v>CO25</v>
          </cell>
          <cell r="F122">
            <v>1699</v>
          </cell>
          <cell r="G122" t="str">
            <v>AS</v>
          </cell>
          <cell r="H122" t="str">
            <v>ARRASMTSH</v>
          </cell>
          <cell r="I122" t="str">
            <v>AREK0300A002</v>
          </cell>
          <cell r="J122" t="str">
            <v>4XL</v>
          </cell>
          <cell r="K122" t="str">
            <v>T-SHIRT</v>
          </cell>
          <cell r="L122" t="str">
            <v>NOD</v>
          </cell>
        </row>
        <row r="123">
          <cell r="C123" t="str">
            <v>AREK0300A</v>
          </cell>
          <cell r="D123" t="str">
            <v>CORE</v>
          </cell>
          <cell r="E123" t="str">
            <v>CO25</v>
          </cell>
          <cell r="F123">
            <v>1699</v>
          </cell>
          <cell r="G123" t="str">
            <v>AS</v>
          </cell>
          <cell r="H123" t="str">
            <v>ARRASMTSH</v>
          </cell>
          <cell r="I123" t="str">
            <v>AREK0300A003</v>
          </cell>
          <cell r="J123" t="str">
            <v>5XL</v>
          </cell>
          <cell r="K123" t="str">
            <v>T-SHIRT</v>
          </cell>
          <cell r="L123" t="str">
            <v>NOD</v>
          </cell>
        </row>
        <row r="124">
          <cell r="C124" t="str">
            <v>AREK0300A</v>
          </cell>
          <cell r="D124" t="str">
            <v>CORE</v>
          </cell>
          <cell r="E124" t="str">
            <v>CO25</v>
          </cell>
          <cell r="F124">
            <v>1699</v>
          </cell>
          <cell r="G124" t="str">
            <v>AS</v>
          </cell>
          <cell r="H124" t="str">
            <v>ARRASMTSH</v>
          </cell>
          <cell r="I124" t="str">
            <v>AREK0300A004</v>
          </cell>
          <cell r="J124" t="str">
            <v>6XL</v>
          </cell>
          <cell r="K124" t="str">
            <v>T-SHIRT</v>
          </cell>
          <cell r="L124" t="str">
            <v>NOD</v>
          </cell>
        </row>
        <row r="125">
          <cell r="C125" t="str">
            <v>AREK0300A</v>
          </cell>
          <cell r="D125" t="str">
            <v>CORE</v>
          </cell>
          <cell r="E125" t="str">
            <v>CO25</v>
          </cell>
          <cell r="F125">
            <v>1499</v>
          </cell>
          <cell r="G125" t="str">
            <v>AS</v>
          </cell>
          <cell r="H125" t="str">
            <v>ARRASMTSH</v>
          </cell>
          <cell r="I125" t="str">
            <v>AREK0300A005</v>
          </cell>
          <cell r="J125" t="str">
            <v>L</v>
          </cell>
          <cell r="K125" t="str">
            <v>T-SHIRT</v>
          </cell>
          <cell r="L125" t="str">
            <v>NOD</v>
          </cell>
        </row>
        <row r="126">
          <cell r="C126" t="str">
            <v>AREK0300A</v>
          </cell>
          <cell r="D126" t="str">
            <v>CORE</v>
          </cell>
          <cell r="E126" t="str">
            <v>CO25</v>
          </cell>
          <cell r="F126">
            <v>1499</v>
          </cell>
          <cell r="G126" t="str">
            <v>AS</v>
          </cell>
          <cell r="H126" t="str">
            <v>ARRASMTSH</v>
          </cell>
          <cell r="I126" t="str">
            <v>AREK0300A006</v>
          </cell>
          <cell r="J126" t="str">
            <v>M</v>
          </cell>
          <cell r="K126" t="str">
            <v>T-SHIRT</v>
          </cell>
          <cell r="L126" t="str">
            <v>NOD</v>
          </cell>
        </row>
        <row r="127">
          <cell r="C127" t="str">
            <v>AREK0300A</v>
          </cell>
          <cell r="D127" t="str">
            <v>CORE</v>
          </cell>
          <cell r="E127" t="str">
            <v>CO25</v>
          </cell>
          <cell r="F127">
            <v>1499</v>
          </cell>
          <cell r="G127" t="str">
            <v>AS</v>
          </cell>
          <cell r="H127" t="str">
            <v>ARRASMTSH</v>
          </cell>
          <cell r="I127" t="str">
            <v>AREK0300A007</v>
          </cell>
          <cell r="J127" t="str">
            <v>S</v>
          </cell>
          <cell r="K127" t="str">
            <v>T-SHIRT</v>
          </cell>
          <cell r="L127" t="str">
            <v>NOD</v>
          </cell>
        </row>
        <row r="128">
          <cell r="C128" t="str">
            <v>AREK0300A</v>
          </cell>
          <cell r="D128" t="str">
            <v>CORE</v>
          </cell>
          <cell r="E128" t="str">
            <v>CO25</v>
          </cell>
          <cell r="F128">
            <v>1499</v>
          </cell>
          <cell r="G128" t="str">
            <v>AS</v>
          </cell>
          <cell r="H128" t="str">
            <v>ARRASMTSH</v>
          </cell>
          <cell r="I128" t="str">
            <v>AREK0300A008</v>
          </cell>
          <cell r="J128" t="str">
            <v>XL</v>
          </cell>
          <cell r="K128" t="str">
            <v>T-SHIRT</v>
          </cell>
          <cell r="L128" t="str">
            <v>NOD</v>
          </cell>
        </row>
        <row r="129">
          <cell r="C129" t="str">
            <v>AREK0300A</v>
          </cell>
          <cell r="D129" t="str">
            <v>CORE</v>
          </cell>
          <cell r="E129" t="str">
            <v>CO25</v>
          </cell>
          <cell r="F129">
            <v>1499</v>
          </cell>
          <cell r="G129" t="str">
            <v>AS</v>
          </cell>
          <cell r="H129" t="str">
            <v>ARRASMTSH</v>
          </cell>
          <cell r="I129" t="str">
            <v>AREK0300A009</v>
          </cell>
          <cell r="J129" t="str">
            <v>XXL</v>
          </cell>
          <cell r="K129" t="str">
            <v>T-SHIRT</v>
          </cell>
          <cell r="L129" t="str">
            <v>NOD</v>
          </cell>
        </row>
        <row r="130">
          <cell r="C130" t="str">
            <v>AREK0301A</v>
          </cell>
          <cell r="D130" t="str">
            <v>CORE</v>
          </cell>
          <cell r="E130" t="str">
            <v>CO25</v>
          </cell>
          <cell r="F130">
            <v>1699</v>
          </cell>
          <cell r="G130" t="str">
            <v>AS</v>
          </cell>
          <cell r="H130" t="str">
            <v>ARRASMTSH</v>
          </cell>
          <cell r="I130" t="str">
            <v>AREK0301A001</v>
          </cell>
          <cell r="J130" t="str">
            <v>3XL</v>
          </cell>
          <cell r="K130" t="str">
            <v>T-SHIRT</v>
          </cell>
          <cell r="L130" t="str">
            <v>NOD</v>
          </cell>
        </row>
        <row r="131">
          <cell r="C131" t="str">
            <v>AREK0301A</v>
          </cell>
          <cell r="D131" t="str">
            <v>CORE</v>
          </cell>
          <cell r="E131" t="str">
            <v>CO25</v>
          </cell>
          <cell r="F131">
            <v>1699</v>
          </cell>
          <cell r="G131" t="str">
            <v>AS</v>
          </cell>
          <cell r="H131" t="str">
            <v>ARRASMTSH</v>
          </cell>
          <cell r="I131" t="str">
            <v>AREK0301A002</v>
          </cell>
          <cell r="J131" t="str">
            <v>4XL</v>
          </cell>
          <cell r="K131" t="str">
            <v>T-SHIRT</v>
          </cell>
          <cell r="L131" t="str">
            <v>NOD</v>
          </cell>
        </row>
        <row r="132">
          <cell r="C132" t="str">
            <v>AREK0301A</v>
          </cell>
          <cell r="D132" t="str">
            <v>CORE</v>
          </cell>
          <cell r="E132" t="str">
            <v>CO25</v>
          </cell>
          <cell r="F132">
            <v>1699</v>
          </cell>
          <cell r="G132" t="str">
            <v>AS</v>
          </cell>
          <cell r="H132" t="str">
            <v>ARRASMTSH</v>
          </cell>
          <cell r="I132" t="str">
            <v>AREK0301A003</v>
          </cell>
          <cell r="J132" t="str">
            <v>5XL</v>
          </cell>
          <cell r="K132" t="str">
            <v>T-SHIRT</v>
          </cell>
          <cell r="L132" t="str">
            <v>NOD</v>
          </cell>
        </row>
        <row r="133">
          <cell r="C133" t="str">
            <v>AREK0301A</v>
          </cell>
          <cell r="D133" t="str">
            <v>CORE</v>
          </cell>
          <cell r="E133" t="str">
            <v>CO25</v>
          </cell>
          <cell r="F133">
            <v>1699</v>
          </cell>
          <cell r="G133" t="str">
            <v>AS</v>
          </cell>
          <cell r="H133" t="str">
            <v>ARRASMTSH</v>
          </cell>
          <cell r="I133" t="str">
            <v>AREK0301A004</v>
          </cell>
          <cell r="J133" t="str">
            <v>6XL</v>
          </cell>
          <cell r="K133" t="str">
            <v>T-SHIRT</v>
          </cell>
          <cell r="L133" t="str">
            <v>NOD</v>
          </cell>
        </row>
        <row r="134">
          <cell r="C134" t="str">
            <v>AREK0301A</v>
          </cell>
          <cell r="D134" t="str">
            <v>CORE</v>
          </cell>
          <cell r="E134" t="str">
            <v>CO25</v>
          </cell>
          <cell r="F134">
            <v>1499</v>
          </cell>
          <cell r="G134" t="str">
            <v>AS</v>
          </cell>
          <cell r="H134" t="str">
            <v>ARRASMTSH</v>
          </cell>
          <cell r="I134" t="str">
            <v>AREK0301A005</v>
          </cell>
          <cell r="J134" t="str">
            <v>L</v>
          </cell>
          <cell r="K134" t="str">
            <v>T-SHIRT</v>
          </cell>
          <cell r="L134" t="str">
            <v>NOD</v>
          </cell>
        </row>
        <row r="135">
          <cell r="C135" t="str">
            <v>AREK0301A</v>
          </cell>
          <cell r="D135" t="str">
            <v>CORE</v>
          </cell>
          <cell r="E135" t="str">
            <v>CO25</v>
          </cell>
          <cell r="F135">
            <v>1499</v>
          </cell>
          <cell r="G135" t="str">
            <v>AS</v>
          </cell>
          <cell r="H135" t="str">
            <v>ARRASMTSH</v>
          </cell>
          <cell r="I135" t="str">
            <v>AREK0301A006</v>
          </cell>
          <cell r="J135" t="str">
            <v>M</v>
          </cell>
          <cell r="K135" t="str">
            <v>T-SHIRT</v>
          </cell>
          <cell r="L135" t="str">
            <v>NOD</v>
          </cell>
        </row>
        <row r="136">
          <cell r="C136" t="str">
            <v>AREK0301A</v>
          </cell>
          <cell r="D136" t="str">
            <v>CORE</v>
          </cell>
          <cell r="E136" t="str">
            <v>CO25</v>
          </cell>
          <cell r="F136">
            <v>1499</v>
          </cell>
          <cell r="G136" t="str">
            <v>AS</v>
          </cell>
          <cell r="H136" t="str">
            <v>ARRASMTSH</v>
          </cell>
          <cell r="I136" t="str">
            <v>AREK0301A007</v>
          </cell>
          <cell r="J136" t="str">
            <v>S</v>
          </cell>
          <cell r="K136" t="str">
            <v>T-SHIRT</v>
          </cell>
          <cell r="L136" t="str">
            <v>NOD</v>
          </cell>
        </row>
        <row r="137">
          <cell r="C137" t="str">
            <v>AREK0301A</v>
          </cell>
          <cell r="D137" t="str">
            <v>CORE</v>
          </cell>
          <cell r="E137" t="str">
            <v>CO25</v>
          </cell>
          <cell r="F137">
            <v>1499</v>
          </cell>
          <cell r="G137" t="str">
            <v>AS</v>
          </cell>
          <cell r="H137" t="str">
            <v>ARRASMTSH</v>
          </cell>
          <cell r="I137" t="str">
            <v>AREK0301A008</v>
          </cell>
          <cell r="J137" t="str">
            <v>XL</v>
          </cell>
          <cell r="K137" t="str">
            <v>T-SHIRT</v>
          </cell>
          <cell r="L137" t="str">
            <v>NOD</v>
          </cell>
        </row>
        <row r="138">
          <cell r="C138" t="str">
            <v>AREK0301A</v>
          </cell>
          <cell r="D138" t="str">
            <v>CORE</v>
          </cell>
          <cell r="E138" t="str">
            <v>CO25</v>
          </cell>
          <cell r="F138">
            <v>1499</v>
          </cell>
          <cell r="G138" t="str">
            <v>AS</v>
          </cell>
          <cell r="H138" t="str">
            <v>ARRASMTSH</v>
          </cell>
          <cell r="I138" t="str">
            <v>AREK0301A009</v>
          </cell>
          <cell r="J138" t="str">
            <v>XXL</v>
          </cell>
          <cell r="K138" t="str">
            <v>T-SHIRT</v>
          </cell>
          <cell r="L138" t="str">
            <v>NOD</v>
          </cell>
        </row>
        <row r="139">
          <cell r="C139" t="str">
            <v>AREK0304A</v>
          </cell>
          <cell r="D139" t="str">
            <v>CORE</v>
          </cell>
          <cell r="E139" t="str">
            <v>CO25</v>
          </cell>
          <cell r="F139">
            <v>1699</v>
          </cell>
          <cell r="G139" t="str">
            <v>AS</v>
          </cell>
          <cell r="H139" t="str">
            <v>ARRASMTSH</v>
          </cell>
          <cell r="I139" t="str">
            <v>AREK0304A001</v>
          </cell>
          <cell r="J139" t="str">
            <v>3XL</v>
          </cell>
          <cell r="K139" t="str">
            <v>T-SHIRT</v>
          </cell>
          <cell r="L139" t="str">
            <v>NOD</v>
          </cell>
        </row>
        <row r="140">
          <cell r="C140" t="str">
            <v>AREK0304A</v>
          </cell>
          <cell r="D140" t="str">
            <v>CORE</v>
          </cell>
          <cell r="E140" t="str">
            <v>CO25</v>
          </cell>
          <cell r="F140">
            <v>1699</v>
          </cell>
          <cell r="G140" t="str">
            <v>AS</v>
          </cell>
          <cell r="H140" t="str">
            <v>ARRASMTSH</v>
          </cell>
          <cell r="I140" t="str">
            <v>AREK0304A002</v>
          </cell>
          <cell r="J140" t="str">
            <v>4XL</v>
          </cell>
          <cell r="K140" t="str">
            <v>T-SHIRT</v>
          </cell>
          <cell r="L140" t="str">
            <v>NOD</v>
          </cell>
        </row>
        <row r="141">
          <cell r="C141" t="str">
            <v>AREK0304A</v>
          </cell>
          <cell r="D141" t="str">
            <v>CORE</v>
          </cell>
          <cell r="E141" t="str">
            <v>CO25</v>
          </cell>
          <cell r="F141">
            <v>1699</v>
          </cell>
          <cell r="G141" t="str">
            <v>AS</v>
          </cell>
          <cell r="H141" t="str">
            <v>ARRASMTSH</v>
          </cell>
          <cell r="I141" t="str">
            <v>AREK0304A003</v>
          </cell>
          <cell r="J141" t="str">
            <v>5XL</v>
          </cell>
          <cell r="K141" t="str">
            <v>T-SHIRT</v>
          </cell>
          <cell r="L141" t="str">
            <v>NOD</v>
          </cell>
        </row>
        <row r="142">
          <cell r="C142" t="str">
            <v>AREK0304A</v>
          </cell>
          <cell r="D142" t="str">
            <v>CORE</v>
          </cell>
          <cell r="E142" t="str">
            <v>CO25</v>
          </cell>
          <cell r="F142">
            <v>1699</v>
          </cell>
          <cell r="G142" t="str">
            <v>AS</v>
          </cell>
          <cell r="H142" t="str">
            <v>ARRASMTSH</v>
          </cell>
          <cell r="I142" t="str">
            <v>AREK0304A004</v>
          </cell>
          <cell r="J142" t="str">
            <v>6XL</v>
          </cell>
          <cell r="K142" t="str">
            <v>T-SHIRT</v>
          </cell>
          <cell r="L142" t="str">
            <v>NOD</v>
          </cell>
        </row>
        <row r="143">
          <cell r="C143" t="str">
            <v>AREK0304A</v>
          </cell>
          <cell r="D143" t="str">
            <v>CORE</v>
          </cell>
          <cell r="E143" t="str">
            <v>CO25</v>
          </cell>
          <cell r="F143">
            <v>1499</v>
          </cell>
          <cell r="G143" t="str">
            <v>AS</v>
          </cell>
          <cell r="H143" t="str">
            <v>ARRASMTSH</v>
          </cell>
          <cell r="I143" t="str">
            <v>AREK0304A005</v>
          </cell>
          <cell r="J143" t="str">
            <v>L</v>
          </cell>
          <cell r="K143" t="str">
            <v>T-SHIRT</v>
          </cell>
          <cell r="L143" t="str">
            <v>NOD</v>
          </cell>
        </row>
        <row r="144">
          <cell r="C144" t="str">
            <v>AREK0304A</v>
          </cell>
          <cell r="D144" t="str">
            <v>CORE</v>
          </cell>
          <cell r="E144" t="str">
            <v>CO25</v>
          </cell>
          <cell r="F144">
            <v>1499</v>
          </cell>
          <cell r="G144" t="str">
            <v>AS</v>
          </cell>
          <cell r="H144" t="str">
            <v>ARRASMTSH</v>
          </cell>
          <cell r="I144" t="str">
            <v>AREK0304A006</v>
          </cell>
          <cell r="J144" t="str">
            <v>M</v>
          </cell>
          <cell r="K144" t="str">
            <v>T-SHIRT</v>
          </cell>
          <cell r="L144" t="str">
            <v>NOD</v>
          </cell>
        </row>
        <row r="145">
          <cell r="C145" t="str">
            <v>AREK0304A</v>
          </cell>
          <cell r="D145" t="str">
            <v>CORE</v>
          </cell>
          <cell r="E145" t="str">
            <v>CO25</v>
          </cell>
          <cell r="F145">
            <v>1499</v>
          </cell>
          <cell r="G145" t="str">
            <v>AS</v>
          </cell>
          <cell r="H145" t="str">
            <v>ARRASMTSH</v>
          </cell>
          <cell r="I145" t="str">
            <v>AREK0304A007</v>
          </cell>
          <cell r="J145" t="str">
            <v>S</v>
          </cell>
          <cell r="K145" t="str">
            <v>T-SHIRT</v>
          </cell>
          <cell r="L145" t="str">
            <v>NOD</v>
          </cell>
        </row>
        <row r="146">
          <cell r="C146" t="str">
            <v>AREK0304A</v>
          </cell>
          <cell r="D146" t="str">
            <v>CORE</v>
          </cell>
          <cell r="E146" t="str">
            <v>CO25</v>
          </cell>
          <cell r="F146">
            <v>1499</v>
          </cell>
          <cell r="G146" t="str">
            <v>AS</v>
          </cell>
          <cell r="H146" t="str">
            <v>ARRASMTSH</v>
          </cell>
          <cell r="I146" t="str">
            <v>AREK0304A008</v>
          </cell>
          <cell r="J146" t="str">
            <v>XL</v>
          </cell>
          <cell r="K146" t="str">
            <v>T-SHIRT</v>
          </cell>
          <cell r="L146" t="str">
            <v>NOD</v>
          </cell>
        </row>
        <row r="147">
          <cell r="C147" t="str">
            <v>AREK0304A</v>
          </cell>
          <cell r="D147" t="str">
            <v>CORE</v>
          </cell>
          <cell r="E147" t="str">
            <v>CO25</v>
          </cell>
          <cell r="F147">
            <v>1499</v>
          </cell>
          <cell r="G147" t="str">
            <v>AS</v>
          </cell>
          <cell r="H147" t="str">
            <v>ARRASMTSH</v>
          </cell>
          <cell r="I147" t="str">
            <v>AREK0304A009</v>
          </cell>
          <cell r="J147" t="str">
            <v>XXL</v>
          </cell>
          <cell r="K147" t="str">
            <v>T-SHIRT</v>
          </cell>
          <cell r="L147" t="str">
            <v>NOD</v>
          </cell>
        </row>
        <row r="148">
          <cell r="C148" t="str">
            <v>AREK0307A</v>
          </cell>
          <cell r="D148" t="str">
            <v>CORE</v>
          </cell>
          <cell r="E148" t="str">
            <v>CO25</v>
          </cell>
          <cell r="F148">
            <v>1699</v>
          </cell>
          <cell r="G148" t="str">
            <v>AS</v>
          </cell>
          <cell r="H148" t="str">
            <v>ARRASMTSH</v>
          </cell>
          <cell r="I148" t="str">
            <v>AREK0307A001</v>
          </cell>
          <cell r="J148" t="str">
            <v>3XL</v>
          </cell>
          <cell r="K148" t="str">
            <v>T-SHIRT</v>
          </cell>
          <cell r="L148" t="str">
            <v>NOD</v>
          </cell>
        </row>
        <row r="149">
          <cell r="C149" t="str">
            <v>AREK0307A</v>
          </cell>
          <cell r="D149" t="str">
            <v>CORE</v>
          </cell>
          <cell r="E149" t="str">
            <v>CO25</v>
          </cell>
          <cell r="F149">
            <v>1699</v>
          </cell>
          <cell r="G149" t="str">
            <v>AS</v>
          </cell>
          <cell r="H149" t="str">
            <v>ARRASMTSH</v>
          </cell>
          <cell r="I149" t="str">
            <v>AREK0307A002</v>
          </cell>
          <cell r="J149" t="str">
            <v>4XL</v>
          </cell>
          <cell r="K149" t="str">
            <v>T-SHIRT</v>
          </cell>
          <cell r="L149" t="str">
            <v>NOD</v>
          </cell>
        </row>
        <row r="150">
          <cell r="C150" t="str">
            <v>AREK0307A</v>
          </cell>
          <cell r="D150" t="str">
            <v>CORE</v>
          </cell>
          <cell r="E150" t="str">
            <v>CO25</v>
          </cell>
          <cell r="F150">
            <v>1699</v>
          </cell>
          <cell r="G150" t="str">
            <v>AS</v>
          </cell>
          <cell r="H150" t="str">
            <v>ARRASMTSH</v>
          </cell>
          <cell r="I150" t="str">
            <v>AREK0307A003</v>
          </cell>
          <cell r="J150" t="str">
            <v>5XL</v>
          </cell>
          <cell r="K150" t="str">
            <v>T-SHIRT</v>
          </cell>
          <cell r="L150" t="str">
            <v>NOD</v>
          </cell>
        </row>
        <row r="151">
          <cell r="C151" t="str">
            <v>AREK0307A</v>
          </cell>
          <cell r="D151" t="str">
            <v>CORE</v>
          </cell>
          <cell r="E151" t="str">
            <v>CO25</v>
          </cell>
          <cell r="F151">
            <v>1699</v>
          </cell>
          <cell r="G151" t="str">
            <v>AS</v>
          </cell>
          <cell r="H151" t="str">
            <v>ARRASMTSH</v>
          </cell>
          <cell r="I151" t="str">
            <v>AREK0307A004</v>
          </cell>
          <cell r="J151" t="str">
            <v>6XL</v>
          </cell>
          <cell r="K151" t="str">
            <v>T-SHIRT</v>
          </cell>
          <cell r="L151" t="str">
            <v>NOD</v>
          </cell>
        </row>
        <row r="152">
          <cell r="C152" t="str">
            <v>AREK0307A</v>
          </cell>
          <cell r="D152" t="str">
            <v>CORE</v>
          </cell>
          <cell r="E152" t="str">
            <v>CO25</v>
          </cell>
          <cell r="F152">
            <v>1499</v>
          </cell>
          <cell r="G152" t="str">
            <v>AS</v>
          </cell>
          <cell r="H152" t="str">
            <v>ARRASMTSH</v>
          </cell>
          <cell r="I152" t="str">
            <v>AREK0307A005</v>
          </cell>
          <cell r="J152" t="str">
            <v>L</v>
          </cell>
          <cell r="K152" t="str">
            <v>T-SHIRT</v>
          </cell>
          <cell r="L152" t="str">
            <v>NOD</v>
          </cell>
        </row>
        <row r="153">
          <cell r="C153" t="str">
            <v>AREK0307A</v>
          </cell>
          <cell r="D153" t="str">
            <v>CORE</v>
          </cell>
          <cell r="E153" t="str">
            <v>CO25</v>
          </cell>
          <cell r="F153">
            <v>1499</v>
          </cell>
          <cell r="G153" t="str">
            <v>AS</v>
          </cell>
          <cell r="H153" t="str">
            <v>ARRASMTSH</v>
          </cell>
          <cell r="I153" t="str">
            <v>AREK0307A006</v>
          </cell>
          <cell r="J153" t="str">
            <v>M</v>
          </cell>
          <cell r="K153" t="str">
            <v>T-SHIRT</v>
          </cell>
          <cell r="L153" t="str">
            <v>NOD</v>
          </cell>
        </row>
        <row r="154">
          <cell r="C154" t="str">
            <v>AREK0307A</v>
          </cell>
          <cell r="D154" t="str">
            <v>CORE</v>
          </cell>
          <cell r="E154" t="str">
            <v>CO25</v>
          </cell>
          <cell r="F154">
            <v>1499</v>
          </cell>
          <cell r="G154" t="str">
            <v>AS</v>
          </cell>
          <cell r="H154" t="str">
            <v>ARRASMTSH</v>
          </cell>
          <cell r="I154" t="str">
            <v>AREK0307A007</v>
          </cell>
          <cell r="J154" t="str">
            <v>S</v>
          </cell>
          <cell r="K154" t="str">
            <v>T-SHIRT</v>
          </cell>
          <cell r="L154" t="str">
            <v>NOD</v>
          </cell>
        </row>
        <row r="155">
          <cell r="C155" t="str">
            <v>AREK0307A</v>
          </cell>
          <cell r="D155" t="str">
            <v>CORE</v>
          </cell>
          <cell r="E155" t="str">
            <v>CO25</v>
          </cell>
          <cell r="F155">
            <v>1499</v>
          </cell>
          <cell r="G155" t="str">
            <v>AS</v>
          </cell>
          <cell r="H155" t="str">
            <v>ARRASMTSH</v>
          </cell>
          <cell r="I155" t="str">
            <v>AREK0307A008</v>
          </cell>
          <cell r="J155" t="str">
            <v>XL</v>
          </cell>
          <cell r="K155" t="str">
            <v>T-SHIRT</v>
          </cell>
          <cell r="L155" t="str">
            <v>NOD</v>
          </cell>
        </row>
        <row r="156">
          <cell r="C156" t="str">
            <v>AREK0307A</v>
          </cell>
          <cell r="D156" t="str">
            <v>CORE</v>
          </cell>
          <cell r="E156" t="str">
            <v>CO25</v>
          </cell>
          <cell r="F156">
            <v>1499</v>
          </cell>
          <cell r="G156" t="str">
            <v>AS</v>
          </cell>
          <cell r="H156" t="str">
            <v>ARRASMTSH</v>
          </cell>
          <cell r="I156" t="str">
            <v>AREK0307A009</v>
          </cell>
          <cell r="J156" t="str">
            <v>XXL</v>
          </cell>
          <cell r="K156" t="str">
            <v>T-SHIRT</v>
          </cell>
          <cell r="L156" t="str">
            <v>NOD</v>
          </cell>
        </row>
        <row r="157">
          <cell r="C157" t="str">
            <v>AREK0309A</v>
          </cell>
          <cell r="D157" t="str">
            <v>CORE</v>
          </cell>
          <cell r="E157" t="str">
            <v>CO25</v>
          </cell>
          <cell r="F157">
            <v>1699</v>
          </cell>
          <cell r="G157" t="str">
            <v>AS</v>
          </cell>
          <cell r="H157" t="str">
            <v>ARRASMTSH</v>
          </cell>
          <cell r="I157" t="str">
            <v>AREK0309A001</v>
          </cell>
          <cell r="J157" t="str">
            <v>3XL</v>
          </cell>
          <cell r="K157" t="str">
            <v>T-SHIRT</v>
          </cell>
          <cell r="L157" t="str">
            <v>NOD</v>
          </cell>
        </row>
        <row r="158">
          <cell r="C158" t="str">
            <v>AREK0309A</v>
          </cell>
          <cell r="D158" t="str">
            <v>CORE</v>
          </cell>
          <cell r="E158" t="str">
            <v>CO25</v>
          </cell>
          <cell r="F158">
            <v>1699</v>
          </cell>
          <cell r="G158" t="str">
            <v>AS</v>
          </cell>
          <cell r="H158" t="str">
            <v>ARRASMTSH</v>
          </cell>
          <cell r="I158" t="str">
            <v>AREK0309A002</v>
          </cell>
          <cell r="J158" t="str">
            <v>4XL</v>
          </cell>
          <cell r="K158" t="str">
            <v>T-SHIRT</v>
          </cell>
          <cell r="L158" t="str">
            <v>NOD</v>
          </cell>
        </row>
        <row r="159">
          <cell r="C159" t="str">
            <v>AREK0309A</v>
          </cell>
          <cell r="D159" t="str">
            <v>CORE</v>
          </cell>
          <cell r="E159" t="str">
            <v>CO25</v>
          </cell>
          <cell r="F159">
            <v>1699</v>
          </cell>
          <cell r="G159" t="str">
            <v>AS</v>
          </cell>
          <cell r="H159" t="str">
            <v>ARRASMTSH</v>
          </cell>
          <cell r="I159" t="str">
            <v>AREK0309A003</v>
          </cell>
          <cell r="J159" t="str">
            <v>5XL</v>
          </cell>
          <cell r="K159" t="str">
            <v>T-SHIRT</v>
          </cell>
          <cell r="L159" t="str">
            <v>NOD</v>
          </cell>
        </row>
        <row r="160">
          <cell r="C160" t="str">
            <v>AREK0309A</v>
          </cell>
          <cell r="D160" t="str">
            <v>CORE</v>
          </cell>
          <cell r="E160" t="str">
            <v>CO25</v>
          </cell>
          <cell r="F160">
            <v>1699</v>
          </cell>
          <cell r="G160" t="str">
            <v>AS</v>
          </cell>
          <cell r="H160" t="str">
            <v>ARRASMTSH</v>
          </cell>
          <cell r="I160" t="str">
            <v>AREK0309A004</v>
          </cell>
          <cell r="J160" t="str">
            <v>6XL</v>
          </cell>
          <cell r="K160" t="str">
            <v>T-SHIRT</v>
          </cell>
          <cell r="L160" t="str">
            <v>NOD</v>
          </cell>
        </row>
        <row r="161">
          <cell r="C161" t="str">
            <v>AREK0309A</v>
          </cell>
          <cell r="D161" t="str">
            <v>CORE</v>
          </cell>
          <cell r="E161" t="str">
            <v>CO25</v>
          </cell>
          <cell r="F161">
            <v>1499</v>
          </cell>
          <cell r="G161" t="str">
            <v>AS</v>
          </cell>
          <cell r="H161" t="str">
            <v>ARRASMTSH</v>
          </cell>
          <cell r="I161" t="str">
            <v>AREK0309A005</v>
          </cell>
          <cell r="J161" t="str">
            <v>L</v>
          </cell>
          <cell r="K161" t="str">
            <v>T-SHIRT</v>
          </cell>
          <cell r="L161" t="str">
            <v>NOD</v>
          </cell>
        </row>
        <row r="162">
          <cell r="C162" t="str">
            <v>AREK0309A</v>
          </cell>
          <cell r="D162" t="str">
            <v>CORE</v>
          </cell>
          <cell r="E162" t="str">
            <v>CO25</v>
          </cell>
          <cell r="F162">
            <v>1499</v>
          </cell>
          <cell r="G162" t="str">
            <v>AS</v>
          </cell>
          <cell r="H162" t="str">
            <v>ARRASMTSH</v>
          </cell>
          <cell r="I162" t="str">
            <v>AREK0309A006</v>
          </cell>
          <cell r="J162" t="str">
            <v>M</v>
          </cell>
          <cell r="K162" t="str">
            <v>T-SHIRT</v>
          </cell>
          <cell r="L162" t="str">
            <v>NOD</v>
          </cell>
        </row>
        <row r="163">
          <cell r="C163" t="str">
            <v>AREK0309A</v>
          </cell>
          <cell r="D163" t="str">
            <v>CORE</v>
          </cell>
          <cell r="E163" t="str">
            <v>CO25</v>
          </cell>
          <cell r="F163">
            <v>1499</v>
          </cell>
          <cell r="G163" t="str">
            <v>AS</v>
          </cell>
          <cell r="H163" t="str">
            <v>ARRASMTSH</v>
          </cell>
          <cell r="I163" t="str">
            <v>AREK0309A007</v>
          </cell>
          <cell r="J163" t="str">
            <v>S</v>
          </cell>
          <cell r="K163" t="str">
            <v>T-SHIRT</v>
          </cell>
          <cell r="L163" t="str">
            <v>NOD</v>
          </cell>
        </row>
        <row r="164">
          <cell r="C164" t="str">
            <v>AREK0309A</v>
          </cell>
          <cell r="D164" t="str">
            <v>CORE</v>
          </cell>
          <cell r="E164" t="str">
            <v>CO25</v>
          </cell>
          <cell r="F164">
            <v>1499</v>
          </cell>
          <cell r="G164" t="str">
            <v>AS</v>
          </cell>
          <cell r="H164" t="str">
            <v>ARRASMTSH</v>
          </cell>
          <cell r="I164" t="str">
            <v>AREK0309A008</v>
          </cell>
          <cell r="J164" t="str">
            <v>XL</v>
          </cell>
          <cell r="K164" t="str">
            <v>T-SHIRT</v>
          </cell>
          <cell r="L164" t="str">
            <v>NOD</v>
          </cell>
        </row>
        <row r="165">
          <cell r="C165" t="str">
            <v>AREK0309A</v>
          </cell>
          <cell r="D165" t="str">
            <v>CORE</v>
          </cell>
          <cell r="E165" t="str">
            <v>CO25</v>
          </cell>
          <cell r="F165">
            <v>1499</v>
          </cell>
          <cell r="G165" t="str">
            <v>AS</v>
          </cell>
          <cell r="H165" t="str">
            <v>ARRASMTSH</v>
          </cell>
          <cell r="I165" t="str">
            <v>AREK0309A009</v>
          </cell>
          <cell r="J165" t="str">
            <v>XXL</v>
          </cell>
          <cell r="K165" t="str">
            <v>T-SHIRT</v>
          </cell>
          <cell r="L165" t="str">
            <v>NOD</v>
          </cell>
        </row>
        <row r="166">
          <cell r="C166" t="str">
            <v>AREK0310A</v>
          </cell>
          <cell r="D166" t="str">
            <v>CORE</v>
          </cell>
          <cell r="E166" t="str">
            <v>CO25</v>
          </cell>
          <cell r="F166">
            <v>1699</v>
          </cell>
          <cell r="G166" t="str">
            <v>AS</v>
          </cell>
          <cell r="H166" t="str">
            <v>ARRASMTSH</v>
          </cell>
          <cell r="I166" t="str">
            <v>AREK0310A001</v>
          </cell>
          <cell r="J166" t="str">
            <v>3XL</v>
          </cell>
          <cell r="K166" t="str">
            <v>T-SHIRT</v>
          </cell>
          <cell r="L166" t="str">
            <v>NOD</v>
          </cell>
        </row>
        <row r="167">
          <cell r="C167" t="str">
            <v>AREK0310A</v>
          </cell>
          <cell r="D167" t="str">
            <v>CORE</v>
          </cell>
          <cell r="E167" t="str">
            <v>CO25</v>
          </cell>
          <cell r="F167">
            <v>1699</v>
          </cell>
          <cell r="G167" t="str">
            <v>AS</v>
          </cell>
          <cell r="H167" t="str">
            <v>ARRASMTSH</v>
          </cell>
          <cell r="I167" t="str">
            <v>AREK0310A002</v>
          </cell>
          <cell r="J167" t="str">
            <v>4XL</v>
          </cell>
          <cell r="K167" t="str">
            <v>T-SHIRT</v>
          </cell>
          <cell r="L167" t="str">
            <v>NOD</v>
          </cell>
        </row>
        <row r="168">
          <cell r="C168" t="str">
            <v>AREK0310A</v>
          </cell>
          <cell r="D168" t="str">
            <v>CORE</v>
          </cell>
          <cell r="E168" t="str">
            <v>CO25</v>
          </cell>
          <cell r="F168">
            <v>1699</v>
          </cell>
          <cell r="G168" t="str">
            <v>AS</v>
          </cell>
          <cell r="H168" t="str">
            <v>ARRASMTSH</v>
          </cell>
          <cell r="I168" t="str">
            <v>AREK0310A003</v>
          </cell>
          <cell r="J168" t="str">
            <v>5XL</v>
          </cell>
          <cell r="K168" t="str">
            <v>T-SHIRT</v>
          </cell>
          <cell r="L168" t="str">
            <v>NOD</v>
          </cell>
        </row>
        <row r="169">
          <cell r="C169" t="str">
            <v>AREK0310A</v>
          </cell>
          <cell r="D169" t="str">
            <v>CORE</v>
          </cell>
          <cell r="E169" t="str">
            <v>CO25</v>
          </cell>
          <cell r="F169">
            <v>1699</v>
          </cell>
          <cell r="G169" t="str">
            <v>AS</v>
          </cell>
          <cell r="H169" t="str">
            <v>ARRASMTSH</v>
          </cell>
          <cell r="I169" t="str">
            <v>AREK0310A004</v>
          </cell>
          <cell r="J169" t="str">
            <v>6XL</v>
          </cell>
          <cell r="K169" t="str">
            <v>T-SHIRT</v>
          </cell>
          <cell r="L169" t="str">
            <v>NOD</v>
          </cell>
        </row>
        <row r="170">
          <cell r="C170" t="str">
            <v>AREK0310A</v>
          </cell>
          <cell r="D170" t="str">
            <v>CORE</v>
          </cell>
          <cell r="E170" t="str">
            <v>CO25</v>
          </cell>
          <cell r="F170">
            <v>1499</v>
          </cell>
          <cell r="G170" t="str">
            <v>AS</v>
          </cell>
          <cell r="H170" t="str">
            <v>ARRASMTSH</v>
          </cell>
          <cell r="I170" t="str">
            <v>AREK0310A005</v>
          </cell>
          <cell r="J170" t="str">
            <v>L</v>
          </cell>
          <cell r="K170" t="str">
            <v>T-SHIRT</v>
          </cell>
          <cell r="L170" t="str">
            <v>NOD</v>
          </cell>
        </row>
        <row r="171">
          <cell r="C171" t="str">
            <v>AREK0310A</v>
          </cell>
          <cell r="D171" t="str">
            <v>CORE</v>
          </cell>
          <cell r="E171" t="str">
            <v>CO25</v>
          </cell>
          <cell r="F171">
            <v>1499</v>
          </cell>
          <cell r="G171" t="str">
            <v>AS</v>
          </cell>
          <cell r="H171" t="str">
            <v>ARRASMTSH</v>
          </cell>
          <cell r="I171" t="str">
            <v>AREK0310A006</v>
          </cell>
          <cell r="J171" t="str">
            <v>M</v>
          </cell>
          <cell r="K171" t="str">
            <v>T-SHIRT</v>
          </cell>
          <cell r="L171" t="str">
            <v>NOD</v>
          </cell>
        </row>
        <row r="172">
          <cell r="C172" t="str">
            <v>AREK0310A</v>
          </cell>
          <cell r="D172" t="str">
            <v>CORE</v>
          </cell>
          <cell r="E172" t="str">
            <v>CO25</v>
          </cell>
          <cell r="F172">
            <v>1499</v>
          </cell>
          <cell r="G172" t="str">
            <v>AS</v>
          </cell>
          <cell r="H172" t="str">
            <v>ARRASMTSH</v>
          </cell>
          <cell r="I172" t="str">
            <v>AREK0310A007</v>
          </cell>
          <cell r="J172" t="str">
            <v>S</v>
          </cell>
          <cell r="K172" t="str">
            <v>T-SHIRT</v>
          </cell>
          <cell r="L172" t="str">
            <v>NOD</v>
          </cell>
        </row>
        <row r="173">
          <cell r="C173" t="str">
            <v>AREK0310A</v>
          </cell>
          <cell r="D173" t="str">
            <v>CORE</v>
          </cell>
          <cell r="E173" t="str">
            <v>CO25</v>
          </cell>
          <cell r="F173">
            <v>1499</v>
          </cell>
          <cell r="G173" t="str">
            <v>AS</v>
          </cell>
          <cell r="H173" t="str">
            <v>ARRASMTSH</v>
          </cell>
          <cell r="I173" t="str">
            <v>AREK0310A008</v>
          </cell>
          <cell r="J173" t="str">
            <v>XL</v>
          </cell>
          <cell r="K173" t="str">
            <v>T-SHIRT</v>
          </cell>
          <cell r="L173" t="str">
            <v>NOD</v>
          </cell>
        </row>
        <row r="174">
          <cell r="C174" t="str">
            <v>AREK0310A</v>
          </cell>
          <cell r="D174" t="str">
            <v>CORE</v>
          </cell>
          <cell r="E174" t="str">
            <v>CO25</v>
          </cell>
          <cell r="F174">
            <v>1499</v>
          </cell>
          <cell r="G174" t="str">
            <v>AS</v>
          </cell>
          <cell r="H174" t="str">
            <v>ARRASMTSH</v>
          </cell>
          <cell r="I174" t="str">
            <v>AREK0310A009</v>
          </cell>
          <cell r="J174" t="str">
            <v>XXL</v>
          </cell>
          <cell r="K174" t="str">
            <v>T-SHIRT</v>
          </cell>
          <cell r="L174" t="str">
            <v>NOD</v>
          </cell>
        </row>
        <row r="175">
          <cell r="C175" t="str">
            <v>ARES0439D</v>
          </cell>
          <cell r="D175" t="str">
            <v>CORE</v>
          </cell>
          <cell r="E175" t="str">
            <v>CO25</v>
          </cell>
          <cell r="F175">
            <v>4002</v>
          </cell>
          <cell r="G175" t="str">
            <v>AR</v>
          </cell>
          <cell r="H175" t="str">
            <v>ARRARMWSH</v>
          </cell>
          <cell r="I175" t="str">
            <v>ARES0439D001</v>
          </cell>
          <cell r="J175" t="str">
            <v>36</v>
          </cell>
          <cell r="K175" t="str">
            <v>SHIRT</v>
          </cell>
          <cell r="L175" t="str">
            <v>NOD</v>
          </cell>
        </row>
        <row r="176">
          <cell r="C176" t="str">
            <v>ARES0439D</v>
          </cell>
          <cell r="D176" t="str">
            <v>CORE</v>
          </cell>
          <cell r="E176" t="str">
            <v>CO25</v>
          </cell>
          <cell r="F176">
            <v>4002</v>
          </cell>
          <cell r="G176" t="str">
            <v>AR</v>
          </cell>
          <cell r="H176" t="str">
            <v>ARRARMWSH</v>
          </cell>
          <cell r="I176" t="str">
            <v>ARES0439D002</v>
          </cell>
          <cell r="J176" t="str">
            <v>38</v>
          </cell>
          <cell r="K176" t="str">
            <v>SHIRT</v>
          </cell>
          <cell r="L176" t="str">
            <v>NOD</v>
          </cell>
        </row>
        <row r="177">
          <cell r="C177" t="str">
            <v>ARES0439D</v>
          </cell>
          <cell r="D177" t="str">
            <v>CORE</v>
          </cell>
          <cell r="E177" t="str">
            <v>CO25</v>
          </cell>
          <cell r="F177">
            <v>4002</v>
          </cell>
          <cell r="G177" t="str">
            <v>AR</v>
          </cell>
          <cell r="H177" t="str">
            <v>ARRARMWSH</v>
          </cell>
          <cell r="I177" t="str">
            <v>ARES0439D003</v>
          </cell>
          <cell r="J177" t="str">
            <v>39</v>
          </cell>
          <cell r="K177" t="str">
            <v>SHIRT</v>
          </cell>
          <cell r="L177" t="str">
            <v>NOD</v>
          </cell>
        </row>
        <row r="178">
          <cell r="C178" t="str">
            <v>ARES0439D</v>
          </cell>
          <cell r="D178" t="str">
            <v>CORE</v>
          </cell>
          <cell r="E178" t="str">
            <v>CO25</v>
          </cell>
          <cell r="F178">
            <v>4002</v>
          </cell>
          <cell r="G178" t="str">
            <v>AR</v>
          </cell>
          <cell r="H178" t="str">
            <v>ARRARMWSH</v>
          </cell>
          <cell r="I178" t="str">
            <v>ARES0439D004</v>
          </cell>
          <cell r="J178" t="str">
            <v>40</v>
          </cell>
          <cell r="K178" t="str">
            <v>SHIRT</v>
          </cell>
          <cell r="L178" t="str">
            <v>NOD</v>
          </cell>
        </row>
        <row r="179">
          <cell r="C179" t="str">
            <v>ARES0439D</v>
          </cell>
          <cell r="D179" t="str">
            <v>CORE</v>
          </cell>
          <cell r="E179" t="str">
            <v>CO25</v>
          </cell>
          <cell r="F179">
            <v>4002</v>
          </cell>
          <cell r="G179" t="str">
            <v>AR</v>
          </cell>
          <cell r="H179" t="str">
            <v>ARRARMWSH</v>
          </cell>
          <cell r="I179" t="str">
            <v>ARES0439D005</v>
          </cell>
          <cell r="J179" t="str">
            <v>42</v>
          </cell>
          <cell r="K179" t="str">
            <v>SHIRT</v>
          </cell>
          <cell r="L179" t="str">
            <v>NOD</v>
          </cell>
        </row>
        <row r="180">
          <cell r="C180" t="str">
            <v>ARES0439D</v>
          </cell>
          <cell r="D180" t="str">
            <v>CORE</v>
          </cell>
          <cell r="E180" t="str">
            <v>CO25</v>
          </cell>
          <cell r="F180">
            <v>4002</v>
          </cell>
          <cell r="G180" t="str">
            <v>AR</v>
          </cell>
          <cell r="H180" t="str">
            <v>ARRARMWSH</v>
          </cell>
          <cell r="I180" t="str">
            <v>ARES0439D006</v>
          </cell>
          <cell r="J180" t="str">
            <v>44</v>
          </cell>
          <cell r="K180" t="str">
            <v>SHIRT</v>
          </cell>
          <cell r="L180" t="str">
            <v>NOD</v>
          </cell>
        </row>
        <row r="181">
          <cell r="C181" t="str">
            <v>ARES0439D</v>
          </cell>
          <cell r="D181" t="str">
            <v>CORE</v>
          </cell>
          <cell r="E181" t="str">
            <v>CO25</v>
          </cell>
          <cell r="F181">
            <v>4213</v>
          </cell>
          <cell r="G181" t="str">
            <v>AR</v>
          </cell>
          <cell r="H181" t="str">
            <v>ARRARMWSH</v>
          </cell>
          <cell r="I181" t="str">
            <v>ARES0439D007</v>
          </cell>
          <cell r="J181" t="str">
            <v>46</v>
          </cell>
          <cell r="K181" t="str">
            <v>SHIRT</v>
          </cell>
          <cell r="L181" t="str">
            <v>NOD</v>
          </cell>
        </row>
        <row r="182">
          <cell r="C182" t="str">
            <v>ARES0439D</v>
          </cell>
          <cell r="D182" t="str">
            <v>CORE</v>
          </cell>
          <cell r="E182" t="str">
            <v>CO25</v>
          </cell>
          <cell r="F182">
            <v>4213</v>
          </cell>
          <cell r="G182" t="str">
            <v>AR</v>
          </cell>
          <cell r="H182" t="str">
            <v>ARRARMWSH</v>
          </cell>
          <cell r="I182" t="str">
            <v>ARES0439D008</v>
          </cell>
          <cell r="J182" t="str">
            <v>48</v>
          </cell>
          <cell r="K182" t="str">
            <v>SHIRT</v>
          </cell>
          <cell r="L182" t="str">
            <v>NOD</v>
          </cell>
        </row>
        <row r="183">
          <cell r="C183" t="str">
            <v>ARES0439D</v>
          </cell>
          <cell r="D183" t="str">
            <v>CORE</v>
          </cell>
          <cell r="E183" t="str">
            <v>CO25</v>
          </cell>
          <cell r="F183">
            <v>4213</v>
          </cell>
          <cell r="G183" t="str">
            <v>AR</v>
          </cell>
          <cell r="H183" t="str">
            <v>ARRARMWSH</v>
          </cell>
          <cell r="I183" t="str">
            <v>ARES0439D009</v>
          </cell>
          <cell r="J183" t="str">
            <v>50</v>
          </cell>
          <cell r="K183" t="str">
            <v>SHIRT</v>
          </cell>
          <cell r="L183" t="str">
            <v>NOD</v>
          </cell>
        </row>
        <row r="184">
          <cell r="C184" t="str">
            <v>ARES0439D</v>
          </cell>
          <cell r="D184" t="str">
            <v>CORE</v>
          </cell>
          <cell r="E184" t="str">
            <v>CO25</v>
          </cell>
          <cell r="F184">
            <v>4213</v>
          </cell>
          <cell r="G184" t="str">
            <v>AR</v>
          </cell>
          <cell r="H184" t="str">
            <v>ARRARMWSH</v>
          </cell>
          <cell r="I184" t="str">
            <v>ARES0439D010</v>
          </cell>
          <cell r="J184" t="str">
            <v>52</v>
          </cell>
          <cell r="K184" t="str">
            <v>SHIRT</v>
          </cell>
          <cell r="L184" t="str">
            <v>NOD</v>
          </cell>
        </row>
        <row r="185">
          <cell r="C185" t="str">
            <v>ARES0439G</v>
          </cell>
          <cell r="D185" t="str">
            <v>CORE</v>
          </cell>
          <cell r="E185" t="str">
            <v>CO26</v>
          </cell>
          <cell r="F185">
            <v>3999</v>
          </cell>
          <cell r="G185" t="str">
            <v>AR</v>
          </cell>
          <cell r="H185" t="str">
            <v>ARRARMWSH</v>
          </cell>
          <cell r="I185" t="str">
            <v>ARES0439G001</v>
          </cell>
          <cell r="J185" t="str">
            <v>36</v>
          </cell>
          <cell r="K185" t="str">
            <v>SHIRT</v>
          </cell>
          <cell r="L185" t="str">
            <v>NOD</v>
          </cell>
        </row>
        <row r="186">
          <cell r="C186" t="str">
            <v>ARES0439G</v>
          </cell>
          <cell r="D186" t="str">
            <v>CORE</v>
          </cell>
          <cell r="E186" t="str">
            <v>CO26</v>
          </cell>
          <cell r="F186">
            <v>3999</v>
          </cell>
          <cell r="G186" t="str">
            <v>AR</v>
          </cell>
          <cell r="H186" t="str">
            <v>ARRARMWSH</v>
          </cell>
          <cell r="I186" t="str">
            <v>ARES0439G002</v>
          </cell>
          <cell r="J186" t="str">
            <v>38</v>
          </cell>
          <cell r="K186" t="str">
            <v>SHIRT</v>
          </cell>
          <cell r="L186" t="str">
            <v>NOD</v>
          </cell>
        </row>
        <row r="187">
          <cell r="C187" t="str">
            <v>ARES0439G</v>
          </cell>
          <cell r="D187" t="str">
            <v>CORE</v>
          </cell>
          <cell r="E187" t="str">
            <v>CO26</v>
          </cell>
          <cell r="F187">
            <v>3999</v>
          </cell>
          <cell r="G187" t="str">
            <v>AR</v>
          </cell>
          <cell r="H187" t="str">
            <v>ARRARMWSH</v>
          </cell>
          <cell r="I187" t="str">
            <v>ARES0439G003</v>
          </cell>
          <cell r="J187" t="str">
            <v>39</v>
          </cell>
          <cell r="K187" t="str">
            <v>SHIRT</v>
          </cell>
          <cell r="L187" t="str">
            <v>NOD</v>
          </cell>
        </row>
        <row r="188">
          <cell r="C188" t="str">
            <v>ARES0439G</v>
          </cell>
          <cell r="D188" t="str">
            <v>CORE</v>
          </cell>
          <cell r="E188" t="str">
            <v>CO26</v>
          </cell>
          <cell r="F188">
            <v>3999</v>
          </cell>
          <cell r="G188" t="str">
            <v>AR</v>
          </cell>
          <cell r="H188" t="str">
            <v>ARRARMWSH</v>
          </cell>
          <cell r="I188" t="str">
            <v>ARES0439G004</v>
          </cell>
          <cell r="J188" t="str">
            <v>40</v>
          </cell>
          <cell r="K188" t="str">
            <v>SHIRT</v>
          </cell>
          <cell r="L188" t="str">
            <v>NOD</v>
          </cell>
        </row>
        <row r="189">
          <cell r="C189" t="str">
            <v>ARES0439G</v>
          </cell>
          <cell r="D189" t="str">
            <v>CORE</v>
          </cell>
          <cell r="E189" t="str">
            <v>CO26</v>
          </cell>
          <cell r="F189">
            <v>3999</v>
          </cell>
          <cell r="G189" t="str">
            <v>AR</v>
          </cell>
          <cell r="H189" t="str">
            <v>ARRARMWSH</v>
          </cell>
          <cell r="I189" t="str">
            <v>ARES0439G005</v>
          </cell>
          <cell r="J189" t="str">
            <v>42</v>
          </cell>
          <cell r="K189" t="str">
            <v>SHIRT</v>
          </cell>
          <cell r="L189" t="str">
            <v>NOD</v>
          </cell>
        </row>
        <row r="190">
          <cell r="C190" t="str">
            <v>ARES0439G</v>
          </cell>
          <cell r="D190" t="str">
            <v>CORE</v>
          </cell>
          <cell r="E190" t="str">
            <v>CO26</v>
          </cell>
          <cell r="F190">
            <v>3999</v>
          </cell>
          <cell r="G190" t="str">
            <v>AR</v>
          </cell>
          <cell r="H190" t="str">
            <v>ARRARMWSH</v>
          </cell>
          <cell r="I190" t="str">
            <v>ARES0439G006</v>
          </cell>
          <cell r="J190" t="str">
            <v>44</v>
          </cell>
          <cell r="K190" t="str">
            <v>SHIRT</v>
          </cell>
          <cell r="L190" t="str">
            <v>NOD</v>
          </cell>
        </row>
        <row r="191">
          <cell r="C191" t="str">
            <v>ARES0439G</v>
          </cell>
          <cell r="D191" t="str">
            <v>CORE</v>
          </cell>
          <cell r="E191" t="str">
            <v>CO26</v>
          </cell>
          <cell r="F191">
            <v>4199</v>
          </cell>
          <cell r="G191" t="str">
            <v>AR</v>
          </cell>
          <cell r="H191" t="str">
            <v>ARRARMWSH</v>
          </cell>
          <cell r="I191" t="str">
            <v>ARES0439G007</v>
          </cell>
          <cell r="J191" t="str">
            <v>46</v>
          </cell>
          <cell r="K191" t="str">
            <v>SHIRT</v>
          </cell>
          <cell r="L191" t="str">
            <v>NOD</v>
          </cell>
        </row>
        <row r="192">
          <cell r="C192" t="str">
            <v>ARES0439G</v>
          </cell>
          <cell r="D192" t="str">
            <v>CORE</v>
          </cell>
          <cell r="E192" t="str">
            <v>CO26</v>
          </cell>
          <cell r="F192">
            <v>4199</v>
          </cell>
          <cell r="G192" t="str">
            <v>AR</v>
          </cell>
          <cell r="H192" t="str">
            <v>ARRARMWSH</v>
          </cell>
          <cell r="I192" t="str">
            <v>ARES0439G008</v>
          </cell>
          <cell r="J192" t="str">
            <v>48</v>
          </cell>
          <cell r="K192" t="str">
            <v>SHIRT</v>
          </cell>
          <cell r="L192" t="str">
            <v>NOD</v>
          </cell>
        </row>
        <row r="193">
          <cell r="C193" t="str">
            <v>ARES0439G</v>
          </cell>
          <cell r="D193" t="str">
            <v>CORE</v>
          </cell>
          <cell r="E193" t="str">
            <v>CO26</v>
          </cell>
          <cell r="F193">
            <v>4199</v>
          </cell>
          <cell r="G193" t="str">
            <v>AR</v>
          </cell>
          <cell r="H193" t="str">
            <v>ARRARMWSH</v>
          </cell>
          <cell r="I193" t="str">
            <v>ARES0439G009</v>
          </cell>
          <cell r="J193" t="str">
            <v>50</v>
          </cell>
          <cell r="K193" t="str">
            <v>SHIRT</v>
          </cell>
          <cell r="L193" t="str">
            <v>NOD</v>
          </cell>
        </row>
        <row r="194">
          <cell r="C194" t="str">
            <v>ARES0439G</v>
          </cell>
          <cell r="D194" t="str">
            <v>CORE</v>
          </cell>
          <cell r="E194" t="str">
            <v>CO26</v>
          </cell>
          <cell r="F194">
            <v>4199</v>
          </cell>
          <cell r="G194" t="str">
            <v>AR</v>
          </cell>
          <cell r="H194" t="str">
            <v>ARRARMWSH</v>
          </cell>
          <cell r="I194" t="str">
            <v>ARES0439G010</v>
          </cell>
          <cell r="J194" t="str">
            <v>52</v>
          </cell>
          <cell r="K194" t="str">
            <v>SHIRT</v>
          </cell>
          <cell r="L194" t="str">
            <v>NOD</v>
          </cell>
        </row>
        <row r="195">
          <cell r="C195" t="str">
            <v>ARES0798D</v>
          </cell>
          <cell r="D195" t="str">
            <v>CORE</v>
          </cell>
          <cell r="E195" t="str">
            <v>CO25</v>
          </cell>
          <cell r="F195">
            <v>3159.66</v>
          </cell>
          <cell r="G195" t="str">
            <v>AR</v>
          </cell>
          <cell r="H195" t="str">
            <v>ARRARMWSH</v>
          </cell>
          <cell r="I195" t="str">
            <v>ARES0798D001</v>
          </cell>
          <cell r="J195" t="str">
            <v>36</v>
          </cell>
          <cell r="K195" t="str">
            <v>SHIRT</v>
          </cell>
          <cell r="L195" t="str">
            <v>NOD</v>
          </cell>
        </row>
        <row r="196">
          <cell r="C196" t="str">
            <v>ARES0798D</v>
          </cell>
          <cell r="D196" t="str">
            <v>CORE</v>
          </cell>
          <cell r="E196" t="str">
            <v>CO25</v>
          </cell>
          <cell r="F196">
            <v>3159.66</v>
          </cell>
          <cell r="G196" t="str">
            <v>AR</v>
          </cell>
          <cell r="H196" t="str">
            <v>ARRARMWSH</v>
          </cell>
          <cell r="I196" t="str">
            <v>ARES0798D002</v>
          </cell>
          <cell r="J196" t="str">
            <v>38</v>
          </cell>
          <cell r="K196" t="str">
            <v>SHIRT</v>
          </cell>
          <cell r="L196" t="str">
            <v>NOD</v>
          </cell>
        </row>
        <row r="197">
          <cell r="C197" t="str">
            <v>ARES0798D</v>
          </cell>
          <cell r="D197" t="str">
            <v>CORE</v>
          </cell>
          <cell r="E197" t="str">
            <v>CO25</v>
          </cell>
          <cell r="F197">
            <v>3159.66</v>
          </cell>
          <cell r="G197" t="str">
            <v>AR</v>
          </cell>
          <cell r="H197" t="str">
            <v>ARRARMWSH</v>
          </cell>
          <cell r="I197" t="str">
            <v>ARES0798D003</v>
          </cell>
          <cell r="J197" t="str">
            <v>39</v>
          </cell>
          <cell r="K197" t="str">
            <v>SHIRT</v>
          </cell>
          <cell r="L197" t="str">
            <v>NOD</v>
          </cell>
        </row>
        <row r="198">
          <cell r="C198" t="str">
            <v>ARES0798D</v>
          </cell>
          <cell r="D198" t="str">
            <v>CORE</v>
          </cell>
          <cell r="E198" t="str">
            <v>CO25</v>
          </cell>
          <cell r="F198">
            <v>3159.66</v>
          </cell>
          <cell r="G198" t="str">
            <v>AR</v>
          </cell>
          <cell r="H198" t="str">
            <v>ARRARMWSH</v>
          </cell>
          <cell r="I198" t="str">
            <v>ARES0798D004</v>
          </cell>
          <cell r="J198" t="str">
            <v>40</v>
          </cell>
          <cell r="K198" t="str">
            <v>SHIRT</v>
          </cell>
          <cell r="L198" t="str">
            <v>NOD</v>
          </cell>
        </row>
        <row r="199">
          <cell r="C199" t="str">
            <v>ARES0798D</v>
          </cell>
          <cell r="D199" t="str">
            <v>CORE</v>
          </cell>
          <cell r="E199" t="str">
            <v>CO25</v>
          </cell>
          <cell r="F199">
            <v>3159.66</v>
          </cell>
          <cell r="G199" t="str">
            <v>AR</v>
          </cell>
          <cell r="H199" t="str">
            <v>ARRARMWSH</v>
          </cell>
          <cell r="I199" t="str">
            <v>ARES0798D005</v>
          </cell>
          <cell r="J199" t="str">
            <v>42</v>
          </cell>
          <cell r="K199" t="str">
            <v>SHIRT</v>
          </cell>
          <cell r="L199" t="str">
            <v>NOD</v>
          </cell>
        </row>
        <row r="200">
          <cell r="C200" t="str">
            <v>ARES0798D</v>
          </cell>
          <cell r="D200" t="str">
            <v>CORE</v>
          </cell>
          <cell r="E200" t="str">
            <v>CO25</v>
          </cell>
          <cell r="F200">
            <v>3159.66</v>
          </cell>
          <cell r="G200" t="str">
            <v>AR</v>
          </cell>
          <cell r="H200" t="str">
            <v>ARRARMWSH</v>
          </cell>
          <cell r="I200" t="str">
            <v>ARES0798D006</v>
          </cell>
          <cell r="J200" t="str">
            <v>44</v>
          </cell>
          <cell r="K200" t="str">
            <v>SHIRT</v>
          </cell>
          <cell r="L200" t="str">
            <v>NOD</v>
          </cell>
        </row>
        <row r="201">
          <cell r="C201" t="str">
            <v>ARES0798D</v>
          </cell>
          <cell r="D201" t="str">
            <v>CORE</v>
          </cell>
          <cell r="E201" t="str">
            <v>CO25</v>
          </cell>
          <cell r="F201">
            <v>3370.38</v>
          </cell>
          <cell r="G201" t="str">
            <v>AR</v>
          </cell>
          <cell r="H201" t="str">
            <v>ARRARMWSH</v>
          </cell>
          <cell r="I201" t="str">
            <v>ARES0798D007</v>
          </cell>
          <cell r="J201" t="str">
            <v>46</v>
          </cell>
          <cell r="K201" t="str">
            <v>SHIRT</v>
          </cell>
          <cell r="L201" t="str">
            <v>NOD</v>
          </cell>
        </row>
        <row r="202">
          <cell r="C202" t="str">
            <v>ARES0798D</v>
          </cell>
          <cell r="D202" t="str">
            <v>CORE</v>
          </cell>
          <cell r="E202" t="str">
            <v>CO25</v>
          </cell>
          <cell r="F202">
            <v>3370.38</v>
          </cell>
          <cell r="G202" t="str">
            <v>AR</v>
          </cell>
          <cell r="H202" t="str">
            <v>ARRARMWSH</v>
          </cell>
          <cell r="I202" t="str">
            <v>ARES0798D008</v>
          </cell>
          <cell r="J202" t="str">
            <v>48</v>
          </cell>
          <cell r="K202" t="str">
            <v>SHIRT</v>
          </cell>
          <cell r="L202" t="str">
            <v>NOD</v>
          </cell>
        </row>
        <row r="203">
          <cell r="C203" t="str">
            <v>ARES0798D</v>
          </cell>
          <cell r="D203" t="str">
            <v>CORE</v>
          </cell>
          <cell r="E203" t="str">
            <v>CO25</v>
          </cell>
          <cell r="F203">
            <v>3370.38</v>
          </cell>
          <cell r="G203" t="str">
            <v>AR</v>
          </cell>
          <cell r="H203" t="str">
            <v>ARRARMWSH</v>
          </cell>
          <cell r="I203" t="str">
            <v>ARES0798D009</v>
          </cell>
          <cell r="J203" t="str">
            <v>50</v>
          </cell>
          <cell r="K203" t="str">
            <v>SHIRT</v>
          </cell>
          <cell r="L203" t="str">
            <v>NOD</v>
          </cell>
        </row>
        <row r="204">
          <cell r="C204" t="str">
            <v>ARES0798D</v>
          </cell>
          <cell r="D204" t="str">
            <v>CORE</v>
          </cell>
          <cell r="E204" t="str">
            <v>CO25</v>
          </cell>
          <cell r="F204">
            <v>3370.38</v>
          </cell>
          <cell r="G204" t="str">
            <v>AR</v>
          </cell>
          <cell r="H204" t="str">
            <v>ARRARMWSH</v>
          </cell>
          <cell r="I204" t="str">
            <v>ARES0798D010</v>
          </cell>
          <cell r="J204" t="str">
            <v>52</v>
          </cell>
          <cell r="K204" t="str">
            <v>SHIRT</v>
          </cell>
          <cell r="L204" t="str">
            <v>NOD</v>
          </cell>
        </row>
        <row r="205">
          <cell r="C205" t="str">
            <v>ARES0798G</v>
          </cell>
          <cell r="D205" t="str">
            <v>CORE</v>
          </cell>
          <cell r="E205" t="str">
            <v>CO26</v>
          </cell>
          <cell r="F205">
            <v>3299</v>
          </cell>
          <cell r="G205" t="str">
            <v>AR</v>
          </cell>
          <cell r="H205" t="str">
            <v>ARRARMWSH</v>
          </cell>
          <cell r="I205" t="str">
            <v>ARES0798G001</v>
          </cell>
          <cell r="J205" t="str">
            <v>36</v>
          </cell>
          <cell r="K205" t="str">
            <v>SHIRT</v>
          </cell>
          <cell r="L205" t="str">
            <v>NOD</v>
          </cell>
        </row>
        <row r="206">
          <cell r="C206" t="str">
            <v>ARES0798G</v>
          </cell>
          <cell r="D206" t="str">
            <v>CORE</v>
          </cell>
          <cell r="E206" t="str">
            <v>CO26</v>
          </cell>
          <cell r="F206">
            <v>3299</v>
          </cell>
          <cell r="G206" t="str">
            <v>AR</v>
          </cell>
          <cell r="H206" t="str">
            <v>ARRARMWSH</v>
          </cell>
          <cell r="I206" t="str">
            <v>ARES0798G002</v>
          </cell>
          <cell r="J206" t="str">
            <v>38</v>
          </cell>
          <cell r="K206" t="str">
            <v>SHIRT</v>
          </cell>
          <cell r="L206" t="str">
            <v>NOD</v>
          </cell>
        </row>
        <row r="207">
          <cell r="C207" t="str">
            <v>ARES0798G</v>
          </cell>
          <cell r="D207" t="str">
            <v>CORE</v>
          </cell>
          <cell r="E207" t="str">
            <v>CO26</v>
          </cell>
          <cell r="F207">
            <v>3299</v>
          </cell>
          <cell r="G207" t="str">
            <v>AR</v>
          </cell>
          <cell r="H207" t="str">
            <v>ARRARMWSH</v>
          </cell>
          <cell r="I207" t="str">
            <v>ARES0798G003</v>
          </cell>
          <cell r="J207" t="str">
            <v>39</v>
          </cell>
          <cell r="K207" t="str">
            <v>SHIRT</v>
          </cell>
          <cell r="L207" t="str">
            <v>NOD</v>
          </cell>
        </row>
        <row r="208">
          <cell r="C208" t="str">
            <v>ARES0798G</v>
          </cell>
          <cell r="D208" t="str">
            <v>CORE</v>
          </cell>
          <cell r="E208" t="str">
            <v>CO26</v>
          </cell>
          <cell r="F208">
            <v>3299</v>
          </cell>
          <cell r="G208" t="str">
            <v>AR</v>
          </cell>
          <cell r="H208" t="str">
            <v>ARRARMWSH</v>
          </cell>
          <cell r="I208" t="str">
            <v>ARES0798G004</v>
          </cell>
          <cell r="J208" t="str">
            <v>40</v>
          </cell>
          <cell r="K208" t="str">
            <v>SHIRT</v>
          </cell>
          <cell r="L208" t="str">
            <v>NOD</v>
          </cell>
        </row>
        <row r="209">
          <cell r="C209" t="str">
            <v>ARES0798G</v>
          </cell>
          <cell r="D209" t="str">
            <v>CORE</v>
          </cell>
          <cell r="E209" t="str">
            <v>CO26</v>
          </cell>
          <cell r="F209">
            <v>3299</v>
          </cell>
          <cell r="G209" t="str">
            <v>AR</v>
          </cell>
          <cell r="H209" t="str">
            <v>ARRARMWSH</v>
          </cell>
          <cell r="I209" t="str">
            <v>ARES0798G005</v>
          </cell>
          <cell r="J209" t="str">
            <v>42</v>
          </cell>
          <cell r="K209" t="str">
            <v>SHIRT</v>
          </cell>
          <cell r="L209" t="str">
            <v>NOD</v>
          </cell>
        </row>
        <row r="210">
          <cell r="C210" t="str">
            <v>ARES0798G</v>
          </cell>
          <cell r="D210" t="str">
            <v>CORE</v>
          </cell>
          <cell r="E210" t="str">
            <v>CO26</v>
          </cell>
          <cell r="F210">
            <v>3299</v>
          </cell>
          <cell r="G210" t="str">
            <v>AR</v>
          </cell>
          <cell r="H210" t="str">
            <v>ARRARMWSH</v>
          </cell>
          <cell r="I210" t="str">
            <v>ARES0798G006</v>
          </cell>
          <cell r="J210" t="str">
            <v>44</v>
          </cell>
          <cell r="K210" t="str">
            <v>SHIRT</v>
          </cell>
          <cell r="L210" t="str">
            <v>NOD</v>
          </cell>
        </row>
        <row r="211">
          <cell r="C211" t="str">
            <v>ARES0798G</v>
          </cell>
          <cell r="D211" t="str">
            <v>CORE</v>
          </cell>
          <cell r="E211" t="str">
            <v>CO26</v>
          </cell>
          <cell r="F211">
            <v>3499</v>
          </cell>
          <cell r="G211" t="str">
            <v>AR</v>
          </cell>
          <cell r="H211" t="str">
            <v>ARRARMWSH</v>
          </cell>
          <cell r="I211" t="str">
            <v>ARES0798G007</v>
          </cell>
          <cell r="J211" t="str">
            <v>46</v>
          </cell>
          <cell r="K211" t="str">
            <v>SHIRT</v>
          </cell>
          <cell r="L211" t="str">
            <v>NOD</v>
          </cell>
        </row>
        <row r="212">
          <cell r="C212" t="str">
            <v>ARES0798G</v>
          </cell>
          <cell r="D212" t="str">
            <v>CORE</v>
          </cell>
          <cell r="E212" t="str">
            <v>CO26</v>
          </cell>
          <cell r="F212">
            <v>3499</v>
          </cell>
          <cell r="G212" t="str">
            <v>AR</v>
          </cell>
          <cell r="H212" t="str">
            <v>ARRARMWSH</v>
          </cell>
          <cell r="I212" t="str">
            <v>ARES0798G008</v>
          </cell>
          <cell r="J212" t="str">
            <v>48</v>
          </cell>
          <cell r="K212" t="str">
            <v>SHIRT</v>
          </cell>
          <cell r="L212" t="str">
            <v>NOD</v>
          </cell>
        </row>
        <row r="213">
          <cell r="C213" t="str">
            <v>ARES0798G</v>
          </cell>
          <cell r="D213" t="str">
            <v>CORE</v>
          </cell>
          <cell r="E213" t="str">
            <v>CO26</v>
          </cell>
          <cell r="F213">
            <v>3499</v>
          </cell>
          <cell r="G213" t="str">
            <v>AR</v>
          </cell>
          <cell r="H213" t="str">
            <v>ARRARMWSH</v>
          </cell>
          <cell r="I213" t="str">
            <v>ARES0798G009</v>
          </cell>
          <cell r="J213" t="str">
            <v>50</v>
          </cell>
          <cell r="K213" t="str">
            <v>SHIRT</v>
          </cell>
          <cell r="L213" t="str">
            <v>NOD</v>
          </cell>
        </row>
        <row r="214">
          <cell r="C214" t="str">
            <v>ARES0798G</v>
          </cell>
          <cell r="D214" t="str">
            <v>CORE</v>
          </cell>
          <cell r="E214" t="str">
            <v>CO26</v>
          </cell>
          <cell r="F214">
            <v>3499</v>
          </cell>
          <cell r="G214" t="str">
            <v>AR</v>
          </cell>
          <cell r="H214" t="str">
            <v>ARRARMWSH</v>
          </cell>
          <cell r="I214" t="str">
            <v>ARES0798G010</v>
          </cell>
          <cell r="J214" t="str">
            <v>52</v>
          </cell>
          <cell r="K214" t="str">
            <v>SHIRT</v>
          </cell>
          <cell r="L214" t="str">
            <v>NOD</v>
          </cell>
        </row>
        <row r="215">
          <cell r="C215" t="str">
            <v>ARES0800D</v>
          </cell>
          <cell r="D215" t="str">
            <v>CORE</v>
          </cell>
          <cell r="E215" t="str">
            <v>CO25</v>
          </cell>
          <cell r="F215">
            <v>3159.66</v>
          </cell>
          <cell r="G215" t="str">
            <v>AR</v>
          </cell>
          <cell r="H215" t="str">
            <v>ARRARMWSH</v>
          </cell>
          <cell r="I215" t="str">
            <v>ARES0800D001</v>
          </cell>
          <cell r="J215" t="str">
            <v>36</v>
          </cell>
          <cell r="K215" t="str">
            <v>SHIRT</v>
          </cell>
          <cell r="L215" t="str">
            <v>NOD</v>
          </cell>
        </row>
        <row r="216">
          <cell r="C216" t="str">
            <v>ARES0800D</v>
          </cell>
          <cell r="D216" t="str">
            <v>CORE</v>
          </cell>
          <cell r="E216" t="str">
            <v>CO25</v>
          </cell>
          <cell r="F216">
            <v>3159.66</v>
          </cell>
          <cell r="G216" t="str">
            <v>AR</v>
          </cell>
          <cell r="H216" t="str">
            <v>ARRARMWSH</v>
          </cell>
          <cell r="I216" t="str">
            <v>ARES0800D002</v>
          </cell>
          <cell r="J216" t="str">
            <v>38</v>
          </cell>
          <cell r="K216" t="str">
            <v>SHIRT</v>
          </cell>
          <cell r="L216" t="str">
            <v>NOD</v>
          </cell>
        </row>
        <row r="217">
          <cell r="C217" t="str">
            <v>ARES0800D</v>
          </cell>
          <cell r="D217" t="str">
            <v>CORE</v>
          </cell>
          <cell r="E217" t="str">
            <v>CO25</v>
          </cell>
          <cell r="F217">
            <v>3159.66</v>
          </cell>
          <cell r="G217" t="str">
            <v>AR</v>
          </cell>
          <cell r="H217" t="str">
            <v>ARRARMWSH</v>
          </cell>
          <cell r="I217" t="str">
            <v>ARES0800D003</v>
          </cell>
          <cell r="J217" t="str">
            <v>39</v>
          </cell>
          <cell r="K217" t="str">
            <v>SHIRT</v>
          </cell>
          <cell r="L217" t="str">
            <v>NOD</v>
          </cell>
        </row>
        <row r="218">
          <cell r="C218" t="str">
            <v>ARES0800D</v>
          </cell>
          <cell r="D218" t="str">
            <v>CORE</v>
          </cell>
          <cell r="E218" t="str">
            <v>CO25</v>
          </cell>
          <cell r="F218">
            <v>3159.66</v>
          </cell>
          <cell r="G218" t="str">
            <v>AR</v>
          </cell>
          <cell r="H218" t="str">
            <v>ARRARMWSH</v>
          </cell>
          <cell r="I218" t="str">
            <v>ARES0800D004</v>
          </cell>
          <cell r="J218" t="str">
            <v>40</v>
          </cell>
          <cell r="K218" t="str">
            <v>SHIRT</v>
          </cell>
          <cell r="L218" t="str">
            <v>NOD</v>
          </cell>
        </row>
        <row r="219">
          <cell r="C219" t="str">
            <v>ARES0800D</v>
          </cell>
          <cell r="D219" t="str">
            <v>CORE</v>
          </cell>
          <cell r="E219" t="str">
            <v>CO25</v>
          </cell>
          <cell r="F219">
            <v>3159.66</v>
          </cell>
          <cell r="G219" t="str">
            <v>AR</v>
          </cell>
          <cell r="H219" t="str">
            <v>ARRARMWSH</v>
          </cell>
          <cell r="I219" t="str">
            <v>ARES0800D005</v>
          </cell>
          <cell r="J219" t="str">
            <v>42</v>
          </cell>
          <cell r="K219" t="str">
            <v>SHIRT</v>
          </cell>
          <cell r="L219" t="str">
            <v>NOD</v>
          </cell>
        </row>
        <row r="220">
          <cell r="C220" t="str">
            <v>ARES0800D</v>
          </cell>
          <cell r="D220" t="str">
            <v>CORE</v>
          </cell>
          <cell r="E220" t="str">
            <v>CO25</v>
          </cell>
          <cell r="F220">
            <v>3159.66</v>
          </cell>
          <cell r="G220" t="str">
            <v>AR</v>
          </cell>
          <cell r="H220" t="str">
            <v>ARRARMWSH</v>
          </cell>
          <cell r="I220" t="str">
            <v>ARES0800D006</v>
          </cell>
          <cell r="J220" t="str">
            <v>44</v>
          </cell>
          <cell r="K220" t="str">
            <v>SHIRT</v>
          </cell>
          <cell r="L220" t="str">
            <v>NOD</v>
          </cell>
        </row>
        <row r="221">
          <cell r="C221" t="str">
            <v>ARES0800D</v>
          </cell>
          <cell r="D221" t="str">
            <v>CORE</v>
          </cell>
          <cell r="E221" t="str">
            <v>CO25</v>
          </cell>
          <cell r="F221">
            <v>3370.38</v>
          </cell>
          <cell r="G221" t="str">
            <v>AR</v>
          </cell>
          <cell r="H221" t="str">
            <v>ARRARMWSH</v>
          </cell>
          <cell r="I221" t="str">
            <v>ARES0800D007</v>
          </cell>
          <cell r="J221" t="str">
            <v>46</v>
          </cell>
          <cell r="K221" t="str">
            <v>SHIRT</v>
          </cell>
          <cell r="L221" t="str">
            <v>NOD</v>
          </cell>
        </row>
        <row r="222">
          <cell r="C222" t="str">
            <v>ARES0800D</v>
          </cell>
          <cell r="D222" t="str">
            <v>CORE</v>
          </cell>
          <cell r="E222" t="str">
            <v>CO25</v>
          </cell>
          <cell r="F222">
            <v>3370.38</v>
          </cell>
          <cell r="G222" t="str">
            <v>AR</v>
          </cell>
          <cell r="H222" t="str">
            <v>ARRARMWSH</v>
          </cell>
          <cell r="I222" t="str">
            <v>ARES0800D008</v>
          </cell>
          <cell r="J222" t="str">
            <v>48</v>
          </cell>
          <cell r="K222" t="str">
            <v>SHIRT</v>
          </cell>
          <cell r="L222" t="str">
            <v>NOD</v>
          </cell>
        </row>
        <row r="223">
          <cell r="C223" t="str">
            <v>ARES0800D</v>
          </cell>
          <cell r="D223" t="str">
            <v>CORE</v>
          </cell>
          <cell r="E223" t="str">
            <v>CO25</v>
          </cell>
          <cell r="F223">
            <v>3370.38</v>
          </cell>
          <cell r="G223" t="str">
            <v>AR</v>
          </cell>
          <cell r="H223" t="str">
            <v>ARRARMWSH</v>
          </cell>
          <cell r="I223" t="str">
            <v>ARES0800D009</v>
          </cell>
          <cell r="J223" t="str">
            <v>50</v>
          </cell>
          <cell r="K223" t="str">
            <v>SHIRT</v>
          </cell>
          <cell r="L223" t="str">
            <v>NOD</v>
          </cell>
        </row>
        <row r="224">
          <cell r="C224" t="str">
            <v>ARES0800D</v>
          </cell>
          <cell r="D224" t="str">
            <v>CORE</v>
          </cell>
          <cell r="E224" t="str">
            <v>CO25</v>
          </cell>
          <cell r="F224">
            <v>3370.38</v>
          </cell>
          <cell r="G224" t="str">
            <v>AR</v>
          </cell>
          <cell r="H224" t="str">
            <v>ARRARMWSH</v>
          </cell>
          <cell r="I224" t="str">
            <v>ARES0800D010</v>
          </cell>
          <cell r="J224" t="str">
            <v>52</v>
          </cell>
          <cell r="K224" t="str">
            <v>SHIRT</v>
          </cell>
          <cell r="L224" t="str">
            <v>NOD</v>
          </cell>
        </row>
        <row r="225">
          <cell r="C225" t="str">
            <v>ARES0800G</v>
          </cell>
          <cell r="D225" t="str">
            <v>CORE</v>
          </cell>
          <cell r="E225" t="str">
            <v>CO26</v>
          </cell>
          <cell r="F225">
            <v>3299</v>
          </cell>
          <cell r="G225" t="str">
            <v>AR</v>
          </cell>
          <cell r="H225" t="str">
            <v>ARRARMWSH</v>
          </cell>
          <cell r="I225" t="str">
            <v>ARES0800G001</v>
          </cell>
          <cell r="J225" t="str">
            <v>36</v>
          </cell>
          <cell r="K225" t="str">
            <v>SHIRT</v>
          </cell>
          <cell r="L225" t="str">
            <v>NOD</v>
          </cell>
        </row>
        <row r="226">
          <cell r="C226" t="str">
            <v>ARES0800G</v>
          </cell>
          <cell r="D226" t="str">
            <v>CORE</v>
          </cell>
          <cell r="E226" t="str">
            <v>CO26</v>
          </cell>
          <cell r="F226">
            <v>3299</v>
          </cell>
          <cell r="G226" t="str">
            <v>AR</v>
          </cell>
          <cell r="H226" t="str">
            <v>ARRARMWSH</v>
          </cell>
          <cell r="I226" t="str">
            <v>ARES0800G002</v>
          </cell>
          <cell r="J226" t="str">
            <v>38</v>
          </cell>
          <cell r="K226" t="str">
            <v>SHIRT</v>
          </cell>
          <cell r="L226" t="str">
            <v>NOD</v>
          </cell>
        </row>
        <row r="227">
          <cell r="C227" t="str">
            <v>ARES0800G</v>
          </cell>
          <cell r="D227" t="str">
            <v>CORE</v>
          </cell>
          <cell r="E227" t="str">
            <v>CO26</v>
          </cell>
          <cell r="F227">
            <v>3299</v>
          </cell>
          <cell r="G227" t="str">
            <v>AR</v>
          </cell>
          <cell r="H227" t="str">
            <v>ARRARMWSH</v>
          </cell>
          <cell r="I227" t="str">
            <v>ARES0800G003</v>
          </cell>
          <cell r="J227" t="str">
            <v>39</v>
          </cell>
          <cell r="K227" t="str">
            <v>SHIRT</v>
          </cell>
          <cell r="L227" t="str">
            <v>NOD</v>
          </cell>
        </row>
        <row r="228">
          <cell r="C228" t="str">
            <v>ARES0800G</v>
          </cell>
          <cell r="D228" t="str">
            <v>CORE</v>
          </cell>
          <cell r="E228" t="str">
            <v>CO26</v>
          </cell>
          <cell r="F228">
            <v>3299</v>
          </cell>
          <cell r="G228" t="str">
            <v>AR</v>
          </cell>
          <cell r="H228" t="str">
            <v>ARRARMWSH</v>
          </cell>
          <cell r="I228" t="str">
            <v>ARES0800G004</v>
          </cell>
          <cell r="J228" t="str">
            <v>40</v>
          </cell>
          <cell r="K228" t="str">
            <v>SHIRT</v>
          </cell>
          <cell r="L228" t="str">
            <v>NOD</v>
          </cell>
        </row>
        <row r="229">
          <cell r="C229" t="str">
            <v>ARES0800G</v>
          </cell>
          <cell r="D229" t="str">
            <v>CORE</v>
          </cell>
          <cell r="E229" t="str">
            <v>CO26</v>
          </cell>
          <cell r="F229">
            <v>3299</v>
          </cell>
          <cell r="G229" t="str">
            <v>AR</v>
          </cell>
          <cell r="H229" t="str">
            <v>ARRARMWSH</v>
          </cell>
          <cell r="I229" t="str">
            <v>ARES0800G005</v>
          </cell>
          <cell r="J229" t="str">
            <v>42</v>
          </cell>
          <cell r="K229" t="str">
            <v>SHIRT</v>
          </cell>
          <cell r="L229" t="str">
            <v>NOD</v>
          </cell>
        </row>
        <row r="230">
          <cell r="C230" t="str">
            <v>ARES0800G</v>
          </cell>
          <cell r="D230" t="str">
            <v>CORE</v>
          </cell>
          <cell r="E230" t="str">
            <v>CO26</v>
          </cell>
          <cell r="F230">
            <v>3299</v>
          </cell>
          <cell r="G230" t="str">
            <v>AR</v>
          </cell>
          <cell r="H230" t="str">
            <v>ARRARMWSH</v>
          </cell>
          <cell r="I230" t="str">
            <v>ARES0800G006</v>
          </cell>
          <cell r="J230" t="str">
            <v>44</v>
          </cell>
          <cell r="K230" t="str">
            <v>SHIRT</v>
          </cell>
          <cell r="L230" t="str">
            <v>NOD</v>
          </cell>
        </row>
        <row r="231">
          <cell r="C231" t="str">
            <v>ARES0800G</v>
          </cell>
          <cell r="D231" t="str">
            <v>CORE</v>
          </cell>
          <cell r="E231" t="str">
            <v>CO26</v>
          </cell>
          <cell r="F231">
            <v>3499</v>
          </cell>
          <cell r="G231" t="str">
            <v>AR</v>
          </cell>
          <cell r="H231" t="str">
            <v>ARRARMWSH</v>
          </cell>
          <cell r="I231" t="str">
            <v>ARES0800G007</v>
          </cell>
          <cell r="J231" t="str">
            <v>46</v>
          </cell>
          <cell r="K231" t="str">
            <v>SHIRT</v>
          </cell>
          <cell r="L231" t="str">
            <v>NOD</v>
          </cell>
        </row>
        <row r="232">
          <cell r="C232" t="str">
            <v>ARES0800G</v>
          </cell>
          <cell r="D232" t="str">
            <v>CORE</v>
          </cell>
          <cell r="E232" t="str">
            <v>CO26</v>
          </cell>
          <cell r="F232">
            <v>3499</v>
          </cell>
          <cell r="G232" t="str">
            <v>AR</v>
          </cell>
          <cell r="H232" t="str">
            <v>ARRARMWSH</v>
          </cell>
          <cell r="I232" t="str">
            <v>ARES0800G008</v>
          </cell>
          <cell r="J232" t="str">
            <v>48</v>
          </cell>
          <cell r="K232" t="str">
            <v>SHIRT</v>
          </cell>
          <cell r="L232" t="str">
            <v>NOD</v>
          </cell>
        </row>
        <row r="233">
          <cell r="C233" t="str">
            <v>ARES0800G</v>
          </cell>
          <cell r="D233" t="str">
            <v>CORE</v>
          </cell>
          <cell r="E233" t="str">
            <v>CO26</v>
          </cell>
          <cell r="F233">
            <v>3499</v>
          </cell>
          <cell r="G233" t="str">
            <v>AR</v>
          </cell>
          <cell r="H233" t="str">
            <v>ARRARMWSH</v>
          </cell>
          <cell r="I233" t="str">
            <v>ARES0800G009</v>
          </cell>
          <cell r="J233" t="str">
            <v>50</v>
          </cell>
          <cell r="K233" t="str">
            <v>SHIRT</v>
          </cell>
          <cell r="L233" t="str">
            <v>NOD</v>
          </cell>
        </row>
        <row r="234">
          <cell r="C234" t="str">
            <v>ARES0800G</v>
          </cell>
          <cell r="D234" t="str">
            <v>CORE</v>
          </cell>
          <cell r="E234" t="str">
            <v>CO26</v>
          </cell>
          <cell r="F234">
            <v>3499</v>
          </cell>
          <cell r="G234" t="str">
            <v>AR</v>
          </cell>
          <cell r="H234" t="str">
            <v>ARRARMWSH</v>
          </cell>
          <cell r="I234" t="str">
            <v>ARES0800G010</v>
          </cell>
          <cell r="J234" t="str">
            <v>52</v>
          </cell>
          <cell r="K234" t="str">
            <v>SHIRT</v>
          </cell>
          <cell r="L234" t="str">
            <v>NOD</v>
          </cell>
        </row>
        <row r="235">
          <cell r="C235" t="str">
            <v>ARES1008B</v>
          </cell>
          <cell r="D235" t="str">
            <v>CORE</v>
          </cell>
          <cell r="E235" t="str">
            <v>CO26</v>
          </cell>
          <cell r="F235">
            <v>2299</v>
          </cell>
          <cell r="G235" t="str">
            <v>AR</v>
          </cell>
          <cell r="H235" t="str">
            <v>ARRARMWSH</v>
          </cell>
          <cell r="I235" t="str">
            <v>ARES1008B001</v>
          </cell>
          <cell r="J235" t="str">
            <v>36</v>
          </cell>
          <cell r="K235" t="str">
            <v>SHIRT</v>
          </cell>
          <cell r="L235" t="str">
            <v>NOD</v>
          </cell>
        </row>
        <row r="236">
          <cell r="C236" t="str">
            <v>ARES1008B</v>
          </cell>
          <cell r="D236" t="str">
            <v>CORE</v>
          </cell>
          <cell r="E236" t="str">
            <v>CO26</v>
          </cell>
          <cell r="F236">
            <v>2299</v>
          </cell>
          <cell r="G236" t="str">
            <v>AR</v>
          </cell>
          <cell r="H236" t="str">
            <v>ARRARMWSH</v>
          </cell>
          <cell r="I236" t="str">
            <v>ARES1008B002</v>
          </cell>
          <cell r="J236" t="str">
            <v>38</v>
          </cell>
          <cell r="K236" t="str">
            <v>SHIRT</v>
          </cell>
          <cell r="L236" t="str">
            <v>NOD</v>
          </cell>
        </row>
        <row r="237">
          <cell r="C237" t="str">
            <v>ARES1008B</v>
          </cell>
          <cell r="D237" t="str">
            <v>CORE</v>
          </cell>
          <cell r="E237" t="str">
            <v>CO26</v>
          </cell>
          <cell r="F237">
            <v>2299</v>
          </cell>
          <cell r="G237" t="str">
            <v>AR</v>
          </cell>
          <cell r="H237" t="str">
            <v>ARRARMWSH</v>
          </cell>
          <cell r="I237" t="str">
            <v>ARES1008B003</v>
          </cell>
          <cell r="J237" t="str">
            <v>39</v>
          </cell>
          <cell r="K237" t="str">
            <v>SHIRT</v>
          </cell>
          <cell r="L237" t="str">
            <v>NOD</v>
          </cell>
        </row>
        <row r="238">
          <cell r="C238" t="str">
            <v>ARES1008B</v>
          </cell>
          <cell r="D238" t="str">
            <v>CORE</v>
          </cell>
          <cell r="E238" t="str">
            <v>CO26</v>
          </cell>
          <cell r="F238">
            <v>2299</v>
          </cell>
          <cell r="G238" t="str">
            <v>AR</v>
          </cell>
          <cell r="H238" t="str">
            <v>ARRARMWSH</v>
          </cell>
          <cell r="I238" t="str">
            <v>ARES1008B004</v>
          </cell>
          <cell r="J238" t="str">
            <v>40</v>
          </cell>
          <cell r="K238" t="str">
            <v>SHIRT</v>
          </cell>
          <cell r="L238" t="str">
            <v>NOD</v>
          </cell>
        </row>
        <row r="239">
          <cell r="C239" t="str">
            <v>ARES1008B</v>
          </cell>
          <cell r="D239" t="str">
            <v>CORE</v>
          </cell>
          <cell r="E239" t="str">
            <v>CO26</v>
          </cell>
          <cell r="F239">
            <v>2299</v>
          </cell>
          <cell r="G239" t="str">
            <v>AR</v>
          </cell>
          <cell r="H239" t="str">
            <v>ARRARMWSH</v>
          </cell>
          <cell r="I239" t="str">
            <v>ARES1008B005</v>
          </cell>
          <cell r="J239" t="str">
            <v>42</v>
          </cell>
          <cell r="K239" t="str">
            <v>SHIRT</v>
          </cell>
          <cell r="L239" t="str">
            <v>NOD</v>
          </cell>
        </row>
        <row r="240">
          <cell r="C240" t="str">
            <v>ARES1008B</v>
          </cell>
          <cell r="D240" t="str">
            <v>CORE</v>
          </cell>
          <cell r="E240" t="str">
            <v>CO26</v>
          </cell>
          <cell r="F240">
            <v>2299</v>
          </cell>
          <cell r="G240" t="str">
            <v>AR</v>
          </cell>
          <cell r="H240" t="str">
            <v>ARRARMWSH</v>
          </cell>
          <cell r="I240" t="str">
            <v>ARES1008B006</v>
          </cell>
          <cell r="J240" t="str">
            <v>44</v>
          </cell>
          <cell r="K240" t="str">
            <v>SHIRT</v>
          </cell>
          <cell r="L240" t="str">
            <v>NOD</v>
          </cell>
        </row>
        <row r="241">
          <cell r="C241" t="str">
            <v>ARES1008B</v>
          </cell>
          <cell r="D241" t="str">
            <v>CORE</v>
          </cell>
          <cell r="E241" t="str">
            <v>CO26</v>
          </cell>
          <cell r="F241">
            <v>2499</v>
          </cell>
          <cell r="G241" t="str">
            <v>AR</v>
          </cell>
          <cell r="H241" t="str">
            <v>ARRARMWSH</v>
          </cell>
          <cell r="I241" t="str">
            <v>ARES1008B007</v>
          </cell>
          <cell r="J241" t="str">
            <v>46</v>
          </cell>
          <cell r="K241" t="str">
            <v>SHIRT</v>
          </cell>
          <cell r="L241" t="str">
            <v>NOD</v>
          </cell>
        </row>
        <row r="242">
          <cell r="C242" t="str">
            <v>ARES1008B</v>
          </cell>
          <cell r="D242" t="str">
            <v>CORE</v>
          </cell>
          <cell r="E242" t="str">
            <v>CO26</v>
          </cell>
          <cell r="F242">
            <v>2499</v>
          </cell>
          <cell r="G242" t="str">
            <v>AR</v>
          </cell>
          <cell r="H242" t="str">
            <v>ARRARMWSH</v>
          </cell>
          <cell r="I242" t="str">
            <v>ARES1008B008</v>
          </cell>
          <cell r="J242" t="str">
            <v>48</v>
          </cell>
          <cell r="K242" t="str">
            <v>SHIRT</v>
          </cell>
          <cell r="L242" t="str">
            <v>NOD</v>
          </cell>
        </row>
        <row r="243">
          <cell r="C243" t="str">
            <v>ARES1008B</v>
          </cell>
          <cell r="D243" t="str">
            <v>CORE</v>
          </cell>
          <cell r="E243" t="str">
            <v>CO26</v>
          </cell>
          <cell r="F243">
            <v>2499</v>
          </cell>
          <cell r="G243" t="str">
            <v>AR</v>
          </cell>
          <cell r="H243" t="str">
            <v>ARRARMWSH</v>
          </cell>
          <cell r="I243" t="str">
            <v>ARES1008B009</v>
          </cell>
          <cell r="J243" t="str">
            <v>50</v>
          </cell>
          <cell r="K243" t="str">
            <v>SHIRT</v>
          </cell>
          <cell r="L243" t="str">
            <v>NOD</v>
          </cell>
        </row>
        <row r="244">
          <cell r="C244" t="str">
            <v>ARES1008B</v>
          </cell>
          <cell r="D244" t="str">
            <v>CORE</v>
          </cell>
          <cell r="E244" t="str">
            <v>CO26</v>
          </cell>
          <cell r="F244">
            <v>2499</v>
          </cell>
          <cell r="G244" t="str">
            <v>AR</v>
          </cell>
          <cell r="H244" t="str">
            <v>ARRARMWSH</v>
          </cell>
          <cell r="I244" t="str">
            <v>ARES1008B010</v>
          </cell>
          <cell r="J244" t="str">
            <v>52</v>
          </cell>
          <cell r="K244" t="str">
            <v>SHIRT</v>
          </cell>
          <cell r="L244" t="str">
            <v>NOD</v>
          </cell>
        </row>
        <row r="245">
          <cell r="C245" t="str">
            <v>ARES1039B</v>
          </cell>
          <cell r="D245" t="str">
            <v>CORE</v>
          </cell>
          <cell r="E245" t="str">
            <v>CO24</v>
          </cell>
          <cell r="F245">
            <v>2499</v>
          </cell>
          <cell r="G245" t="str">
            <v>AR</v>
          </cell>
          <cell r="H245" t="str">
            <v>ARRARMWSH</v>
          </cell>
          <cell r="I245" t="str">
            <v>ARES1039B001</v>
          </cell>
          <cell r="J245" t="str">
            <v>36</v>
          </cell>
          <cell r="K245" t="str">
            <v>SHIRT</v>
          </cell>
          <cell r="L245" t="str">
            <v>NOD</v>
          </cell>
        </row>
        <row r="246">
          <cell r="C246" t="str">
            <v>ARES1039B</v>
          </cell>
          <cell r="D246" t="str">
            <v>CORE</v>
          </cell>
          <cell r="E246" t="str">
            <v>CO24</v>
          </cell>
          <cell r="F246">
            <v>2499</v>
          </cell>
          <cell r="G246" t="str">
            <v>AR</v>
          </cell>
          <cell r="H246" t="str">
            <v>ARRARMWSH</v>
          </cell>
          <cell r="I246" t="str">
            <v>ARES1039B002</v>
          </cell>
          <cell r="J246" t="str">
            <v>38</v>
          </cell>
          <cell r="K246" t="str">
            <v>SHIRT</v>
          </cell>
          <cell r="L246" t="str">
            <v>NOD</v>
          </cell>
        </row>
        <row r="247">
          <cell r="C247" t="str">
            <v>ARES1039B</v>
          </cell>
          <cell r="D247" t="str">
            <v>CORE</v>
          </cell>
          <cell r="E247" t="str">
            <v>CO24</v>
          </cell>
          <cell r="F247">
            <v>2499</v>
          </cell>
          <cell r="G247" t="str">
            <v>AR</v>
          </cell>
          <cell r="H247" t="str">
            <v>ARRARMWSH</v>
          </cell>
          <cell r="I247" t="str">
            <v>ARES1039B003</v>
          </cell>
          <cell r="J247" t="str">
            <v>39</v>
          </cell>
          <cell r="K247" t="str">
            <v>SHIRT</v>
          </cell>
          <cell r="L247" t="str">
            <v>NOD</v>
          </cell>
        </row>
        <row r="248">
          <cell r="C248" t="str">
            <v>ARES1039B</v>
          </cell>
          <cell r="D248" t="str">
            <v>CORE</v>
          </cell>
          <cell r="E248" t="str">
            <v>CO24</v>
          </cell>
          <cell r="F248">
            <v>2499</v>
          </cell>
          <cell r="G248" t="str">
            <v>AR</v>
          </cell>
          <cell r="H248" t="str">
            <v>ARRARMWSH</v>
          </cell>
          <cell r="I248" t="str">
            <v>ARES1039B004</v>
          </cell>
          <cell r="J248" t="str">
            <v>40</v>
          </cell>
          <cell r="K248" t="str">
            <v>SHIRT</v>
          </cell>
          <cell r="L248" t="str">
            <v>NOD</v>
          </cell>
        </row>
        <row r="249">
          <cell r="C249" t="str">
            <v>ARES1039B</v>
          </cell>
          <cell r="D249" t="str">
            <v>CORE</v>
          </cell>
          <cell r="E249" t="str">
            <v>CO24</v>
          </cell>
          <cell r="F249">
            <v>2499</v>
          </cell>
          <cell r="G249" t="str">
            <v>AR</v>
          </cell>
          <cell r="H249" t="str">
            <v>ARRARMWSH</v>
          </cell>
          <cell r="I249" t="str">
            <v>ARES1039B005</v>
          </cell>
          <cell r="J249" t="str">
            <v>42</v>
          </cell>
          <cell r="K249" t="str">
            <v>SHIRT</v>
          </cell>
          <cell r="L249" t="str">
            <v>NOD</v>
          </cell>
        </row>
        <row r="250">
          <cell r="C250" t="str">
            <v>ARES1039B</v>
          </cell>
          <cell r="D250" t="str">
            <v>CORE</v>
          </cell>
          <cell r="E250" t="str">
            <v>CO24</v>
          </cell>
          <cell r="F250">
            <v>2499</v>
          </cell>
          <cell r="G250" t="str">
            <v>AR</v>
          </cell>
          <cell r="H250" t="str">
            <v>ARRARMWSH</v>
          </cell>
          <cell r="I250" t="str">
            <v>ARES1039B006</v>
          </cell>
          <cell r="J250" t="str">
            <v>44</v>
          </cell>
          <cell r="K250" t="str">
            <v>SHIRT</v>
          </cell>
          <cell r="L250" t="str">
            <v>NOD</v>
          </cell>
        </row>
        <row r="251">
          <cell r="C251" t="str">
            <v>ARES1039B</v>
          </cell>
          <cell r="D251" t="str">
            <v>CORE</v>
          </cell>
          <cell r="E251" t="str">
            <v>CO24</v>
          </cell>
          <cell r="F251">
            <v>2699</v>
          </cell>
          <cell r="G251" t="str">
            <v>AR</v>
          </cell>
          <cell r="H251" t="str">
            <v>ARRARMWSH</v>
          </cell>
          <cell r="I251" t="str">
            <v>ARES1039B007</v>
          </cell>
          <cell r="J251" t="str">
            <v>46</v>
          </cell>
          <cell r="K251" t="str">
            <v>SHIRT</v>
          </cell>
          <cell r="L251" t="str">
            <v>NOD</v>
          </cell>
        </row>
        <row r="252">
          <cell r="C252" t="str">
            <v>ARES1039B</v>
          </cell>
          <cell r="D252" t="str">
            <v>CORE</v>
          </cell>
          <cell r="E252" t="str">
            <v>CO24</v>
          </cell>
          <cell r="F252">
            <v>2699</v>
          </cell>
          <cell r="G252" t="str">
            <v>AR</v>
          </cell>
          <cell r="H252" t="str">
            <v>ARRARMWSH</v>
          </cell>
          <cell r="I252" t="str">
            <v>ARES1039B008</v>
          </cell>
          <cell r="J252" t="str">
            <v>48</v>
          </cell>
          <cell r="K252" t="str">
            <v>SHIRT</v>
          </cell>
          <cell r="L252" t="str">
            <v>NOD</v>
          </cell>
        </row>
        <row r="253">
          <cell r="C253" t="str">
            <v>ARES1039B</v>
          </cell>
          <cell r="D253" t="str">
            <v>CORE</v>
          </cell>
          <cell r="E253" t="str">
            <v>CO24</v>
          </cell>
          <cell r="F253">
            <v>2699</v>
          </cell>
          <cell r="G253" t="str">
            <v>AR</v>
          </cell>
          <cell r="H253" t="str">
            <v>ARRARMWSH</v>
          </cell>
          <cell r="I253" t="str">
            <v>ARES1039B009</v>
          </cell>
          <cell r="J253" t="str">
            <v>50</v>
          </cell>
          <cell r="K253" t="str">
            <v>SHIRT</v>
          </cell>
          <cell r="L253" t="str">
            <v>NOD</v>
          </cell>
        </row>
        <row r="254">
          <cell r="C254" t="str">
            <v>ARES1039B</v>
          </cell>
          <cell r="D254" t="str">
            <v>CORE</v>
          </cell>
          <cell r="E254" t="str">
            <v>CO24</v>
          </cell>
          <cell r="F254">
            <v>2699</v>
          </cell>
          <cell r="G254" t="str">
            <v>AR</v>
          </cell>
          <cell r="H254" t="str">
            <v>ARRARMWSH</v>
          </cell>
          <cell r="I254" t="str">
            <v>ARES1039B010</v>
          </cell>
          <cell r="J254" t="str">
            <v>52</v>
          </cell>
          <cell r="K254" t="str">
            <v>SHIRT</v>
          </cell>
          <cell r="L254" t="str">
            <v>NOD</v>
          </cell>
        </row>
        <row r="255">
          <cell r="C255" t="str">
            <v>ARES1040B</v>
          </cell>
          <cell r="D255" t="str">
            <v>CORE</v>
          </cell>
          <cell r="E255" t="str">
            <v>CO26</v>
          </cell>
          <cell r="F255">
            <v>2499</v>
          </cell>
          <cell r="G255" t="str">
            <v>AR</v>
          </cell>
          <cell r="H255" t="str">
            <v>ARRARMWSH</v>
          </cell>
          <cell r="I255" t="str">
            <v>ARES1040B001</v>
          </cell>
          <cell r="J255" t="str">
            <v>36</v>
          </cell>
          <cell r="K255" t="str">
            <v>SHIRT</v>
          </cell>
          <cell r="L255" t="str">
            <v>NOD</v>
          </cell>
        </row>
        <row r="256">
          <cell r="C256" t="str">
            <v>ARES1040B</v>
          </cell>
          <cell r="D256" t="str">
            <v>CORE</v>
          </cell>
          <cell r="E256" t="str">
            <v>CO26</v>
          </cell>
          <cell r="F256">
            <v>2499</v>
          </cell>
          <cell r="G256" t="str">
            <v>AR</v>
          </cell>
          <cell r="H256" t="str">
            <v>ARRARMWSH</v>
          </cell>
          <cell r="I256" t="str">
            <v>ARES1040B002</v>
          </cell>
          <cell r="J256" t="str">
            <v>38</v>
          </cell>
          <cell r="K256" t="str">
            <v>SHIRT</v>
          </cell>
          <cell r="L256" t="str">
            <v>NOD</v>
          </cell>
        </row>
        <row r="257">
          <cell r="C257" t="str">
            <v>ARES1040B</v>
          </cell>
          <cell r="D257" t="str">
            <v>CORE</v>
          </cell>
          <cell r="E257" t="str">
            <v>CO26</v>
          </cell>
          <cell r="F257">
            <v>2499</v>
          </cell>
          <cell r="G257" t="str">
            <v>AR</v>
          </cell>
          <cell r="H257" t="str">
            <v>ARRARMWSH</v>
          </cell>
          <cell r="I257" t="str">
            <v>ARES1040B003</v>
          </cell>
          <cell r="J257" t="str">
            <v>39</v>
          </cell>
          <cell r="K257" t="str">
            <v>SHIRT</v>
          </cell>
          <cell r="L257" t="str">
            <v>NOD</v>
          </cell>
        </row>
        <row r="258">
          <cell r="C258" t="str">
            <v>ARES1040B</v>
          </cell>
          <cell r="D258" t="str">
            <v>CORE</v>
          </cell>
          <cell r="E258" t="str">
            <v>CO26</v>
          </cell>
          <cell r="F258">
            <v>2499</v>
          </cell>
          <cell r="G258" t="str">
            <v>AR</v>
          </cell>
          <cell r="H258" t="str">
            <v>ARRARMWSH</v>
          </cell>
          <cell r="I258" t="str">
            <v>ARES1040B004</v>
          </cell>
          <cell r="J258" t="str">
            <v>40</v>
          </cell>
          <cell r="K258" t="str">
            <v>SHIRT</v>
          </cell>
          <cell r="L258" t="str">
            <v>NOD</v>
          </cell>
        </row>
        <row r="259">
          <cell r="C259" t="str">
            <v>ARES1040B</v>
          </cell>
          <cell r="D259" t="str">
            <v>CORE</v>
          </cell>
          <cell r="E259" t="str">
            <v>CO26</v>
          </cell>
          <cell r="F259">
            <v>2499</v>
          </cell>
          <cell r="G259" t="str">
            <v>AR</v>
          </cell>
          <cell r="H259" t="str">
            <v>ARRARMWSH</v>
          </cell>
          <cell r="I259" t="str">
            <v>ARES1040B005</v>
          </cell>
          <cell r="J259" t="str">
            <v>42</v>
          </cell>
          <cell r="K259" t="str">
            <v>SHIRT</v>
          </cell>
          <cell r="L259" t="str">
            <v>NOD</v>
          </cell>
        </row>
        <row r="260">
          <cell r="C260" t="str">
            <v>ARES1040B</v>
          </cell>
          <cell r="D260" t="str">
            <v>CORE</v>
          </cell>
          <cell r="E260" t="str">
            <v>CO26</v>
          </cell>
          <cell r="F260">
            <v>2499</v>
          </cell>
          <cell r="G260" t="str">
            <v>AR</v>
          </cell>
          <cell r="H260" t="str">
            <v>ARRARMWSH</v>
          </cell>
          <cell r="I260" t="str">
            <v>ARES1040B006</v>
          </cell>
          <cell r="J260" t="str">
            <v>44</v>
          </cell>
          <cell r="K260" t="str">
            <v>SHIRT</v>
          </cell>
          <cell r="L260" t="str">
            <v>NOD</v>
          </cell>
        </row>
        <row r="261">
          <cell r="C261" t="str">
            <v>ARES1040B</v>
          </cell>
          <cell r="D261" t="str">
            <v>CORE</v>
          </cell>
          <cell r="E261" t="str">
            <v>CO26</v>
          </cell>
          <cell r="F261">
            <v>2699</v>
          </cell>
          <cell r="G261" t="str">
            <v>AR</v>
          </cell>
          <cell r="H261" t="str">
            <v>ARRARMWSH</v>
          </cell>
          <cell r="I261" t="str">
            <v>ARES1040B007</v>
          </cell>
          <cell r="J261" t="str">
            <v>46</v>
          </cell>
          <cell r="K261" t="str">
            <v>SHIRT</v>
          </cell>
          <cell r="L261" t="str">
            <v>NOD</v>
          </cell>
        </row>
        <row r="262">
          <cell r="C262" t="str">
            <v>ARES1040B</v>
          </cell>
          <cell r="D262" t="str">
            <v>CORE</v>
          </cell>
          <cell r="E262" t="str">
            <v>CO26</v>
          </cell>
          <cell r="F262">
            <v>2699</v>
          </cell>
          <cell r="G262" t="str">
            <v>AR</v>
          </cell>
          <cell r="H262" t="str">
            <v>ARRARMWSH</v>
          </cell>
          <cell r="I262" t="str">
            <v>ARES1040B008</v>
          </cell>
          <cell r="J262" t="str">
            <v>48</v>
          </cell>
          <cell r="K262" t="str">
            <v>SHIRT</v>
          </cell>
          <cell r="L262" t="str">
            <v>NOD</v>
          </cell>
        </row>
        <row r="263">
          <cell r="C263" t="str">
            <v>ARES1040B</v>
          </cell>
          <cell r="D263" t="str">
            <v>CORE</v>
          </cell>
          <cell r="E263" t="str">
            <v>CO26</v>
          </cell>
          <cell r="F263">
            <v>2699</v>
          </cell>
          <cell r="G263" t="str">
            <v>AR</v>
          </cell>
          <cell r="H263" t="str">
            <v>ARRARMWSH</v>
          </cell>
          <cell r="I263" t="str">
            <v>ARES1040B009</v>
          </cell>
          <cell r="J263" t="str">
            <v>50</v>
          </cell>
          <cell r="K263" t="str">
            <v>SHIRT</v>
          </cell>
          <cell r="L263" t="str">
            <v>NOD</v>
          </cell>
        </row>
        <row r="264">
          <cell r="C264" t="str">
            <v>ARES1040B</v>
          </cell>
          <cell r="D264" t="str">
            <v>CORE</v>
          </cell>
          <cell r="E264" t="str">
            <v>CO26</v>
          </cell>
          <cell r="F264">
            <v>2699</v>
          </cell>
          <cell r="G264" t="str">
            <v>AR</v>
          </cell>
          <cell r="H264" t="str">
            <v>ARRARMWSH</v>
          </cell>
          <cell r="I264" t="str">
            <v>ARES1040B010</v>
          </cell>
          <cell r="J264" t="str">
            <v>52</v>
          </cell>
          <cell r="K264" t="str">
            <v>SHIRT</v>
          </cell>
          <cell r="L264" t="str">
            <v>NOD</v>
          </cell>
        </row>
        <row r="265">
          <cell r="C265" t="str">
            <v>ARES1042B</v>
          </cell>
          <cell r="D265" t="str">
            <v>CORE</v>
          </cell>
          <cell r="E265" t="str">
            <v>CO26</v>
          </cell>
          <cell r="F265">
            <v>2499</v>
          </cell>
          <cell r="G265" t="str">
            <v>AR</v>
          </cell>
          <cell r="H265" t="str">
            <v>ARRARMWSH</v>
          </cell>
          <cell r="I265" t="str">
            <v>ARES1042B001</v>
          </cell>
          <cell r="J265" t="str">
            <v>36</v>
          </cell>
          <cell r="K265" t="str">
            <v>SHIRT</v>
          </cell>
          <cell r="L265" t="str">
            <v>NOD</v>
          </cell>
        </row>
        <row r="266">
          <cell r="C266" t="str">
            <v>ARES1042B</v>
          </cell>
          <cell r="D266" t="str">
            <v>CORE</v>
          </cell>
          <cell r="E266" t="str">
            <v>CO26</v>
          </cell>
          <cell r="F266">
            <v>2499</v>
          </cell>
          <cell r="G266" t="str">
            <v>AR</v>
          </cell>
          <cell r="H266" t="str">
            <v>ARRARMWSH</v>
          </cell>
          <cell r="I266" t="str">
            <v>ARES1042B002</v>
          </cell>
          <cell r="J266" t="str">
            <v>38</v>
          </cell>
          <cell r="K266" t="str">
            <v>SHIRT</v>
          </cell>
          <cell r="L266" t="str">
            <v>NOD</v>
          </cell>
        </row>
        <row r="267">
          <cell r="C267" t="str">
            <v>ARES1042B</v>
          </cell>
          <cell r="D267" t="str">
            <v>CORE</v>
          </cell>
          <cell r="E267" t="str">
            <v>CO26</v>
          </cell>
          <cell r="F267">
            <v>2499</v>
          </cell>
          <cell r="G267" t="str">
            <v>AR</v>
          </cell>
          <cell r="H267" t="str">
            <v>ARRARMWSH</v>
          </cell>
          <cell r="I267" t="str">
            <v>ARES1042B003</v>
          </cell>
          <cell r="J267" t="str">
            <v>39</v>
          </cell>
          <cell r="K267" t="str">
            <v>SHIRT</v>
          </cell>
          <cell r="L267" t="str">
            <v>NOD</v>
          </cell>
        </row>
        <row r="268">
          <cell r="C268" t="str">
            <v>ARES1042B</v>
          </cell>
          <cell r="D268" t="str">
            <v>CORE</v>
          </cell>
          <cell r="E268" t="str">
            <v>CO26</v>
          </cell>
          <cell r="F268">
            <v>2499</v>
          </cell>
          <cell r="G268" t="str">
            <v>AR</v>
          </cell>
          <cell r="H268" t="str">
            <v>ARRARMWSH</v>
          </cell>
          <cell r="I268" t="str">
            <v>ARES1042B004</v>
          </cell>
          <cell r="J268" t="str">
            <v>40</v>
          </cell>
          <cell r="K268" t="str">
            <v>SHIRT</v>
          </cell>
          <cell r="L268" t="str">
            <v>NOD</v>
          </cell>
        </row>
        <row r="269">
          <cell r="C269" t="str">
            <v>ARES1042B</v>
          </cell>
          <cell r="D269" t="str">
            <v>CORE</v>
          </cell>
          <cell r="E269" t="str">
            <v>CO26</v>
          </cell>
          <cell r="F269">
            <v>2499</v>
          </cell>
          <cell r="G269" t="str">
            <v>AR</v>
          </cell>
          <cell r="H269" t="str">
            <v>ARRARMWSH</v>
          </cell>
          <cell r="I269" t="str">
            <v>ARES1042B005</v>
          </cell>
          <cell r="J269" t="str">
            <v>42</v>
          </cell>
          <cell r="K269" t="str">
            <v>SHIRT</v>
          </cell>
          <cell r="L269" t="str">
            <v>NOD</v>
          </cell>
        </row>
        <row r="270">
          <cell r="C270" t="str">
            <v>ARES1042B</v>
          </cell>
          <cell r="D270" t="str">
            <v>CORE</v>
          </cell>
          <cell r="E270" t="str">
            <v>CO26</v>
          </cell>
          <cell r="F270">
            <v>2499</v>
          </cell>
          <cell r="G270" t="str">
            <v>AR</v>
          </cell>
          <cell r="H270" t="str">
            <v>ARRARMWSH</v>
          </cell>
          <cell r="I270" t="str">
            <v>ARES1042B006</v>
          </cell>
          <cell r="J270" t="str">
            <v>44</v>
          </cell>
          <cell r="K270" t="str">
            <v>SHIRT</v>
          </cell>
          <cell r="L270" t="str">
            <v>NOD</v>
          </cell>
        </row>
        <row r="271">
          <cell r="C271" t="str">
            <v>ARES1042B</v>
          </cell>
          <cell r="D271" t="str">
            <v>CORE</v>
          </cell>
          <cell r="E271" t="str">
            <v>CO26</v>
          </cell>
          <cell r="F271">
            <v>2699</v>
          </cell>
          <cell r="G271" t="str">
            <v>AR</v>
          </cell>
          <cell r="H271" t="str">
            <v>ARRARMWSH</v>
          </cell>
          <cell r="I271" t="str">
            <v>ARES1042B007</v>
          </cell>
          <cell r="J271" t="str">
            <v>46</v>
          </cell>
          <cell r="K271" t="str">
            <v>SHIRT</v>
          </cell>
          <cell r="L271" t="str">
            <v>NOD</v>
          </cell>
        </row>
        <row r="272">
          <cell r="C272" t="str">
            <v>ARES1042B</v>
          </cell>
          <cell r="D272" t="str">
            <v>CORE</v>
          </cell>
          <cell r="E272" t="str">
            <v>CO26</v>
          </cell>
          <cell r="F272">
            <v>2699</v>
          </cell>
          <cell r="G272" t="str">
            <v>AR</v>
          </cell>
          <cell r="H272" t="str">
            <v>ARRARMWSH</v>
          </cell>
          <cell r="I272" t="str">
            <v>ARES1042B008</v>
          </cell>
          <cell r="J272" t="str">
            <v>48</v>
          </cell>
          <cell r="K272" t="str">
            <v>SHIRT</v>
          </cell>
          <cell r="L272" t="str">
            <v>NOD</v>
          </cell>
        </row>
        <row r="273">
          <cell r="C273" t="str">
            <v>ARES1042B</v>
          </cell>
          <cell r="D273" t="str">
            <v>CORE</v>
          </cell>
          <cell r="E273" t="str">
            <v>CO26</v>
          </cell>
          <cell r="F273">
            <v>2699</v>
          </cell>
          <cell r="G273" t="str">
            <v>AR</v>
          </cell>
          <cell r="H273" t="str">
            <v>ARRARMWSH</v>
          </cell>
          <cell r="I273" t="str">
            <v>ARES1042B009</v>
          </cell>
          <cell r="J273" t="str">
            <v>50</v>
          </cell>
          <cell r="K273" t="str">
            <v>SHIRT</v>
          </cell>
          <cell r="L273" t="str">
            <v>NOD</v>
          </cell>
        </row>
        <row r="274">
          <cell r="C274" t="str">
            <v>ARES1042B</v>
          </cell>
          <cell r="D274" t="str">
            <v>CORE</v>
          </cell>
          <cell r="E274" t="str">
            <v>CO26</v>
          </cell>
          <cell r="F274">
            <v>2699</v>
          </cell>
          <cell r="G274" t="str">
            <v>AR</v>
          </cell>
          <cell r="H274" t="str">
            <v>ARRARMWSH</v>
          </cell>
          <cell r="I274" t="str">
            <v>ARES1042B010</v>
          </cell>
          <cell r="J274" t="str">
            <v>52</v>
          </cell>
          <cell r="K274" t="str">
            <v>SHIRT</v>
          </cell>
          <cell r="L274" t="str">
            <v>NOD</v>
          </cell>
        </row>
        <row r="275">
          <cell r="C275" t="str">
            <v>ARES1062B</v>
          </cell>
          <cell r="D275" t="str">
            <v>CORE</v>
          </cell>
          <cell r="E275" t="str">
            <v>CO26</v>
          </cell>
          <cell r="F275">
            <v>2299</v>
          </cell>
          <cell r="G275" t="str">
            <v>AR</v>
          </cell>
          <cell r="H275" t="str">
            <v>ARRARMWSH</v>
          </cell>
          <cell r="I275" t="str">
            <v>ARES1062B001</v>
          </cell>
          <cell r="J275" t="str">
            <v>36</v>
          </cell>
          <cell r="K275" t="str">
            <v>SHIRT</v>
          </cell>
          <cell r="L275" t="str">
            <v>NOD</v>
          </cell>
        </row>
        <row r="276">
          <cell r="C276" t="str">
            <v>ARES1062B</v>
          </cell>
          <cell r="D276" t="str">
            <v>CORE</v>
          </cell>
          <cell r="E276" t="str">
            <v>CO26</v>
          </cell>
          <cell r="F276">
            <v>2299</v>
          </cell>
          <cell r="G276" t="str">
            <v>AR</v>
          </cell>
          <cell r="H276" t="str">
            <v>ARRARMWSH</v>
          </cell>
          <cell r="I276" t="str">
            <v>ARES1062B002</v>
          </cell>
          <cell r="J276" t="str">
            <v>38</v>
          </cell>
          <cell r="K276" t="str">
            <v>SHIRT</v>
          </cell>
          <cell r="L276" t="str">
            <v>NOD</v>
          </cell>
        </row>
        <row r="277">
          <cell r="C277" t="str">
            <v>ARES1062B</v>
          </cell>
          <cell r="D277" t="str">
            <v>CORE</v>
          </cell>
          <cell r="E277" t="str">
            <v>CO26</v>
          </cell>
          <cell r="F277">
            <v>2299</v>
          </cell>
          <cell r="G277" t="str">
            <v>AR</v>
          </cell>
          <cell r="H277" t="str">
            <v>ARRARMWSH</v>
          </cell>
          <cell r="I277" t="str">
            <v>ARES1062B003</v>
          </cell>
          <cell r="J277" t="str">
            <v>39</v>
          </cell>
          <cell r="K277" t="str">
            <v>SHIRT</v>
          </cell>
          <cell r="L277" t="str">
            <v>NOD</v>
          </cell>
        </row>
        <row r="278">
          <cell r="C278" t="str">
            <v>ARES1062B</v>
          </cell>
          <cell r="D278" t="str">
            <v>CORE</v>
          </cell>
          <cell r="E278" t="str">
            <v>CO26</v>
          </cell>
          <cell r="F278">
            <v>2299</v>
          </cell>
          <cell r="G278" t="str">
            <v>AR</v>
          </cell>
          <cell r="H278" t="str">
            <v>ARRARMWSH</v>
          </cell>
          <cell r="I278" t="str">
            <v>ARES1062B004</v>
          </cell>
          <cell r="J278" t="str">
            <v>40</v>
          </cell>
          <cell r="K278" t="str">
            <v>SHIRT</v>
          </cell>
          <cell r="L278" t="str">
            <v>NOD</v>
          </cell>
        </row>
        <row r="279">
          <cell r="C279" t="str">
            <v>ARES1062B</v>
          </cell>
          <cell r="D279" t="str">
            <v>CORE</v>
          </cell>
          <cell r="E279" t="str">
            <v>CO26</v>
          </cell>
          <cell r="F279">
            <v>2299</v>
          </cell>
          <cell r="G279" t="str">
            <v>AR</v>
          </cell>
          <cell r="H279" t="str">
            <v>ARRARMWSH</v>
          </cell>
          <cell r="I279" t="str">
            <v>ARES1062B005</v>
          </cell>
          <cell r="J279" t="str">
            <v>42</v>
          </cell>
          <cell r="K279" t="str">
            <v>SHIRT</v>
          </cell>
          <cell r="L279" t="str">
            <v>NOD</v>
          </cell>
        </row>
        <row r="280">
          <cell r="C280" t="str">
            <v>ARES1062B</v>
          </cell>
          <cell r="D280" t="str">
            <v>CORE</v>
          </cell>
          <cell r="E280" t="str">
            <v>CO26</v>
          </cell>
          <cell r="F280">
            <v>2299</v>
          </cell>
          <cell r="G280" t="str">
            <v>AR</v>
          </cell>
          <cell r="H280" t="str">
            <v>ARRARMWSH</v>
          </cell>
          <cell r="I280" t="str">
            <v>ARES1062B006</v>
          </cell>
          <cell r="J280" t="str">
            <v>44</v>
          </cell>
          <cell r="K280" t="str">
            <v>SHIRT</v>
          </cell>
          <cell r="L280" t="str">
            <v>NOD</v>
          </cell>
        </row>
        <row r="281">
          <cell r="C281" t="str">
            <v>ARES1062B</v>
          </cell>
          <cell r="D281" t="str">
            <v>CORE</v>
          </cell>
          <cell r="E281" t="str">
            <v>CO26</v>
          </cell>
          <cell r="F281">
            <v>2499</v>
          </cell>
          <cell r="G281" t="str">
            <v>AR</v>
          </cell>
          <cell r="H281" t="str">
            <v>ARRARMWSH</v>
          </cell>
          <cell r="I281" t="str">
            <v>ARES1062B007</v>
          </cell>
          <cell r="J281" t="str">
            <v>46</v>
          </cell>
          <cell r="K281" t="str">
            <v>SHIRT</v>
          </cell>
          <cell r="L281" t="str">
            <v>NOD</v>
          </cell>
        </row>
        <row r="282">
          <cell r="C282" t="str">
            <v>ARES1062B</v>
          </cell>
          <cell r="D282" t="str">
            <v>CORE</v>
          </cell>
          <cell r="E282" t="str">
            <v>CO26</v>
          </cell>
          <cell r="F282">
            <v>2499</v>
          </cell>
          <cell r="G282" t="str">
            <v>AR</v>
          </cell>
          <cell r="H282" t="str">
            <v>ARRARMWSH</v>
          </cell>
          <cell r="I282" t="str">
            <v>ARES1062B008</v>
          </cell>
          <cell r="J282" t="str">
            <v>48</v>
          </cell>
          <cell r="K282" t="str">
            <v>SHIRT</v>
          </cell>
          <cell r="L282" t="str">
            <v>NOD</v>
          </cell>
        </row>
        <row r="283">
          <cell r="C283" t="str">
            <v>ARES1062B</v>
          </cell>
          <cell r="D283" t="str">
            <v>CORE</v>
          </cell>
          <cell r="E283" t="str">
            <v>CO26</v>
          </cell>
          <cell r="F283">
            <v>2499</v>
          </cell>
          <cell r="G283" t="str">
            <v>AR</v>
          </cell>
          <cell r="H283" t="str">
            <v>ARRARMWSH</v>
          </cell>
          <cell r="I283" t="str">
            <v>ARES1062B009</v>
          </cell>
          <cell r="J283" t="str">
            <v>50</v>
          </cell>
          <cell r="K283" t="str">
            <v>SHIRT</v>
          </cell>
          <cell r="L283" t="str">
            <v>NOD</v>
          </cell>
        </row>
        <row r="284">
          <cell r="C284" t="str">
            <v>ARES1062B</v>
          </cell>
          <cell r="D284" t="str">
            <v>CORE</v>
          </cell>
          <cell r="E284" t="str">
            <v>CO26</v>
          </cell>
          <cell r="F284">
            <v>2499</v>
          </cell>
          <cell r="G284" t="str">
            <v>AR</v>
          </cell>
          <cell r="H284" t="str">
            <v>ARRARMWSH</v>
          </cell>
          <cell r="I284" t="str">
            <v>ARES1062B010</v>
          </cell>
          <cell r="J284" t="str">
            <v>52</v>
          </cell>
          <cell r="K284" t="str">
            <v>SHIRT</v>
          </cell>
          <cell r="L284" t="str">
            <v>NOD</v>
          </cell>
        </row>
        <row r="285">
          <cell r="C285" t="str">
            <v>ARES1064B</v>
          </cell>
          <cell r="D285" t="str">
            <v>CORE</v>
          </cell>
          <cell r="E285" t="str">
            <v>CO26</v>
          </cell>
          <cell r="F285">
            <v>2299</v>
          </cell>
          <cell r="G285" t="str">
            <v>AR</v>
          </cell>
          <cell r="H285" t="str">
            <v>ARRARMWSH</v>
          </cell>
          <cell r="I285" t="str">
            <v>ARES1064B001</v>
          </cell>
          <cell r="J285" t="str">
            <v>36</v>
          </cell>
          <cell r="K285" t="str">
            <v>SHIRT</v>
          </cell>
          <cell r="L285" t="str">
            <v>NOD</v>
          </cell>
        </row>
        <row r="286">
          <cell r="C286" t="str">
            <v>ARES1064B</v>
          </cell>
          <cell r="D286" t="str">
            <v>CORE</v>
          </cell>
          <cell r="E286" t="str">
            <v>CO26</v>
          </cell>
          <cell r="F286">
            <v>2299</v>
          </cell>
          <cell r="G286" t="str">
            <v>AR</v>
          </cell>
          <cell r="H286" t="str">
            <v>ARRARMWSH</v>
          </cell>
          <cell r="I286" t="str">
            <v>ARES1064B002</v>
          </cell>
          <cell r="J286" t="str">
            <v>38</v>
          </cell>
          <cell r="K286" t="str">
            <v>SHIRT</v>
          </cell>
          <cell r="L286" t="str">
            <v>NOD</v>
          </cell>
        </row>
        <row r="287">
          <cell r="C287" t="str">
            <v>ARES1064B</v>
          </cell>
          <cell r="D287" t="str">
            <v>CORE</v>
          </cell>
          <cell r="E287" t="str">
            <v>CO26</v>
          </cell>
          <cell r="F287">
            <v>2299</v>
          </cell>
          <cell r="G287" t="str">
            <v>AR</v>
          </cell>
          <cell r="H287" t="str">
            <v>ARRARMWSH</v>
          </cell>
          <cell r="I287" t="str">
            <v>ARES1064B003</v>
          </cell>
          <cell r="J287" t="str">
            <v>39</v>
          </cell>
          <cell r="K287" t="str">
            <v>SHIRT</v>
          </cell>
          <cell r="L287" t="str">
            <v>NOD</v>
          </cell>
        </row>
        <row r="288">
          <cell r="C288" t="str">
            <v>ARES1064B</v>
          </cell>
          <cell r="D288" t="str">
            <v>CORE</v>
          </cell>
          <cell r="E288" t="str">
            <v>CO26</v>
          </cell>
          <cell r="F288">
            <v>2299</v>
          </cell>
          <cell r="G288" t="str">
            <v>AR</v>
          </cell>
          <cell r="H288" t="str">
            <v>ARRARMWSH</v>
          </cell>
          <cell r="I288" t="str">
            <v>ARES1064B004</v>
          </cell>
          <cell r="J288" t="str">
            <v>40</v>
          </cell>
          <cell r="K288" t="str">
            <v>SHIRT</v>
          </cell>
          <cell r="L288" t="str">
            <v>NOD</v>
          </cell>
        </row>
        <row r="289">
          <cell r="C289" t="str">
            <v>ARES1064B</v>
          </cell>
          <cell r="D289" t="str">
            <v>CORE</v>
          </cell>
          <cell r="E289" t="str">
            <v>CO26</v>
          </cell>
          <cell r="F289">
            <v>2299</v>
          </cell>
          <cell r="G289" t="str">
            <v>AR</v>
          </cell>
          <cell r="H289" t="str">
            <v>ARRARMWSH</v>
          </cell>
          <cell r="I289" t="str">
            <v>ARES1064B005</v>
          </cell>
          <cell r="J289" t="str">
            <v>42</v>
          </cell>
          <cell r="K289" t="str">
            <v>SHIRT</v>
          </cell>
          <cell r="L289" t="str">
            <v>NOD</v>
          </cell>
        </row>
        <row r="290">
          <cell r="C290" t="str">
            <v>ARES1064B</v>
          </cell>
          <cell r="D290" t="str">
            <v>CORE</v>
          </cell>
          <cell r="E290" t="str">
            <v>CO26</v>
          </cell>
          <cell r="F290">
            <v>2299</v>
          </cell>
          <cell r="G290" t="str">
            <v>AR</v>
          </cell>
          <cell r="H290" t="str">
            <v>ARRARMWSH</v>
          </cell>
          <cell r="I290" t="str">
            <v>ARES1064B006</v>
          </cell>
          <cell r="J290" t="str">
            <v>44</v>
          </cell>
          <cell r="K290" t="str">
            <v>SHIRT</v>
          </cell>
          <cell r="L290" t="str">
            <v>NOD</v>
          </cell>
        </row>
        <row r="291">
          <cell r="C291" t="str">
            <v>ARES1064B</v>
          </cell>
          <cell r="D291" t="str">
            <v>CORE</v>
          </cell>
          <cell r="E291" t="str">
            <v>CO26</v>
          </cell>
          <cell r="F291">
            <v>2499</v>
          </cell>
          <cell r="G291" t="str">
            <v>AR</v>
          </cell>
          <cell r="H291" t="str">
            <v>ARRARMWSH</v>
          </cell>
          <cell r="I291" t="str">
            <v>ARES1064B007</v>
          </cell>
          <cell r="J291" t="str">
            <v>46</v>
          </cell>
          <cell r="K291" t="str">
            <v>SHIRT</v>
          </cell>
          <cell r="L291" t="str">
            <v>NOD</v>
          </cell>
        </row>
        <row r="292">
          <cell r="C292" t="str">
            <v>ARES1064B</v>
          </cell>
          <cell r="D292" t="str">
            <v>CORE</v>
          </cell>
          <cell r="E292" t="str">
            <v>CO26</v>
          </cell>
          <cell r="F292">
            <v>2499</v>
          </cell>
          <cell r="G292" t="str">
            <v>AR</v>
          </cell>
          <cell r="H292" t="str">
            <v>ARRARMWSH</v>
          </cell>
          <cell r="I292" t="str">
            <v>ARES1064B008</v>
          </cell>
          <cell r="J292" t="str">
            <v>48</v>
          </cell>
          <cell r="K292" t="str">
            <v>SHIRT</v>
          </cell>
          <cell r="L292" t="str">
            <v>NOD</v>
          </cell>
        </row>
        <row r="293">
          <cell r="C293" t="str">
            <v>ARES1064B</v>
          </cell>
          <cell r="D293" t="str">
            <v>CORE</v>
          </cell>
          <cell r="E293" t="str">
            <v>CO26</v>
          </cell>
          <cell r="F293">
            <v>2499</v>
          </cell>
          <cell r="G293" t="str">
            <v>AR</v>
          </cell>
          <cell r="H293" t="str">
            <v>ARRARMWSH</v>
          </cell>
          <cell r="I293" t="str">
            <v>ARES1064B009</v>
          </cell>
          <cell r="J293" t="str">
            <v>50</v>
          </cell>
          <cell r="K293" t="str">
            <v>SHIRT</v>
          </cell>
          <cell r="L293" t="str">
            <v>NOD</v>
          </cell>
        </row>
        <row r="294">
          <cell r="C294" t="str">
            <v>ARES1064B</v>
          </cell>
          <cell r="D294" t="str">
            <v>CORE</v>
          </cell>
          <cell r="E294" t="str">
            <v>CO26</v>
          </cell>
          <cell r="F294">
            <v>2499</v>
          </cell>
          <cell r="G294" t="str">
            <v>AR</v>
          </cell>
          <cell r="H294" t="str">
            <v>ARRARMWSH</v>
          </cell>
          <cell r="I294" t="str">
            <v>ARES1064B010</v>
          </cell>
          <cell r="J294" t="str">
            <v>52</v>
          </cell>
          <cell r="K294" t="str">
            <v>SHIRT</v>
          </cell>
          <cell r="L294" t="str">
            <v>NOD</v>
          </cell>
        </row>
        <row r="295">
          <cell r="C295" t="str">
            <v>ARES1085B</v>
          </cell>
          <cell r="D295" t="str">
            <v>CORE</v>
          </cell>
          <cell r="E295" t="str">
            <v>CO24</v>
          </cell>
          <cell r="F295">
            <v>2299</v>
          </cell>
          <cell r="G295" t="str">
            <v>AR</v>
          </cell>
          <cell r="H295" t="str">
            <v>ARRARMWSH</v>
          </cell>
          <cell r="I295" t="str">
            <v>ARES1085B001</v>
          </cell>
          <cell r="J295" t="str">
            <v>36</v>
          </cell>
          <cell r="K295" t="str">
            <v>SHIRT</v>
          </cell>
          <cell r="L295" t="str">
            <v>NOD</v>
          </cell>
        </row>
        <row r="296">
          <cell r="C296" t="str">
            <v>ARES1085B</v>
          </cell>
          <cell r="D296" t="str">
            <v>CORE</v>
          </cell>
          <cell r="E296" t="str">
            <v>CO24</v>
          </cell>
          <cell r="F296">
            <v>2299</v>
          </cell>
          <cell r="G296" t="str">
            <v>AR</v>
          </cell>
          <cell r="H296" t="str">
            <v>ARRARMWSH</v>
          </cell>
          <cell r="I296" t="str">
            <v>ARES1085B002</v>
          </cell>
          <cell r="J296" t="str">
            <v>38</v>
          </cell>
          <cell r="K296" t="str">
            <v>SHIRT</v>
          </cell>
          <cell r="L296" t="str">
            <v>NOD</v>
          </cell>
        </row>
        <row r="297">
          <cell r="C297" t="str">
            <v>ARES1085B</v>
          </cell>
          <cell r="D297" t="str">
            <v>CORE</v>
          </cell>
          <cell r="E297" t="str">
            <v>CO24</v>
          </cell>
          <cell r="F297">
            <v>2299</v>
          </cell>
          <cell r="G297" t="str">
            <v>AR</v>
          </cell>
          <cell r="H297" t="str">
            <v>ARRARMWSH</v>
          </cell>
          <cell r="I297" t="str">
            <v>ARES1085B003</v>
          </cell>
          <cell r="J297" t="str">
            <v>39</v>
          </cell>
          <cell r="K297" t="str">
            <v>SHIRT</v>
          </cell>
          <cell r="L297" t="str">
            <v>NOD</v>
          </cell>
        </row>
        <row r="298">
          <cell r="C298" t="str">
            <v>ARES1085B</v>
          </cell>
          <cell r="D298" t="str">
            <v>CORE</v>
          </cell>
          <cell r="E298" t="str">
            <v>CO24</v>
          </cell>
          <cell r="F298">
            <v>2299</v>
          </cell>
          <cell r="G298" t="str">
            <v>AR</v>
          </cell>
          <cell r="H298" t="str">
            <v>ARRARMWSH</v>
          </cell>
          <cell r="I298" t="str">
            <v>ARES1085B004</v>
          </cell>
          <cell r="J298" t="str">
            <v>40</v>
          </cell>
          <cell r="K298" t="str">
            <v>SHIRT</v>
          </cell>
          <cell r="L298" t="str">
            <v>NOD</v>
          </cell>
        </row>
        <row r="299">
          <cell r="C299" t="str">
            <v>ARES1085B</v>
          </cell>
          <cell r="D299" t="str">
            <v>CORE</v>
          </cell>
          <cell r="E299" t="str">
            <v>CO24</v>
          </cell>
          <cell r="F299">
            <v>2299</v>
          </cell>
          <cell r="G299" t="str">
            <v>AR</v>
          </cell>
          <cell r="H299" t="str">
            <v>ARRARMWSH</v>
          </cell>
          <cell r="I299" t="str">
            <v>ARES1085B005</v>
          </cell>
          <cell r="J299" t="str">
            <v>42</v>
          </cell>
          <cell r="K299" t="str">
            <v>SHIRT</v>
          </cell>
          <cell r="L299" t="str">
            <v>NOD</v>
          </cell>
        </row>
        <row r="300">
          <cell r="C300" t="str">
            <v>ARES1085B</v>
          </cell>
          <cell r="D300" t="str">
            <v>CORE</v>
          </cell>
          <cell r="E300" t="str">
            <v>CO24</v>
          </cell>
          <cell r="F300">
            <v>2299</v>
          </cell>
          <cell r="G300" t="str">
            <v>AR</v>
          </cell>
          <cell r="H300" t="str">
            <v>ARRARMWSH</v>
          </cell>
          <cell r="I300" t="str">
            <v>ARES1085B006</v>
          </cell>
          <cell r="J300" t="str">
            <v>44</v>
          </cell>
          <cell r="K300" t="str">
            <v>SHIRT</v>
          </cell>
          <cell r="L300" t="str">
            <v>NOD</v>
          </cell>
        </row>
        <row r="301">
          <cell r="C301" t="str">
            <v>ARES1085B</v>
          </cell>
          <cell r="D301" t="str">
            <v>CORE</v>
          </cell>
          <cell r="E301" t="str">
            <v>CO24</v>
          </cell>
          <cell r="F301">
            <v>2499</v>
          </cell>
          <cell r="G301" t="str">
            <v>AR</v>
          </cell>
          <cell r="H301" t="str">
            <v>ARRARMWSH</v>
          </cell>
          <cell r="I301" t="str">
            <v>ARES1085B007</v>
          </cell>
          <cell r="J301" t="str">
            <v>46</v>
          </cell>
          <cell r="K301" t="str">
            <v>SHIRT</v>
          </cell>
          <cell r="L301" t="str">
            <v>NOD</v>
          </cell>
        </row>
        <row r="302">
          <cell r="C302" t="str">
            <v>ARES1085B</v>
          </cell>
          <cell r="D302" t="str">
            <v>CORE</v>
          </cell>
          <cell r="E302" t="str">
            <v>CO24</v>
          </cell>
          <cell r="F302">
            <v>2499</v>
          </cell>
          <cell r="G302" t="str">
            <v>AR</v>
          </cell>
          <cell r="H302" t="str">
            <v>ARRARMWSH</v>
          </cell>
          <cell r="I302" t="str">
            <v>ARES1085B008</v>
          </cell>
          <cell r="J302" t="str">
            <v>48</v>
          </cell>
          <cell r="K302" t="str">
            <v>SHIRT</v>
          </cell>
          <cell r="L302" t="str">
            <v>NOD</v>
          </cell>
        </row>
        <row r="303">
          <cell r="C303" t="str">
            <v>ARES1085B</v>
          </cell>
          <cell r="D303" t="str">
            <v>CORE</v>
          </cell>
          <cell r="E303" t="str">
            <v>CO24</v>
          </cell>
          <cell r="F303">
            <v>2499</v>
          </cell>
          <cell r="G303" t="str">
            <v>AR</v>
          </cell>
          <cell r="H303" t="str">
            <v>ARRARMWSH</v>
          </cell>
          <cell r="I303" t="str">
            <v>ARES1085B009</v>
          </cell>
          <cell r="J303" t="str">
            <v>50</v>
          </cell>
          <cell r="K303" t="str">
            <v>SHIRT</v>
          </cell>
          <cell r="L303" t="str">
            <v>NOD</v>
          </cell>
        </row>
        <row r="304">
          <cell r="C304" t="str">
            <v>ARES1085B</v>
          </cell>
          <cell r="D304" t="str">
            <v>CORE</v>
          </cell>
          <cell r="E304" t="str">
            <v>CO24</v>
          </cell>
          <cell r="F304">
            <v>2499</v>
          </cell>
          <cell r="G304" t="str">
            <v>AR</v>
          </cell>
          <cell r="H304" t="str">
            <v>ARRARMWSH</v>
          </cell>
          <cell r="I304" t="str">
            <v>ARES1085B010</v>
          </cell>
          <cell r="J304" t="str">
            <v>52</v>
          </cell>
          <cell r="K304" t="str">
            <v>SHIRT</v>
          </cell>
          <cell r="L304" t="str">
            <v>NOD</v>
          </cell>
        </row>
        <row r="305">
          <cell r="C305" t="str">
            <v>ARES1093B</v>
          </cell>
          <cell r="D305" t="str">
            <v>CORE</v>
          </cell>
          <cell r="E305" t="str">
            <v>CO25</v>
          </cell>
          <cell r="F305">
            <v>4002</v>
          </cell>
          <cell r="G305" t="str">
            <v>AR</v>
          </cell>
          <cell r="H305" t="str">
            <v>ARRARMWSH</v>
          </cell>
          <cell r="I305" t="str">
            <v>ARES1093B001</v>
          </cell>
          <cell r="J305" t="str">
            <v>36</v>
          </cell>
          <cell r="K305" t="str">
            <v>SHIRT</v>
          </cell>
          <cell r="L305" t="str">
            <v>NOD</v>
          </cell>
        </row>
        <row r="306">
          <cell r="C306" t="str">
            <v>ARES1093B</v>
          </cell>
          <cell r="D306" t="str">
            <v>CORE</v>
          </cell>
          <cell r="E306" t="str">
            <v>CO25</v>
          </cell>
          <cell r="F306">
            <v>4002</v>
          </cell>
          <cell r="G306" t="str">
            <v>AR</v>
          </cell>
          <cell r="H306" t="str">
            <v>ARRARMWSH</v>
          </cell>
          <cell r="I306" t="str">
            <v>ARES1093B002</v>
          </cell>
          <cell r="J306" t="str">
            <v>38</v>
          </cell>
          <cell r="K306" t="str">
            <v>SHIRT</v>
          </cell>
          <cell r="L306" t="str">
            <v>NOD</v>
          </cell>
        </row>
        <row r="307">
          <cell r="C307" t="str">
            <v>ARES1093B</v>
          </cell>
          <cell r="D307" t="str">
            <v>CORE</v>
          </cell>
          <cell r="E307" t="str">
            <v>CO25</v>
          </cell>
          <cell r="F307">
            <v>4002</v>
          </cell>
          <cell r="G307" t="str">
            <v>AR</v>
          </cell>
          <cell r="H307" t="str">
            <v>ARRARMWSH</v>
          </cell>
          <cell r="I307" t="str">
            <v>ARES1093B003</v>
          </cell>
          <cell r="J307" t="str">
            <v>39</v>
          </cell>
          <cell r="K307" t="str">
            <v>SHIRT</v>
          </cell>
          <cell r="L307" t="str">
            <v>NOD</v>
          </cell>
        </row>
        <row r="308">
          <cell r="C308" t="str">
            <v>ARES1093B</v>
          </cell>
          <cell r="D308" t="str">
            <v>CORE</v>
          </cell>
          <cell r="E308" t="str">
            <v>CO25</v>
          </cell>
          <cell r="F308">
            <v>4002</v>
          </cell>
          <cell r="G308" t="str">
            <v>AR</v>
          </cell>
          <cell r="H308" t="str">
            <v>ARRARMWSH</v>
          </cell>
          <cell r="I308" t="str">
            <v>ARES1093B004</v>
          </cell>
          <cell r="J308" t="str">
            <v>40</v>
          </cell>
          <cell r="K308" t="str">
            <v>SHIRT</v>
          </cell>
          <cell r="L308" t="str">
            <v>NOD</v>
          </cell>
        </row>
        <row r="309">
          <cell r="C309" t="str">
            <v>ARES1093B</v>
          </cell>
          <cell r="D309" t="str">
            <v>CORE</v>
          </cell>
          <cell r="E309" t="str">
            <v>CO25</v>
          </cell>
          <cell r="F309">
            <v>4002</v>
          </cell>
          <cell r="G309" t="str">
            <v>AR</v>
          </cell>
          <cell r="H309" t="str">
            <v>ARRARMWSH</v>
          </cell>
          <cell r="I309" t="str">
            <v>ARES1093B005</v>
          </cell>
          <cell r="J309" t="str">
            <v>42</v>
          </cell>
          <cell r="K309" t="str">
            <v>SHIRT</v>
          </cell>
          <cell r="L309" t="str">
            <v>NOD</v>
          </cell>
        </row>
        <row r="310">
          <cell r="C310" t="str">
            <v>ARES1093B</v>
          </cell>
          <cell r="D310" t="str">
            <v>CORE</v>
          </cell>
          <cell r="E310" t="str">
            <v>CO25</v>
          </cell>
          <cell r="F310">
            <v>4002</v>
          </cell>
          <cell r="G310" t="str">
            <v>AR</v>
          </cell>
          <cell r="H310" t="str">
            <v>ARRARMWSH</v>
          </cell>
          <cell r="I310" t="str">
            <v>ARES1093B006</v>
          </cell>
          <cell r="J310" t="str">
            <v>44</v>
          </cell>
          <cell r="K310" t="str">
            <v>SHIRT</v>
          </cell>
          <cell r="L310" t="str">
            <v>NOD</v>
          </cell>
        </row>
        <row r="311">
          <cell r="C311" t="str">
            <v>ARES1093B</v>
          </cell>
          <cell r="D311" t="str">
            <v>CORE</v>
          </cell>
          <cell r="E311" t="str">
            <v>CO25</v>
          </cell>
          <cell r="F311">
            <v>4213</v>
          </cell>
          <cell r="G311" t="str">
            <v>AR</v>
          </cell>
          <cell r="H311" t="str">
            <v>ARRARMWSH</v>
          </cell>
          <cell r="I311" t="str">
            <v>ARES1093B007</v>
          </cell>
          <cell r="J311" t="str">
            <v>46</v>
          </cell>
          <cell r="K311" t="str">
            <v>SHIRT</v>
          </cell>
          <cell r="L311" t="str">
            <v>NOD</v>
          </cell>
        </row>
        <row r="312">
          <cell r="C312" t="str">
            <v>ARES1093B</v>
          </cell>
          <cell r="D312" t="str">
            <v>CORE</v>
          </cell>
          <cell r="E312" t="str">
            <v>CO25</v>
          </cell>
          <cell r="F312">
            <v>4213</v>
          </cell>
          <cell r="G312" t="str">
            <v>AR</v>
          </cell>
          <cell r="H312" t="str">
            <v>ARRARMWSH</v>
          </cell>
          <cell r="I312" t="str">
            <v>ARES1093B008</v>
          </cell>
          <cell r="J312" t="str">
            <v>48</v>
          </cell>
          <cell r="K312" t="str">
            <v>SHIRT</v>
          </cell>
          <cell r="L312" t="str">
            <v>NOD</v>
          </cell>
        </row>
        <row r="313">
          <cell r="C313" t="str">
            <v>ARES1093B</v>
          </cell>
          <cell r="D313" t="str">
            <v>CORE</v>
          </cell>
          <cell r="E313" t="str">
            <v>CO25</v>
          </cell>
          <cell r="F313">
            <v>4213</v>
          </cell>
          <cell r="G313" t="str">
            <v>AR</v>
          </cell>
          <cell r="H313" t="str">
            <v>ARRARMWSH</v>
          </cell>
          <cell r="I313" t="str">
            <v>ARES1093B009</v>
          </cell>
          <cell r="J313" t="str">
            <v>50</v>
          </cell>
          <cell r="K313" t="str">
            <v>SHIRT</v>
          </cell>
          <cell r="L313" t="str">
            <v>NOD</v>
          </cell>
        </row>
        <row r="314">
          <cell r="C314" t="str">
            <v>ARES1093B</v>
          </cell>
          <cell r="D314" t="str">
            <v>CORE</v>
          </cell>
          <cell r="E314" t="str">
            <v>CO25</v>
          </cell>
          <cell r="F314">
            <v>4213</v>
          </cell>
          <cell r="G314" t="str">
            <v>AR</v>
          </cell>
          <cell r="H314" t="str">
            <v>ARRARMWSH</v>
          </cell>
          <cell r="I314" t="str">
            <v>ARES1093B010</v>
          </cell>
          <cell r="J314" t="str">
            <v>52</v>
          </cell>
          <cell r="K314" t="str">
            <v>SHIRT</v>
          </cell>
          <cell r="L314" t="str">
            <v>NOD</v>
          </cell>
        </row>
        <row r="315">
          <cell r="C315" t="str">
            <v>ARES1093G</v>
          </cell>
          <cell r="D315" t="str">
            <v>CORE</v>
          </cell>
          <cell r="E315" t="str">
            <v>CO26</v>
          </cell>
          <cell r="F315">
            <v>3999</v>
          </cell>
          <cell r="G315" t="str">
            <v>AR</v>
          </cell>
          <cell r="H315" t="str">
            <v>ARRARMWSH</v>
          </cell>
          <cell r="I315" t="str">
            <v>ARES1093G001</v>
          </cell>
          <cell r="J315" t="str">
            <v>36</v>
          </cell>
          <cell r="K315" t="str">
            <v>SHIRT</v>
          </cell>
          <cell r="L315" t="str">
            <v>NOD</v>
          </cell>
        </row>
        <row r="316">
          <cell r="C316" t="str">
            <v>ARES1093G</v>
          </cell>
          <cell r="D316" t="str">
            <v>CORE</v>
          </cell>
          <cell r="E316" t="str">
            <v>CO26</v>
          </cell>
          <cell r="F316">
            <v>3999</v>
          </cell>
          <cell r="G316" t="str">
            <v>AR</v>
          </cell>
          <cell r="H316" t="str">
            <v>ARRARMWSH</v>
          </cell>
          <cell r="I316" t="str">
            <v>ARES1093G002</v>
          </cell>
          <cell r="J316" t="str">
            <v>38</v>
          </cell>
          <cell r="K316" t="str">
            <v>SHIRT</v>
          </cell>
          <cell r="L316" t="str">
            <v>NOD</v>
          </cell>
        </row>
        <row r="317">
          <cell r="C317" t="str">
            <v>ARES1093G</v>
          </cell>
          <cell r="D317" t="str">
            <v>CORE</v>
          </cell>
          <cell r="E317" t="str">
            <v>CO26</v>
          </cell>
          <cell r="F317">
            <v>3999</v>
          </cell>
          <cell r="G317" t="str">
            <v>AR</v>
          </cell>
          <cell r="H317" t="str">
            <v>ARRARMWSH</v>
          </cell>
          <cell r="I317" t="str">
            <v>ARES1093G003</v>
          </cell>
          <cell r="J317" t="str">
            <v>39</v>
          </cell>
          <cell r="K317" t="str">
            <v>SHIRT</v>
          </cell>
          <cell r="L317" t="str">
            <v>NOD</v>
          </cell>
        </row>
        <row r="318">
          <cell r="C318" t="str">
            <v>ARES1093G</v>
          </cell>
          <cell r="D318" t="str">
            <v>CORE</v>
          </cell>
          <cell r="E318" t="str">
            <v>CO26</v>
          </cell>
          <cell r="F318">
            <v>3999</v>
          </cell>
          <cell r="G318" t="str">
            <v>AR</v>
          </cell>
          <cell r="H318" t="str">
            <v>ARRARMWSH</v>
          </cell>
          <cell r="I318" t="str">
            <v>ARES1093G004</v>
          </cell>
          <cell r="J318" t="str">
            <v>40</v>
          </cell>
          <cell r="K318" t="str">
            <v>SHIRT</v>
          </cell>
          <cell r="L318" t="str">
            <v>NOD</v>
          </cell>
        </row>
        <row r="319">
          <cell r="C319" t="str">
            <v>ARES1093G</v>
          </cell>
          <cell r="D319" t="str">
            <v>CORE</v>
          </cell>
          <cell r="E319" t="str">
            <v>CO26</v>
          </cell>
          <cell r="F319">
            <v>3999</v>
          </cell>
          <cell r="G319" t="str">
            <v>AR</v>
          </cell>
          <cell r="H319" t="str">
            <v>ARRARMWSH</v>
          </cell>
          <cell r="I319" t="str">
            <v>ARES1093G005</v>
          </cell>
          <cell r="J319" t="str">
            <v>42</v>
          </cell>
          <cell r="K319" t="str">
            <v>SHIRT</v>
          </cell>
          <cell r="L319" t="str">
            <v>NOD</v>
          </cell>
        </row>
        <row r="320">
          <cell r="C320" t="str">
            <v>ARES1093G</v>
          </cell>
          <cell r="D320" t="str">
            <v>CORE</v>
          </cell>
          <cell r="E320" t="str">
            <v>CO26</v>
          </cell>
          <cell r="F320">
            <v>3999</v>
          </cell>
          <cell r="G320" t="str">
            <v>AR</v>
          </cell>
          <cell r="H320" t="str">
            <v>ARRARMWSH</v>
          </cell>
          <cell r="I320" t="str">
            <v>ARES1093G006</v>
          </cell>
          <cell r="J320" t="str">
            <v>44</v>
          </cell>
          <cell r="K320" t="str">
            <v>SHIRT</v>
          </cell>
          <cell r="L320" t="str">
            <v>NOD</v>
          </cell>
        </row>
        <row r="321">
          <cell r="C321" t="str">
            <v>ARES1093G</v>
          </cell>
          <cell r="D321" t="str">
            <v>CORE</v>
          </cell>
          <cell r="E321" t="str">
            <v>CO26</v>
          </cell>
          <cell r="F321">
            <v>4199</v>
          </cell>
          <cell r="G321" t="str">
            <v>AR</v>
          </cell>
          <cell r="H321" t="str">
            <v>ARRARMWSH</v>
          </cell>
          <cell r="I321" t="str">
            <v>ARES1093G007</v>
          </cell>
          <cell r="J321" t="str">
            <v>46</v>
          </cell>
          <cell r="K321" t="str">
            <v>SHIRT</v>
          </cell>
          <cell r="L321" t="str">
            <v>NOD</v>
          </cell>
        </row>
        <row r="322">
          <cell r="C322" t="str">
            <v>ARES1093G</v>
          </cell>
          <cell r="D322" t="str">
            <v>CORE</v>
          </cell>
          <cell r="E322" t="str">
            <v>CO26</v>
          </cell>
          <cell r="F322">
            <v>4199</v>
          </cell>
          <cell r="G322" t="str">
            <v>AR</v>
          </cell>
          <cell r="H322" t="str">
            <v>ARRARMWSH</v>
          </cell>
          <cell r="I322" t="str">
            <v>ARES1093G008</v>
          </cell>
          <cell r="J322" t="str">
            <v>48</v>
          </cell>
          <cell r="K322" t="str">
            <v>SHIRT</v>
          </cell>
          <cell r="L322" t="str">
            <v>NOD</v>
          </cell>
        </row>
        <row r="323">
          <cell r="C323" t="str">
            <v>ARES1093G</v>
          </cell>
          <cell r="D323" t="str">
            <v>CORE</v>
          </cell>
          <cell r="E323" t="str">
            <v>CO26</v>
          </cell>
          <cell r="F323">
            <v>4199</v>
          </cell>
          <cell r="G323" t="str">
            <v>AR</v>
          </cell>
          <cell r="H323" t="str">
            <v>ARRARMWSH</v>
          </cell>
          <cell r="I323" t="str">
            <v>ARES1093G009</v>
          </cell>
          <cell r="J323" t="str">
            <v>50</v>
          </cell>
          <cell r="K323" t="str">
            <v>SHIRT</v>
          </cell>
          <cell r="L323" t="str">
            <v>NOD</v>
          </cell>
        </row>
        <row r="324">
          <cell r="C324" t="str">
            <v>ARES1093G</v>
          </cell>
          <cell r="D324" t="str">
            <v>CORE</v>
          </cell>
          <cell r="E324" t="str">
            <v>CO26</v>
          </cell>
          <cell r="F324">
            <v>4199</v>
          </cell>
          <cell r="G324" t="str">
            <v>AR</v>
          </cell>
          <cell r="H324" t="str">
            <v>ARRARMWSH</v>
          </cell>
          <cell r="I324" t="str">
            <v>ARES1093G010</v>
          </cell>
          <cell r="J324" t="str">
            <v>52</v>
          </cell>
          <cell r="K324" t="str">
            <v>SHIRT</v>
          </cell>
          <cell r="L324" t="str">
            <v>NOD</v>
          </cell>
        </row>
        <row r="325">
          <cell r="C325" t="str">
            <v>ARES1094B</v>
          </cell>
          <cell r="D325" t="str">
            <v>CORE</v>
          </cell>
          <cell r="E325" t="str">
            <v>CO24</v>
          </cell>
          <cell r="F325">
            <v>4002</v>
          </cell>
          <cell r="G325" t="str">
            <v>AR</v>
          </cell>
          <cell r="H325" t="str">
            <v>ARRARMWSH</v>
          </cell>
          <cell r="I325" t="str">
            <v>ARES1094B001</v>
          </cell>
          <cell r="J325" t="str">
            <v>36</v>
          </cell>
          <cell r="K325" t="str">
            <v>SHIRT</v>
          </cell>
          <cell r="L325" t="str">
            <v>NOD</v>
          </cell>
        </row>
        <row r="326">
          <cell r="C326" t="str">
            <v>ARES1094B</v>
          </cell>
          <cell r="D326" t="str">
            <v>CORE</v>
          </cell>
          <cell r="E326" t="str">
            <v>CO24</v>
          </cell>
          <cell r="F326">
            <v>4002</v>
          </cell>
          <cell r="G326" t="str">
            <v>AR</v>
          </cell>
          <cell r="H326" t="str">
            <v>ARRARMWSH</v>
          </cell>
          <cell r="I326" t="str">
            <v>ARES1094B002</v>
          </cell>
          <cell r="J326" t="str">
            <v>38</v>
          </cell>
          <cell r="K326" t="str">
            <v>SHIRT</v>
          </cell>
          <cell r="L326" t="str">
            <v>NOD</v>
          </cell>
        </row>
        <row r="327">
          <cell r="C327" t="str">
            <v>ARES1094B</v>
          </cell>
          <cell r="D327" t="str">
            <v>CORE</v>
          </cell>
          <cell r="E327" t="str">
            <v>CO24</v>
          </cell>
          <cell r="F327">
            <v>4002</v>
          </cell>
          <cell r="G327" t="str">
            <v>AR</v>
          </cell>
          <cell r="H327" t="str">
            <v>ARRARMWSH</v>
          </cell>
          <cell r="I327" t="str">
            <v>ARES1094B003</v>
          </cell>
          <cell r="J327" t="str">
            <v>39</v>
          </cell>
          <cell r="K327" t="str">
            <v>SHIRT</v>
          </cell>
          <cell r="L327" t="str">
            <v>NOD</v>
          </cell>
        </row>
        <row r="328">
          <cell r="C328" t="str">
            <v>ARES1094B</v>
          </cell>
          <cell r="D328" t="str">
            <v>CORE</v>
          </cell>
          <cell r="E328" t="str">
            <v>CO24</v>
          </cell>
          <cell r="F328">
            <v>4002</v>
          </cell>
          <cell r="G328" t="str">
            <v>AR</v>
          </cell>
          <cell r="H328" t="str">
            <v>ARRARMWSH</v>
          </cell>
          <cell r="I328" t="str">
            <v>ARES1094B004</v>
          </cell>
          <cell r="J328" t="str">
            <v>40</v>
          </cell>
          <cell r="K328" t="str">
            <v>SHIRT</v>
          </cell>
          <cell r="L328" t="str">
            <v>NOD</v>
          </cell>
        </row>
        <row r="329">
          <cell r="C329" t="str">
            <v>ARES1094B</v>
          </cell>
          <cell r="D329" t="str">
            <v>CORE</v>
          </cell>
          <cell r="E329" t="str">
            <v>CO24</v>
          </cell>
          <cell r="F329">
            <v>4002</v>
          </cell>
          <cell r="G329" t="str">
            <v>AR</v>
          </cell>
          <cell r="H329" t="str">
            <v>ARRARMWSH</v>
          </cell>
          <cell r="I329" t="str">
            <v>ARES1094B005</v>
          </cell>
          <cell r="J329" t="str">
            <v>42</v>
          </cell>
          <cell r="K329" t="str">
            <v>SHIRT</v>
          </cell>
          <cell r="L329" t="str">
            <v>NOD</v>
          </cell>
        </row>
        <row r="330">
          <cell r="C330" t="str">
            <v>ARES1094B</v>
          </cell>
          <cell r="D330" t="str">
            <v>CORE</v>
          </cell>
          <cell r="E330" t="str">
            <v>CO24</v>
          </cell>
          <cell r="F330">
            <v>4002</v>
          </cell>
          <cell r="G330" t="str">
            <v>AR</v>
          </cell>
          <cell r="H330" t="str">
            <v>ARRARMWSH</v>
          </cell>
          <cell r="I330" t="str">
            <v>ARES1094B006</v>
          </cell>
          <cell r="J330" t="str">
            <v>44</v>
          </cell>
          <cell r="K330" t="str">
            <v>SHIRT</v>
          </cell>
          <cell r="L330" t="str">
            <v>NOD</v>
          </cell>
        </row>
        <row r="331">
          <cell r="C331" t="str">
            <v>ARES1094B</v>
          </cell>
          <cell r="D331" t="str">
            <v>CORE</v>
          </cell>
          <cell r="E331" t="str">
            <v>CO24</v>
          </cell>
          <cell r="F331">
            <v>4213</v>
          </cell>
          <cell r="G331" t="str">
            <v>AR</v>
          </cell>
          <cell r="H331" t="str">
            <v>ARRARMWSH</v>
          </cell>
          <cell r="I331" t="str">
            <v>ARES1094B007</v>
          </cell>
          <cell r="J331" t="str">
            <v>46</v>
          </cell>
          <cell r="K331" t="str">
            <v>SHIRT</v>
          </cell>
          <cell r="L331" t="str">
            <v>NOD</v>
          </cell>
        </row>
        <row r="332">
          <cell r="C332" t="str">
            <v>ARES1094B</v>
          </cell>
          <cell r="D332" t="str">
            <v>CORE</v>
          </cell>
          <cell r="E332" t="str">
            <v>CO24</v>
          </cell>
          <cell r="F332">
            <v>4213</v>
          </cell>
          <cell r="G332" t="str">
            <v>AR</v>
          </cell>
          <cell r="H332" t="str">
            <v>ARRARMWSH</v>
          </cell>
          <cell r="I332" t="str">
            <v>ARES1094B008</v>
          </cell>
          <cell r="J332" t="str">
            <v>48</v>
          </cell>
          <cell r="K332" t="str">
            <v>SHIRT</v>
          </cell>
          <cell r="L332" t="str">
            <v>NOD</v>
          </cell>
        </row>
        <row r="333">
          <cell r="C333" t="str">
            <v>ARES1094B</v>
          </cell>
          <cell r="D333" t="str">
            <v>CORE</v>
          </cell>
          <cell r="E333" t="str">
            <v>CO24</v>
          </cell>
          <cell r="F333">
            <v>4213</v>
          </cell>
          <cell r="G333" t="str">
            <v>AR</v>
          </cell>
          <cell r="H333" t="str">
            <v>ARRARMWSH</v>
          </cell>
          <cell r="I333" t="str">
            <v>ARES1094B009</v>
          </cell>
          <cell r="J333" t="str">
            <v>50</v>
          </cell>
          <cell r="K333" t="str">
            <v>SHIRT</v>
          </cell>
          <cell r="L333" t="str">
            <v>NOD</v>
          </cell>
        </row>
        <row r="334">
          <cell r="C334" t="str">
            <v>ARES1094B</v>
          </cell>
          <cell r="D334" t="str">
            <v>CORE</v>
          </cell>
          <cell r="E334" t="str">
            <v>CO24</v>
          </cell>
          <cell r="F334">
            <v>4213</v>
          </cell>
          <cell r="G334" t="str">
            <v>AR</v>
          </cell>
          <cell r="H334" t="str">
            <v>ARRARMWSH</v>
          </cell>
          <cell r="I334" t="str">
            <v>ARES1094B010</v>
          </cell>
          <cell r="J334" t="str">
            <v>52</v>
          </cell>
          <cell r="K334" t="str">
            <v>SHIRT</v>
          </cell>
          <cell r="L334" t="str">
            <v>NOD</v>
          </cell>
        </row>
        <row r="335">
          <cell r="C335" t="str">
            <v>ARES1094G</v>
          </cell>
          <cell r="D335" t="str">
            <v>CORE</v>
          </cell>
          <cell r="E335" t="str">
            <v>CO26</v>
          </cell>
          <cell r="F335">
            <v>3999</v>
          </cell>
          <cell r="G335" t="str">
            <v>AR</v>
          </cell>
          <cell r="H335" t="str">
            <v>ARRARMWSH</v>
          </cell>
          <cell r="I335" t="str">
            <v>ARES1094G001</v>
          </cell>
          <cell r="J335" t="str">
            <v>36</v>
          </cell>
          <cell r="K335" t="str">
            <v>SHIRT</v>
          </cell>
          <cell r="L335" t="str">
            <v>NOD</v>
          </cell>
        </row>
        <row r="336">
          <cell r="C336" t="str">
            <v>ARES1094G</v>
          </cell>
          <cell r="D336" t="str">
            <v>CORE</v>
          </cell>
          <cell r="E336" t="str">
            <v>CO26</v>
          </cell>
          <cell r="F336">
            <v>3999</v>
          </cell>
          <cell r="G336" t="str">
            <v>AR</v>
          </cell>
          <cell r="H336" t="str">
            <v>ARRARMWSH</v>
          </cell>
          <cell r="I336" t="str">
            <v>ARES1094G002</v>
          </cell>
          <cell r="J336" t="str">
            <v>38</v>
          </cell>
          <cell r="K336" t="str">
            <v>SHIRT</v>
          </cell>
          <cell r="L336" t="str">
            <v>NOD</v>
          </cell>
        </row>
        <row r="337">
          <cell r="C337" t="str">
            <v>ARES1094G</v>
          </cell>
          <cell r="D337" t="str">
            <v>CORE</v>
          </cell>
          <cell r="E337" t="str">
            <v>CO26</v>
          </cell>
          <cell r="F337">
            <v>3999</v>
          </cell>
          <cell r="G337" t="str">
            <v>AR</v>
          </cell>
          <cell r="H337" t="str">
            <v>ARRARMWSH</v>
          </cell>
          <cell r="I337" t="str">
            <v>ARES1094G003</v>
          </cell>
          <cell r="J337" t="str">
            <v>39</v>
          </cell>
          <cell r="K337" t="str">
            <v>SHIRT</v>
          </cell>
          <cell r="L337" t="str">
            <v>NOD</v>
          </cell>
        </row>
        <row r="338">
          <cell r="C338" t="str">
            <v>ARES1094G</v>
          </cell>
          <cell r="D338" t="str">
            <v>CORE</v>
          </cell>
          <cell r="E338" t="str">
            <v>CO26</v>
          </cell>
          <cell r="F338">
            <v>3999</v>
          </cell>
          <cell r="G338" t="str">
            <v>AR</v>
          </cell>
          <cell r="H338" t="str">
            <v>ARRARMWSH</v>
          </cell>
          <cell r="I338" t="str">
            <v>ARES1094G004</v>
          </cell>
          <cell r="J338" t="str">
            <v>40</v>
          </cell>
          <cell r="K338" t="str">
            <v>SHIRT</v>
          </cell>
          <cell r="L338" t="str">
            <v>NOD</v>
          </cell>
        </row>
        <row r="339">
          <cell r="C339" t="str">
            <v>ARES1094G</v>
          </cell>
          <cell r="D339" t="str">
            <v>CORE</v>
          </cell>
          <cell r="E339" t="str">
            <v>CO26</v>
          </cell>
          <cell r="F339">
            <v>3999</v>
          </cell>
          <cell r="G339" t="str">
            <v>AR</v>
          </cell>
          <cell r="H339" t="str">
            <v>ARRARMWSH</v>
          </cell>
          <cell r="I339" t="str">
            <v>ARES1094G005</v>
          </cell>
          <cell r="J339" t="str">
            <v>42</v>
          </cell>
          <cell r="K339" t="str">
            <v>SHIRT</v>
          </cell>
          <cell r="L339" t="str">
            <v>NOD</v>
          </cell>
        </row>
        <row r="340">
          <cell r="C340" t="str">
            <v>ARES1094G</v>
          </cell>
          <cell r="D340" t="str">
            <v>CORE</v>
          </cell>
          <cell r="E340" t="str">
            <v>CO26</v>
          </cell>
          <cell r="F340">
            <v>3999</v>
          </cell>
          <cell r="G340" t="str">
            <v>AR</v>
          </cell>
          <cell r="H340" t="str">
            <v>ARRARMWSH</v>
          </cell>
          <cell r="I340" t="str">
            <v>ARES1094G006</v>
          </cell>
          <cell r="J340" t="str">
            <v>44</v>
          </cell>
          <cell r="K340" t="str">
            <v>SHIRT</v>
          </cell>
          <cell r="L340" t="str">
            <v>NOD</v>
          </cell>
        </row>
        <row r="341">
          <cell r="C341" t="str">
            <v>ARES1094G</v>
          </cell>
          <cell r="D341" t="str">
            <v>CORE</v>
          </cell>
          <cell r="E341" t="str">
            <v>CO26</v>
          </cell>
          <cell r="F341">
            <v>4199</v>
          </cell>
          <cell r="G341" t="str">
            <v>AR</v>
          </cell>
          <cell r="H341" t="str">
            <v>ARRARMWSH</v>
          </cell>
          <cell r="I341" t="str">
            <v>ARES1094G007</v>
          </cell>
          <cell r="J341" t="str">
            <v>46</v>
          </cell>
          <cell r="K341" t="str">
            <v>SHIRT</v>
          </cell>
          <cell r="L341" t="str">
            <v>NOD</v>
          </cell>
        </row>
        <row r="342">
          <cell r="C342" t="str">
            <v>ARES1094G</v>
          </cell>
          <cell r="D342" t="str">
            <v>CORE</v>
          </cell>
          <cell r="E342" t="str">
            <v>CO26</v>
          </cell>
          <cell r="F342">
            <v>4199</v>
          </cell>
          <cell r="G342" t="str">
            <v>AR</v>
          </cell>
          <cell r="H342" t="str">
            <v>ARRARMWSH</v>
          </cell>
          <cell r="I342" t="str">
            <v>ARES1094G008</v>
          </cell>
          <cell r="J342" t="str">
            <v>48</v>
          </cell>
          <cell r="K342" t="str">
            <v>SHIRT</v>
          </cell>
          <cell r="L342" t="str">
            <v>NOD</v>
          </cell>
        </row>
        <row r="343">
          <cell r="C343" t="str">
            <v>ARES1094G</v>
          </cell>
          <cell r="D343" t="str">
            <v>CORE</v>
          </cell>
          <cell r="E343" t="str">
            <v>CO26</v>
          </cell>
          <cell r="F343">
            <v>4199</v>
          </cell>
          <cell r="G343" t="str">
            <v>AR</v>
          </cell>
          <cell r="H343" t="str">
            <v>ARRARMWSH</v>
          </cell>
          <cell r="I343" t="str">
            <v>ARES1094G009</v>
          </cell>
          <cell r="J343" t="str">
            <v>50</v>
          </cell>
          <cell r="K343" t="str">
            <v>SHIRT</v>
          </cell>
          <cell r="L343" t="str">
            <v>NOD</v>
          </cell>
        </row>
        <row r="344">
          <cell r="C344" t="str">
            <v>ARES1094G</v>
          </cell>
          <cell r="D344" t="str">
            <v>CORE</v>
          </cell>
          <cell r="E344" t="str">
            <v>CO26</v>
          </cell>
          <cell r="F344">
            <v>4199</v>
          </cell>
          <cell r="G344" t="str">
            <v>AR</v>
          </cell>
          <cell r="H344" t="str">
            <v>ARRARMWSH</v>
          </cell>
          <cell r="I344" t="str">
            <v>ARES1094G010</v>
          </cell>
          <cell r="J344" t="str">
            <v>52</v>
          </cell>
          <cell r="K344" t="str">
            <v>SHIRT</v>
          </cell>
          <cell r="L344" t="str">
            <v>NOD</v>
          </cell>
        </row>
        <row r="345">
          <cell r="C345" t="str">
            <v>ARES1095B</v>
          </cell>
          <cell r="D345" t="str">
            <v>CORE</v>
          </cell>
          <cell r="E345" t="str">
            <v>CO24</v>
          </cell>
          <cell r="F345">
            <v>4002</v>
          </cell>
          <cell r="G345" t="str">
            <v>AR</v>
          </cell>
          <cell r="H345" t="str">
            <v>ARRARMWSH</v>
          </cell>
          <cell r="I345" t="str">
            <v>ARES1095B001</v>
          </cell>
          <cell r="J345" t="str">
            <v>36</v>
          </cell>
          <cell r="K345" t="str">
            <v>SHIRT</v>
          </cell>
          <cell r="L345" t="str">
            <v>NOD</v>
          </cell>
        </row>
        <row r="346">
          <cell r="C346" t="str">
            <v>ARES1095B</v>
          </cell>
          <cell r="D346" t="str">
            <v>CORE</v>
          </cell>
          <cell r="E346" t="str">
            <v>CO24</v>
          </cell>
          <cell r="F346">
            <v>4002</v>
          </cell>
          <cell r="G346" t="str">
            <v>AR</v>
          </cell>
          <cell r="H346" t="str">
            <v>ARRARMWSH</v>
          </cell>
          <cell r="I346" t="str">
            <v>ARES1095B002</v>
          </cell>
          <cell r="J346" t="str">
            <v>38</v>
          </cell>
          <cell r="K346" t="str">
            <v>SHIRT</v>
          </cell>
          <cell r="L346" t="str">
            <v>NOD</v>
          </cell>
        </row>
        <row r="347">
          <cell r="C347" t="str">
            <v>ARES1095B</v>
          </cell>
          <cell r="D347" t="str">
            <v>CORE</v>
          </cell>
          <cell r="E347" t="str">
            <v>CO24</v>
          </cell>
          <cell r="F347">
            <v>4002</v>
          </cell>
          <cell r="G347" t="str">
            <v>AR</v>
          </cell>
          <cell r="H347" t="str">
            <v>ARRARMWSH</v>
          </cell>
          <cell r="I347" t="str">
            <v>ARES1095B003</v>
          </cell>
          <cell r="J347" t="str">
            <v>39</v>
          </cell>
          <cell r="K347" t="str">
            <v>SHIRT</v>
          </cell>
          <cell r="L347" t="str">
            <v>NOD</v>
          </cell>
        </row>
        <row r="348">
          <cell r="C348" t="str">
            <v>ARES1095B</v>
          </cell>
          <cell r="D348" t="str">
            <v>CORE</v>
          </cell>
          <cell r="E348" t="str">
            <v>CO24</v>
          </cell>
          <cell r="F348">
            <v>4002</v>
          </cell>
          <cell r="G348" t="str">
            <v>AR</v>
          </cell>
          <cell r="H348" t="str">
            <v>ARRARMWSH</v>
          </cell>
          <cell r="I348" t="str">
            <v>ARES1095B004</v>
          </cell>
          <cell r="J348" t="str">
            <v>40</v>
          </cell>
          <cell r="K348" t="str">
            <v>SHIRT</v>
          </cell>
          <cell r="L348" t="str">
            <v>NOD</v>
          </cell>
        </row>
        <row r="349">
          <cell r="C349" t="str">
            <v>ARES1095B</v>
          </cell>
          <cell r="D349" t="str">
            <v>CORE</v>
          </cell>
          <cell r="E349" t="str">
            <v>CO24</v>
          </cell>
          <cell r="F349">
            <v>4002</v>
          </cell>
          <cell r="G349" t="str">
            <v>AR</v>
          </cell>
          <cell r="H349" t="str">
            <v>ARRARMWSH</v>
          </cell>
          <cell r="I349" t="str">
            <v>ARES1095B005</v>
          </cell>
          <cell r="J349" t="str">
            <v>42</v>
          </cell>
          <cell r="K349" t="str">
            <v>SHIRT</v>
          </cell>
          <cell r="L349" t="str">
            <v>NOD</v>
          </cell>
        </row>
        <row r="350">
          <cell r="C350" t="str">
            <v>ARES1095B</v>
          </cell>
          <cell r="D350" t="str">
            <v>CORE</v>
          </cell>
          <cell r="E350" t="str">
            <v>CO24</v>
          </cell>
          <cell r="F350">
            <v>4002</v>
          </cell>
          <cell r="G350" t="str">
            <v>AR</v>
          </cell>
          <cell r="H350" t="str">
            <v>ARRARMWSH</v>
          </cell>
          <cell r="I350" t="str">
            <v>ARES1095B006</v>
          </cell>
          <cell r="J350" t="str">
            <v>44</v>
          </cell>
          <cell r="K350" t="str">
            <v>SHIRT</v>
          </cell>
          <cell r="L350" t="str">
            <v>NOD</v>
          </cell>
        </row>
        <row r="351">
          <cell r="C351" t="str">
            <v>ARES1095B</v>
          </cell>
          <cell r="D351" t="str">
            <v>CORE</v>
          </cell>
          <cell r="E351" t="str">
            <v>CO24</v>
          </cell>
          <cell r="F351">
            <v>4213</v>
          </cell>
          <cell r="G351" t="str">
            <v>AR</v>
          </cell>
          <cell r="H351" t="str">
            <v>ARRARMWSH</v>
          </cell>
          <cell r="I351" t="str">
            <v>ARES1095B007</v>
          </cell>
          <cell r="J351" t="str">
            <v>46</v>
          </cell>
          <cell r="K351" t="str">
            <v>SHIRT</v>
          </cell>
          <cell r="L351" t="str">
            <v>NOD</v>
          </cell>
        </row>
        <row r="352">
          <cell r="C352" t="str">
            <v>ARES1095B</v>
          </cell>
          <cell r="D352" t="str">
            <v>CORE</v>
          </cell>
          <cell r="E352" t="str">
            <v>CO24</v>
          </cell>
          <cell r="F352">
            <v>4213</v>
          </cell>
          <cell r="G352" t="str">
            <v>AR</v>
          </cell>
          <cell r="H352" t="str">
            <v>ARRARMWSH</v>
          </cell>
          <cell r="I352" t="str">
            <v>ARES1095B008</v>
          </cell>
          <cell r="J352" t="str">
            <v>48</v>
          </cell>
          <cell r="K352" t="str">
            <v>SHIRT</v>
          </cell>
          <cell r="L352" t="str">
            <v>NOD</v>
          </cell>
        </row>
        <row r="353">
          <cell r="C353" t="str">
            <v>ARES1095B</v>
          </cell>
          <cell r="D353" t="str">
            <v>CORE</v>
          </cell>
          <cell r="E353" t="str">
            <v>CO24</v>
          </cell>
          <cell r="F353">
            <v>4213</v>
          </cell>
          <cell r="G353" t="str">
            <v>AR</v>
          </cell>
          <cell r="H353" t="str">
            <v>ARRARMWSH</v>
          </cell>
          <cell r="I353" t="str">
            <v>ARES1095B009</v>
          </cell>
          <cell r="J353" t="str">
            <v>50</v>
          </cell>
          <cell r="K353" t="str">
            <v>SHIRT</v>
          </cell>
          <cell r="L353" t="str">
            <v>NOD</v>
          </cell>
        </row>
        <row r="354">
          <cell r="C354" t="str">
            <v>ARES1095B</v>
          </cell>
          <cell r="D354" t="str">
            <v>CORE</v>
          </cell>
          <cell r="E354" t="str">
            <v>CO24</v>
          </cell>
          <cell r="F354">
            <v>4213</v>
          </cell>
          <cell r="G354" t="str">
            <v>AR</v>
          </cell>
          <cell r="H354" t="str">
            <v>ARRARMWSH</v>
          </cell>
          <cell r="I354" t="str">
            <v>ARES1095B010</v>
          </cell>
          <cell r="J354" t="str">
            <v>52</v>
          </cell>
          <cell r="K354" t="str">
            <v>SHIRT</v>
          </cell>
          <cell r="L354" t="str">
            <v>NOD</v>
          </cell>
        </row>
        <row r="355">
          <cell r="C355" t="str">
            <v>ARES1095G</v>
          </cell>
          <cell r="D355" t="str">
            <v>CORE</v>
          </cell>
          <cell r="E355" t="str">
            <v>CO26</v>
          </cell>
          <cell r="F355">
            <v>3999</v>
          </cell>
          <cell r="G355" t="str">
            <v>AR</v>
          </cell>
          <cell r="H355" t="str">
            <v>ARRARMWSH</v>
          </cell>
          <cell r="I355" t="str">
            <v>ARES1095G001</v>
          </cell>
          <cell r="J355" t="str">
            <v>36</v>
          </cell>
          <cell r="K355" t="str">
            <v>SHIRT</v>
          </cell>
          <cell r="L355" t="str">
            <v>NOD</v>
          </cell>
        </row>
        <row r="356">
          <cell r="C356" t="str">
            <v>ARES1095G</v>
          </cell>
          <cell r="D356" t="str">
            <v>CORE</v>
          </cell>
          <cell r="E356" t="str">
            <v>CO26</v>
          </cell>
          <cell r="F356">
            <v>3999</v>
          </cell>
          <cell r="G356" t="str">
            <v>AR</v>
          </cell>
          <cell r="H356" t="str">
            <v>ARRARMWSH</v>
          </cell>
          <cell r="I356" t="str">
            <v>ARES1095G002</v>
          </cell>
          <cell r="J356" t="str">
            <v>38</v>
          </cell>
          <cell r="K356" t="str">
            <v>SHIRT</v>
          </cell>
          <cell r="L356" t="str">
            <v>NOD</v>
          </cell>
        </row>
        <row r="357">
          <cell r="C357" t="str">
            <v>ARES1095G</v>
          </cell>
          <cell r="D357" t="str">
            <v>CORE</v>
          </cell>
          <cell r="E357" t="str">
            <v>CO26</v>
          </cell>
          <cell r="F357">
            <v>3999</v>
          </cell>
          <cell r="G357" t="str">
            <v>AR</v>
          </cell>
          <cell r="H357" t="str">
            <v>ARRARMWSH</v>
          </cell>
          <cell r="I357" t="str">
            <v>ARES1095G003</v>
          </cell>
          <cell r="J357" t="str">
            <v>39</v>
          </cell>
          <cell r="K357" t="str">
            <v>SHIRT</v>
          </cell>
          <cell r="L357" t="str">
            <v>NOD</v>
          </cell>
        </row>
        <row r="358">
          <cell r="C358" t="str">
            <v>ARES1095G</v>
          </cell>
          <cell r="D358" t="str">
            <v>CORE</v>
          </cell>
          <cell r="E358" t="str">
            <v>CO26</v>
          </cell>
          <cell r="F358">
            <v>3999</v>
          </cell>
          <cell r="G358" t="str">
            <v>AR</v>
          </cell>
          <cell r="H358" t="str">
            <v>ARRARMWSH</v>
          </cell>
          <cell r="I358" t="str">
            <v>ARES1095G004</v>
          </cell>
          <cell r="J358" t="str">
            <v>40</v>
          </cell>
          <cell r="K358" t="str">
            <v>SHIRT</v>
          </cell>
          <cell r="L358" t="str">
            <v>NOD</v>
          </cell>
        </row>
        <row r="359">
          <cell r="C359" t="str">
            <v>ARES1095G</v>
          </cell>
          <cell r="D359" t="str">
            <v>CORE</v>
          </cell>
          <cell r="E359" t="str">
            <v>CO26</v>
          </cell>
          <cell r="F359">
            <v>3999</v>
          </cell>
          <cell r="G359" t="str">
            <v>AR</v>
          </cell>
          <cell r="H359" t="str">
            <v>ARRARMWSH</v>
          </cell>
          <cell r="I359" t="str">
            <v>ARES1095G005</v>
          </cell>
          <cell r="J359" t="str">
            <v>42</v>
          </cell>
          <cell r="K359" t="str">
            <v>SHIRT</v>
          </cell>
          <cell r="L359" t="str">
            <v>NOD</v>
          </cell>
        </row>
        <row r="360">
          <cell r="C360" t="str">
            <v>ARES1095G</v>
          </cell>
          <cell r="D360" t="str">
            <v>CORE</v>
          </cell>
          <cell r="E360" t="str">
            <v>CO26</v>
          </cell>
          <cell r="F360">
            <v>3999</v>
          </cell>
          <cell r="G360" t="str">
            <v>AR</v>
          </cell>
          <cell r="H360" t="str">
            <v>ARRARMWSH</v>
          </cell>
          <cell r="I360" t="str">
            <v>ARES1095G006</v>
          </cell>
          <cell r="J360" t="str">
            <v>44</v>
          </cell>
          <cell r="K360" t="str">
            <v>SHIRT</v>
          </cell>
          <cell r="L360" t="str">
            <v>NOD</v>
          </cell>
        </row>
        <row r="361">
          <cell r="C361" t="str">
            <v>ARES1095G</v>
          </cell>
          <cell r="D361" t="str">
            <v>CORE</v>
          </cell>
          <cell r="E361" t="str">
            <v>CO26</v>
          </cell>
          <cell r="F361">
            <v>4199</v>
          </cell>
          <cell r="G361" t="str">
            <v>AR</v>
          </cell>
          <cell r="H361" t="str">
            <v>ARRARMWSH</v>
          </cell>
          <cell r="I361" t="str">
            <v>ARES1095G007</v>
          </cell>
          <cell r="J361" t="str">
            <v>46</v>
          </cell>
          <cell r="K361" t="str">
            <v>SHIRT</v>
          </cell>
          <cell r="L361" t="str">
            <v>NOD</v>
          </cell>
        </row>
        <row r="362">
          <cell r="C362" t="str">
            <v>ARES1095G</v>
          </cell>
          <cell r="D362" t="str">
            <v>CORE</v>
          </cell>
          <cell r="E362" t="str">
            <v>CO26</v>
          </cell>
          <cell r="F362">
            <v>4199</v>
          </cell>
          <cell r="G362" t="str">
            <v>AR</v>
          </cell>
          <cell r="H362" t="str">
            <v>ARRARMWSH</v>
          </cell>
          <cell r="I362" t="str">
            <v>ARES1095G008</v>
          </cell>
          <cell r="J362" t="str">
            <v>48</v>
          </cell>
          <cell r="K362" t="str">
            <v>SHIRT</v>
          </cell>
          <cell r="L362" t="str">
            <v>NOD</v>
          </cell>
        </row>
        <row r="363">
          <cell r="C363" t="str">
            <v>ARES1095G</v>
          </cell>
          <cell r="D363" t="str">
            <v>CORE</v>
          </cell>
          <cell r="E363" t="str">
            <v>CO26</v>
          </cell>
          <cell r="F363">
            <v>4199</v>
          </cell>
          <cell r="G363" t="str">
            <v>AR</v>
          </cell>
          <cell r="H363" t="str">
            <v>ARRARMWSH</v>
          </cell>
          <cell r="I363" t="str">
            <v>ARES1095G009</v>
          </cell>
          <cell r="J363" t="str">
            <v>50</v>
          </cell>
          <cell r="K363" t="str">
            <v>SHIRT</v>
          </cell>
          <cell r="L363" t="str">
            <v>NOD</v>
          </cell>
        </row>
        <row r="364">
          <cell r="C364" t="str">
            <v>ARES1095G</v>
          </cell>
          <cell r="D364" t="str">
            <v>CORE</v>
          </cell>
          <cell r="E364" t="str">
            <v>CO26</v>
          </cell>
          <cell r="F364">
            <v>4199</v>
          </cell>
          <cell r="G364" t="str">
            <v>AR</v>
          </cell>
          <cell r="H364" t="str">
            <v>ARRARMWSH</v>
          </cell>
          <cell r="I364" t="str">
            <v>ARES1095G010</v>
          </cell>
          <cell r="J364" t="str">
            <v>52</v>
          </cell>
          <cell r="K364" t="str">
            <v>SHIRT</v>
          </cell>
          <cell r="L364" t="str">
            <v>NOD</v>
          </cell>
        </row>
        <row r="365">
          <cell r="C365" t="str">
            <v>ARES1112B</v>
          </cell>
          <cell r="D365" t="str">
            <v>CORE</v>
          </cell>
          <cell r="E365" t="str">
            <v>CO26</v>
          </cell>
          <cell r="F365">
            <v>2499</v>
          </cell>
          <cell r="G365" t="str">
            <v>AR</v>
          </cell>
          <cell r="H365" t="str">
            <v>ARRARMWSH</v>
          </cell>
          <cell r="I365" t="str">
            <v>ARES1112B001</v>
          </cell>
          <cell r="J365" t="str">
            <v>36</v>
          </cell>
          <cell r="K365" t="str">
            <v>SHIRT</v>
          </cell>
          <cell r="L365" t="str">
            <v>NOD</v>
          </cell>
        </row>
        <row r="366">
          <cell r="C366" t="str">
            <v>ARES1112B</v>
          </cell>
          <cell r="D366" t="str">
            <v>CORE</v>
          </cell>
          <cell r="E366" t="str">
            <v>CO26</v>
          </cell>
          <cell r="F366">
            <v>2499</v>
          </cell>
          <cell r="G366" t="str">
            <v>AR</v>
          </cell>
          <cell r="H366" t="str">
            <v>ARRARMWSH</v>
          </cell>
          <cell r="I366" t="str">
            <v>ARES1112B002</v>
          </cell>
          <cell r="J366" t="str">
            <v>38</v>
          </cell>
          <cell r="K366" t="str">
            <v>SHIRT</v>
          </cell>
          <cell r="L366" t="str">
            <v>NOD</v>
          </cell>
        </row>
        <row r="367">
          <cell r="C367" t="str">
            <v>ARES1112B</v>
          </cell>
          <cell r="D367" t="str">
            <v>CORE</v>
          </cell>
          <cell r="E367" t="str">
            <v>CO26</v>
          </cell>
          <cell r="F367">
            <v>2499</v>
          </cell>
          <cell r="G367" t="str">
            <v>AR</v>
          </cell>
          <cell r="H367" t="str">
            <v>ARRARMWSH</v>
          </cell>
          <cell r="I367" t="str">
            <v>ARES1112B003</v>
          </cell>
          <cell r="J367" t="str">
            <v>39</v>
          </cell>
          <cell r="K367" t="str">
            <v>SHIRT</v>
          </cell>
          <cell r="L367" t="str">
            <v>NOD</v>
          </cell>
        </row>
        <row r="368">
          <cell r="C368" t="str">
            <v>ARES1112B</v>
          </cell>
          <cell r="D368" t="str">
            <v>CORE</v>
          </cell>
          <cell r="E368" t="str">
            <v>CO26</v>
          </cell>
          <cell r="F368">
            <v>2499</v>
          </cell>
          <cell r="G368" t="str">
            <v>AR</v>
          </cell>
          <cell r="H368" t="str">
            <v>ARRARMWSH</v>
          </cell>
          <cell r="I368" t="str">
            <v>ARES1112B004</v>
          </cell>
          <cell r="J368" t="str">
            <v>40</v>
          </cell>
          <cell r="K368" t="str">
            <v>SHIRT</v>
          </cell>
          <cell r="L368" t="str">
            <v>NOD</v>
          </cell>
        </row>
        <row r="369">
          <cell r="C369" t="str">
            <v>ARES1112B</v>
          </cell>
          <cell r="D369" t="str">
            <v>CORE</v>
          </cell>
          <cell r="E369" t="str">
            <v>CO26</v>
          </cell>
          <cell r="F369">
            <v>2499</v>
          </cell>
          <cell r="G369" t="str">
            <v>AR</v>
          </cell>
          <cell r="H369" t="str">
            <v>ARRARMWSH</v>
          </cell>
          <cell r="I369" t="str">
            <v>ARES1112B005</v>
          </cell>
          <cell r="J369" t="str">
            <v>42</v>
          </cell>
          <cell r="K369" t="str">
            <v>SHIRT</v>
          </cell>
          <cell r="L369" t="str">
            <v>NOD</v>
          </cell>
        </row>
        <row r="370">
          <cell r="C370" t="str">
            <v>ARES1112B</v>
          </cell>
          <cell r="D370" t="str">
            <v>CORE</v>
          </cell>
          <cell r="E370" t="str">
            <v>CO26</v>
          </cell>
          <cell r="F370">
            <v>2499</v>
          </cell>
          <cell r="G370" t="str">
            <v>AR</v>
          </cell>
          <cell r="H370" t="str">
            <v>ARRARMWSH</v>
          </cell>
          <cell r="I370" t="str">
            <v>ARES1112B006</v>
          </cell>
          <cell r="J370" t="str">
            <v>44</v>
          </cell>
          <cell r="K370" t="str">
            <v>SHIRT</v>
          </cell>
          <cell r="L370" t="str">
            <v>NOD</v>
          </cell>
        </row>
        <row r="371">
          <cell r="C371" t="str">
            <v>ARES1112B</v>
          </cell>
          <cell r="D371" t="str">
            <v>CORE</v>
          </cell>
          <cell r="E371" t="str">
            <v>CO26</v>
          </cell>
          <cell r="F371">
            <v>2699</v>
          </cell>
          <cell r="G371" t="str">
            <v>AR</v>
          </cell>
          <cell r="H371" t="str">
            <v>ARRARMWSH</v>
          </cell>
          <cell r="I371" t="str">
            <v>ARES1112B007</v>
          </cell>
          <cell r="J371" t="str">
            <v>46</v>
          </cell>
          <cell r="K371" t="str">
            <v>SHIRT</v>
          </cell>
          <cell r="L371" t="str">
            <v>NOD</v>
          </cell>
        </row>
        <row r="372">
          <cell r="C372" t="str">
            <v>ARES1112B</v>
          </cell>
          <cell r="D372" t="str">
            <v>CORE</v>
          </cell>
          <cell r="E372" t="str">
            <v>CO26</v>
          </cell>
          <cell r="F372">
            <v>2699</v>
          </cell>
          <cell r="G372" t="str">
            <v>AR</v>
          </cell>
          <cell r="H372" t="str">
            <v>ARRARMWSH</v>
          </cell>
          <cell r="I372" t="str">
            <v>ARES1112B008</v>
          </cell>
          <cell r="J372" t="str">
            <v>48</v>
          </cell>
          <cell r="K372" t="str">
            <v>SHIRT</v>
          </cell>
          <cell r="L372" t="str">
            <v>NOD</v>
          </cell>
        </row>
        <row r="373">
          <cell r="C373" t="str">
            <v>ARES1112B</v>
          </cell>
          <cell r="D373" t="str">
            <v>CORE</v>
          </cell>
          <cell r="E373" t="str">
            <v>CO26</v>
          </cell>
          <cell r="F373">
            <v>2699</v>
          </cell>
          <cell r="G373" t="str">
            <v>AR</v>
          </cell>
          <cell r="H373" t="str">
            <v>ARRARMWSH</v>
          </cell>
          <cell r="I373" t="str">
            <v>ARES1112B009</v>
          </cell>
          <cell r="J373" t="str">
            <v>50</v>
          </cell>
          <cell r="K373" t="str">
            <v>SHIRT</v>
          </cell>
          <cell r="L373" t="str">
            <v>NOD</v>
          </cell>
        </row>
        <row r="374">
          <cell r="C374" t="str">
            <v>ARES1112B</v>
          </cell>
          <cell r="D374" t="str">
            <v>CORE</v>
          </cell>
          <cell r="E374" t="str">
            <v>CO26</v>
          </cell>
          <cell r="F374">
            <v>2699</v>
          </cell>
          <cell r="G374" t="str">
            <v>AR</v>
          </cell>
          <cell r="H374" t="str">
            <v>ARRARMWSH</v>
          </cell>
          <cell r="I374" t="str">
            <v>ARES1112B010</v>
          </cell>
          <cell r="J374" t="str">
            <v>52</v>
          </cell>
          <cell r="K374" t="str">
            <v>SHIRT</v>
          </cell>
          <cell r="L374" t="str">
            <v>NOD</v>
          </cell>
        </row>
        <row r="375">
          <cell r="C375" t="str">
            <v>ARES1141</v>
          </cell>
          <cell r="D375" t="str">
            <v>CORE</v>
          </cell>
          <cell r="E375" t="str">
            <v>CO25</v>
          </cell>
          <cell r="F375">
            <v>3159</v>
          </cell>
          <cell r="G375" t="str">
            <v>AR</v>
          </cell>
          <cell r="H375" t="str">
            <v>ARRARMWSH</v>
          </cell>
          <cell r="I375" t="str">
            <v>ARES1141001</v>
          </cell>
          <cell r="J375" t="str">
            <v>36</v>
          </cell>
          <cell r="K375" t="str">
            <v>SHIRT</v>
          </cell>
          <cell r="L375" t="str">
            <v>NOD</v>
          </cell>
        </row>
        <row r="376">
          <cell r="C376" t="str">
            <v>ARES1141</v>
          </cell>
          <cell r="D376" t="str">
            <v>CORE</v>
          </cell>
          <cell r="E376" t="str">
            <v>CO25</v>
          </cell>
          <cell r="F376">
            <v>3159</v>
          </cell>
          <cell r="G376" t="str">
            <v>AR</v>
          </cell>
          <cell r="H376" t="str">
            <v>ARRARMWSH</v>
          </cell>
          <cell r="I376" t="str">
            <v>ARES1141002</v>
          </cell>
          <cell r="J376" t="str">
            <v>38</v>
          </cell>
          <cell r="K376" t="str">
            <v>SHIRT</v>
          </cell>
          <cell r="L376" t="str">
            <v>NOD</v>
          </cell>
        </row>
        <row r="377">
          <cell r="C377" t="str">
            <v>ARES1141</v>
          </cell>
          <cell r="D377" t="str">
            <v>CORE</v>
          </cell>
          <cell r="E377" t="str">
            <v>CO25</v>
          </cell>
          <cell r="F377">
            <v>3159</v>
          </cell>
          <cell r="G377" t="str">
            <v>AR</v>
          </cell>
          <cell r="H377" t="str">
            <v>ARRARMWSH</v>
          </cell>
          <cell r="I377" t="str">
            <v>ARES1141003</v>
          </cell>
          <cell r="J377" t="str">
            <v>39</v>
          </cell>
          <cell r="K377" t="str">
            <v>SHIRT</v>
          </cell>
          <cell r="L377" t="str">
            <v>NOD</v>
          </cell>
        </row>
        <row r="378">
          <cell r="C378" t="str">
            <v>ARES1141</v>
          </cell>
          <cell r="D378" t="str">
            <v>CORE</v>
          </cell>
          <cell r="E378" t="str">
            <v>CO25</v>
          </cell>
          <cell r="F378">
            <v>3159</v>
          </cell>
          <cell r="G378" t="str">
            <v>AR</v>
          </cell>
          <cell r="H378" t="str">
            <v>ARRARMWSH</v>
          </cell>
          <cell r="I378" t="str">
            <v>ARES1141004</v>
          </cell>
          <cell r="J378" t="str">
            <v>40</v>
          </cell>
          <cell r="K378" t="str">
            <v>SHIRT</v>
          </cell>
          <cell r="L378" t="str">
            <v>NOD</v>
          </cell>
        </row>
        <row r="379">
          <cell r="C379" t="str">
            <v>ARES1141</v>
          </cell>
          <cell r="D379" t="str">
            <v>CORE</v>
          </cell>
          <cell r="E379" t="str">
            <v>CO25</v>
          </cell>
          <cell r="F379">
            <v>3159</v>
          </cell>
          <cell r="G379" t="str">
            <v>AR</v>
          </cell>
          <cell r="H379" t="str">
            <v>ARRARMWSH</v>
          </cell>
          <cell r="I379" t="str">
            <v>ARES1141005</v>
          </cell>
          <cell r="J379" t="str">
            <v>42</v>
          </cell>
          <cell r="K379" t="str">
            <v>SHIRT</v>
          </cell>
          <cell r="L379" t="str">
            <v>NOD</v>
          </cell>
        </row>
        <row r="380">
          <cell r="C380" t="str">
            <v>ARES1141</v>
          </cell>
          <cell r="D380" t="str">
            <v>CORE</v>
          </cell>
          <cell r="E380" t="str">
            <v>CO25</v>
          </cell>
          <cell r="F380">
            <v>3159</v>
          </cell>
          <cell r="G380" t="str">
            <v>AR</v>
          </cell>
          <cell r="H380" t="str">
            <v>ARRARMWSH</v>
          </cell>
          <cell r="I380" t="str">
            <v>ARES1141006</v>
          </cell>
          <cell r="J380" t="str">
            <v>44</v>
          </cell>
          <cell r="K380" t="str">
            <v>SHIRT</v>
          </cell>
          <cell r="L380" t="str">
            <v>NOD</v>
          </cell>
        </row>
        <row r="381">
          <cell r="C381" t="str">
            <v>ARES1141</v>
          </cell>
          <cell r="D381" t="str">
            <v>CORE</v>
          </cell>
          <cell r="E381" t="str">
            <v>CO25</v>
          </cell>
          <cell r="F381">
            <v>3370</v>
          </cell>
          <cell r="G381" t="str">
            <v>AR</v>
          </cell>
          <cell r="H381" t="str">
            <v>ARRARMWSH</v>
          </cell>
          <cell r="I381" t="str">
            <v>ARES1141007</v>
          </cell>
          <cell r="J381" t="str">
            <v>46</v>
          </cell>
          <cell r="K381" t="str">
            <v>SHIRT</v>
          </cell>
          <cell r="L381" t="str">
            <v>NOD</v>
          </cell>
        </row>
        <row r="382">
          <cell r="C382" t="str">
            <v>ARES1141</v>
          </cell>
          <cell r="D382" t="str">
            <v>CORE</v>
          </cell>
          <cell r="E382" t="str">
            <v>CO25</v>
          </cell>
          <cell r="F382">
            <v>3370</v>
          </cell>
          <cell r="G382" t="str">
            <v>AR</v>
          </cell>
          <cell r="H382" t="str">
            <v>ARRARMWSH</v>
          </cell>
          <cell r="I382" t="str">
            <v>ARES1141008</v>
          </cell>
          <cell r="J382" t="str">
            <v>48</v>
          </cell>
          <cell r="K382" t="str">
            <v>SHIRT</v>
          </cell>
          <cell r="L382" t="str">
            <v>NOD</v>
          </cell>
        </row>
        <row r="383">
          <cell r="C383" t="str">
            <v>ARES1141</v>
          </cell>
          <cell r="D383" t="str">
            <v>CORE</v>
          </cell>
          <cell r="E383" t="str">
            <v>CO25</v>
          </cell>
          <cell r="F383">
            <v>3370</v>
          </cell>
          <cell r="G383" t="str">
            <v>AR</v>
          </cell>
          <cell r="H383" t="str">
            <v>ARRARMWSH</v>
          </cell>
          <cell r="I383" t="str">
            <v>ARES1141009</v>
          </cell>
          <cell r="J383" t="str">
            <v>50</v>
          </cell>
          <cell r="K383" t="str">
            <v>SHIRT</v>
          </cell>
          <cell r="L383" t="str">
            <v>NOD</v>
          </cell>
        </row>
        <row r="384">
          <cell r="C384" t="str">
            <v>ARES1141</v>
          </cell>
          <cell r="D384" t="str">
            <v>CORE</v>
          </cell>
          <cell r="E384" t="str">
            <v>CO25</v>
          </cell>
          <cell r="F384">
            <v>3370</v>
          </cell>
          <cell r="G384" t="str">
            <v>AR</v>
          </cell>
          <cell r="H384" t="str">
            <v>ARRARMWSH</v>
          </cell>
          <cell r="I384" t="str">
            <v>ARES1141010</v>
          </cell>
          <cell r="J384" t="str">
            <v>52</v>
          </cell>
          <cell r="K384" t="str">
            <v>SHIRT</v>
          </cell>
          <cell r="L384" t="str">
            <v>NOD</v>
          </cell>
        </row>
        <row r="385">
          <cell r="C385" t="str">
            <v>ARES1141G</v>
          </cell>
          <cell r="D385" t="str">
            <v>CORE</v>
          </cell>
          <cell r="E385" t="str">
            <v>CO26</v>
          </cell>
          <cell r="F385">
            <v>3299</v>
          </cell>
          <cell r="G385" t="str">
            <v>AR</v>
          </cell>
          <cell r="H385" t="str">
            <v>ARRARMWSH</v>
          </cell>
          <cell r="I385" t="str">
            <v>ARES1141G001</v>
          </cell>
          <cell r="J385" t="str">
            <v>36</v>
          </cell>
          <cell r="K385" t="str">
            <v>SHIRT</v>
          </cell>
          <cell r="L385" t="str">
            <v>NOD</v>
          </cell>
        </row>
        <row r="386">
          <cell r="C386" t="str">
            <v>ARES1141G</v>
          </cell>
          <cell r="D386" t="str">
            <v>CORE</v>
          </cell>
          <cell r="E386" t="str">
            <v>CO26</v>
          </cell>
          <cell r="F386">
            <v>3299</v>
          </cell>
          <cell r="G386" t="str">
            <v>AR</v>
          </cell>
          <cell r="H386" t="str">
            <v>ARRARMWSH</v>
          </cell>
          <cell r="I386" t="str">
            <v>ARES1141G002</v>
          </cell>
          <cell r="J386" t="str">
            <v>38</v>
          </cell>
          <cell r="K386" t="str">
            <v>SHIRT</v>
          </cell>
          <cell r="L386" t="str">
            <v>NOD</v>
          </cell>
        </row>
        <row r="387">
          <cell r="C387" t="str">
            <v>ARES1141G</v>
          </cell>
          <cell r="D387" t="str">
            <v>CORE</v>
          </cell>
          <cell r="E387" t="str">
            <v>CO26</v>
          </cell>
          <cell r="F387">
            <v>3299</v>
          </cell>
          <cell r="G387" t="str">
            <v>AR</v>
          </cell>
          <cell r="H387" t="str">
            <v>ARRARMWSH</v>
          </cell>
          <cell r="I387" t="str">
            <v>ARES1141G003</v>
          </cell>
          <cell r="J387" t="str">
            <v>39</v>
          </cell>
          <cell r="K387" t="str">
            <v>SHIRT</v>
          </cell>
          <cell r="L387" t="str">
            <v>NOD</v>
          </cell>
        </row>
        <row r="388">
          <cell r="C388" t="str">
            <v>ARES1141G</v>
          </cell>
          <cell r="D388" t="str">
            <v>CORE</v>
          </cell>
          <cell r="E388" t="str">
            <v>CO26</v>
          </cell>
          <cell r="F388">
            <v>3299</v>
          </cell>
          <cell r="G388" t="str">
            <v>AR</v>
          </cell>
          <cell r="H388" t="str">
            <v>ARRARMWSH</v>
          </cell>
          <cell r="I388" t="str">
            <v>ARES1141G004</v>
          </cell>
          <cell r="J388" t="str">
            <v>40</v>
          </cell>
          <cell r="K388" t="str">
            <v>SHIRT</v>
          </cell>
          <cell r="L388" t="str">
            <v>NOD</v>
          </cell>
        </row>
        <row r="389">
          <cell r="C389" t="str">
            <v>ARES1141G</v>
          </cell>
          <cell r="D389" t="str">
            <v>CORE</v>
          </cell>
          <cell r="E389" t="str">
            <v>CO26</v>
          </cell>
          <cell r="F389">
            <v>3299</v>
          </cell>
          <cell r="G389" t="str">
            <v>AR</v>
          </cell>
          <cell r="H389" t="str">
            <v>ARRARMWSH</v>
          </cell>
          <cell r="I389" t="str">
            <v>ARES1141G005</v>
          </cell>
          <cell r="J389" t="str">
            <v>42</v>
          </cell>
          <cell r="K389" t="str">
            <v>SHIRT</v>
          </cell>
          <cell r="L389" t="str">
            <v>NOD</v>
          </cell>
        </row>
        <row r="390">
          <cell r="C390" t="str">
            <v>ARES1141G</v>
          </cell>
          <cell r="D390" t="str">
            <v>CORE</v>
          </cell>
          <cell r="E390" t="str">
            <v>CO26</v>
          </cell>
          <cell r="F390">
            <v>3299</v>
          </cell>
          <cell r="G390" t="str">
            <v>AR</v>
          </cell>
          <cell r="H390" t="str">
            <v>ARRARMWSH</v>
          </cell>
          <cell r="I390" t="str">
            <v>ARES1141G006</v>
          </cell>
          <cell r="J390" t="str">
            <v>44</v>
          </cell>
          <cell r="K390" t="str">
            <v>SHIRT</v>
          </cell>
          <cell r="L390" t="str">
            <v>NOD</v>
          </cell>
        </row>
        <row r="391">
          <cell r="C391" t="str">
            <v>ARES1141G</v>
          </cell>
          <cell r="D391" t="str">
            <v>CORE</v>
          </cell>
          <cell r="E391" t="str">
            <v>CO26</v>
          </cell>
          <cell r="F391">
            <v>3499</v>
          </cell>
          <cell r="G391" t="str">
            <v>AR</v>
          </cell>
          <cell r="H391" t="str">
            <v>ARRARMWSH</v>
          </cell>
          <cell r="I391" t="str">
            <v>ARES1141G007</v>
          </cell>
          <cell r="J391" t="str">
            <v>46</v>
          </cell>
          <cell r="K391" t="str">
            <v>SHIRT</v>
          </cell>
          <cell r="L391" t="str">
            <v>NOD</v>
          </cell>
        </row>
        <row r="392">
          <cell r="C392" t="str">
            <v>ARES1141G</v>
          </cell>
          <cell r="D392" t="str">
            <v>CORE</v>
          </cell>
          <cell r="E392" t="str">
            <v>CO26</v>
          </cell>
          <cell r="F392">
            <v>3499</v>
          </cell>
          <cell r="G392" t="str">
            <v>AR</v>
          </cell>
          <cell r="H392" t="str">
            <v>ARRARMWSH</v>
          </cell>
          <cell r="I392" t="str">
            <v>ARES1141G008</v>
          </cell>
          <cell r="J392" t="str">
            <v>48</v>
          </cell>
          <cell r="K392" t="str">
            <v>SHIRT</v>
          </cell>
          <cell r="L392" t="str">
            <v>NOD</v>
          </cell>
        </row>
        <row r="393">
          <cell r="C393" t="str">
            <v>ARES1141G</v>
          </cell>
          <cell r="D393" t="str">
            <v>CORE</v>
          </cell>
          <cell r="E393" t="str">
            <v>CO26</v>
          </cell>
          <cell r="F393">
            <v>3499</v>
          </cell>
          <cell r="G393" t="str">
            <v>AR</v>
          </cell>
          <cell r="H393" t="str">
            <v>ARRARMWSH</v>
          </cell>
          <cell r="I393" t="str">
            <v>ARES1141G009</v>
          </cell>
          <cell r="J393" t="str">
            <v>50</v>
          </cell>
          <cell r="K393" t="str">
            <v>SHIRT</v>
          </cell>
          <cell r="L393" t="str">
            <v>NOD</v>
          </cell>
        </row>
        <row r="394">
          <cell r="C394" t="str">
            <v>ARES1141G</v>
          </cell>
          <cell r="D394" t="str">
            <v>CORE</v>
          </cell>
          <cell r="E394" t="str">
            <v>CO26</v>
          </cell>
          <cell r="F394">
            <v>3499</v>
          </cell>
          <cell r="G394" t="str">
            <v>AR</v>
          </cell>
          <cell r="H394" t="str">
            <v>ARRARMWSH</v>
          </cell>
          <cell r="I394" t="str">
            <v>ARES1141G010</v>
          </cell>
          <cell r="J394" t="str">
            <v>52</v>
          </cell>
          <cell r="K394" t="str">
            <v>SHIRT</v>
          </cell>
          <cell r="L394" t="str">
            <v>NOD</v>
          </cell>
        </row>
        <row r="395">
          <cell r="C395" t="str">
            <v>ARES1142</v>
          </cell>
          <cell r="D395" t="str">
            <v>CORE</v>
          </cell>
          <cell r="E395" t="str">
            <v>CO25</v>
          </cell>
          <cell r="F395">
            <v>3159</v>
          </cell>
          <cell r="G395" t="str">
            <v>AR</v>
          </cell>
          <cell r="H395" t="str">
            <v>ARRARMWSH</v>
          </cell>
          <cell r="I395" t="str">
            <v>ARES1142001</v>
          </cell>
          <cell r="J395" t="str">
            <v>36</v>
          </cell>
          <cell r="K395" t="str">
            <v>SHIRT</v>
          </cell>
          <cell r="L395" t="str">
            <v>NOD</v>
          </cell>
        </row>
        <row r="396">
          <cell r="C396" t="str">
            <v>ARES1142</v>
          </cell>
          <cell r="D396" t="str">
            <v>CORE</v>
          </cell>
          <cell r="E396" t="str">
            <v>CO25</v>
          </cell>
          <cell r="F396">
            <v>3159</v>
          </cell>
          <cell r="G396" t="str">
            <v>AR</v>
          </cell>
          <cell r="H396" t="str">
            <v>ARRARMWSH</v>
          </cell>
          <cell r="I396" t="str">
            <v>ARES1142002</v>
          </cell>
          <cell r="J396" t="str">
            <v>38</v>
          </cell>
          <cell r="K396" t="str">
            <v>SHIRT</v>
          </cell>
          <cell r="L396" t="str">
            <v>NOD</v>
          </cell>
        </row>
        <row r="397">
          <cell r="C397" t="str">
            <v>ARES1142</v>
          </cell>
          <cell r="D397" t="str">
            <v>CORE</v>
          </cell>
          <cell r="E397" t="str">
            <v>CO25</v>
          </cell>
          <cell r="F397">
            <v>3159</v>
          </cell>
          <cell r="G397" t="str">
            <v>AR</v>
          </cell>
          <cell r="H397" t="str">
            <v>ARRARMWSH</v>
          </cell>
          <cell r="I397" t="str">
            <v>ARES1142003</v>
          </cell>
          <cell r="J397" t="str">
            <v>39</v>
          </cell>
          <cell r="K397" t="str">
            <v>SHIRT</v>
          </cell>
          <cell r="L397" t="str">
            <v>NOD</v>
          </cell>
        </row>
        <row r="398">
          <cell r="C398" t="str">
            <v>ARES1142</v>
          </cell>
          <cell r="D398" t="str">
            <v>CORE</v>
          </cell>
          <cell r="E398" t="str">
            <v>CO25</v>
          </cell>
          <cell r="F398">
            <v>3159</v>
          </cell>
          <cell r="G398" t="str">
            <v>AR</v>
          </cell>
          <cell r="H398" t="str">
            <v>ARRARMWSH</v>
          </cell>
          <cell r="I398" t="str">
            <v>ARES1142004</v>
          </cell>
          <cell r="J398" t="str">
            <v>40</v>
          </cell>
          <cell r="K398" t="str">
            <v>SHIRT</v>
          </cell>
          <cell r="L398" t="str">
            <v>NOD</v>
          </cell>
        </row>
        <row r="399">
          <cell r="C399" t="str">
            <v>ARES1142</v>
          </cell>
          <cell r="D399" t="str">
            <v>CORE</v>
          </cell>
          <cell r="E399" t="str">
            <v>CO25</v>
          </cell>
          <cell r="F399">
            <v>3159</v>
          </cell>
          <cell r="G399" t="str">
            <v>AR</v>
          </cell>
          <cell r="H399" t="str">
            <v>ARRARMWSH</v>
          </cell>
          <cell r="I399" t="str">
            <v>ARES1142005</v>
          </cell>
          <cell r="J399" t="str">
            <v>42</v>
          </cell>
          <cell r="K399" t="str">
            <v>SHIRT</v>
          </cell>
          <cell r="L399" t="str">
            <v>NOD</v>
          </cell>
        </row>
        <row r="400">
          <cell r="C400" t="str">
            <v>ARES1142</v>
          </cell>
          <cell r="D400" t="str">
            <v>CORE</v>
          </cell>
          <cell r="E400" t="str">
            <v>CO25</v>
          </cell>
          <cell r="F400">
            <v>3159</v>
          </cell>
          <cell r="G400" t="str">
            <v>AR</v>
          </cell>
          <cell r="H400" t="str">
            <v>ARRARMWSH</v>
          </cell>
          <cell r="I400" t="str">
            <v>ARES1142006</v>
          </cell>
          <cell r="J400" t="str">
            <v>44</v>
          </cell>
          <cell r="K400" t="str">
            <v>SHIRT</v>
          </cell>
          <cell r="L400" t="str">
            <v>NOD</v>
          </cell>
        </row>
        <row r="401">
          <cell r="C401" t="str">
            <v>ARES1142</v>
          </cell>
          <cell r="D401" t="str">
            <v>CORE</v>
          </cell>
          <cell r="E401" t="str">
            <v>CO25</v>
          </cell>
          <cell r="F401">
            <v>3370</v>
          </cell>
          <cell r="G401" t="str">
            <v>AR</v>
          </cell>
          <cell r="H401" t="str">
            <v>ARRARMWSH</v>
          </cell>
          <cell r="I401" t="str">
            <v>ARES1142007</v>
          </cell>
          <cell r="J401" t="str">
            <v>46</v>
          </cell>
          <cell r="K401" t="str">
            <v>SHIRT</v>
          </cell>
          <cell r="L401" t="str">
            <v>NOD</v>
          </cell>
        </row>
        <row r="402">
          <cell r="C402" t="str">
            <v>ARES1142</v>
          </cell>
          <cell r="D402" t="str">
            <v>CORE</v>
          </cell>
          <cell r="E402" t="str">
            <v>CO25</v>
          </cell>
          <cell r="F402">
            <v>3370</v>
          </cell>
          <cell r="G402" t="str">
            <v>AR</v>
          </cell>
          <cell r="H402" t="str">
            <v>ARRARMWSH</v>
          </cell>
          <cell r="I402" t="str">
            <v>ARES1142008</v>
          </cell>
          <cell r="J402" t="str">
            <v>48</v>
          </cell>
          <cell r="K402" t="str">
            <v>SHIRT</v>
          </cell>
          <cell r="L402" t="str">
            <v>NOD</v>
          </cell>
        </row>
        <row r="403">
          <cell r="C403" t="str">
            <v>ARES1142</v>
          </cell>
          <cell r="D403" t="str">
            <v>CORE</v>
          </cell>
          <cell r="E403" t="str">
            <v>CO25</v>
          </cell>
          <cell r="F403">
            <v>3370</v>
          </cell>
          <cell r="G403" t="str">
            <v>AR</v>
          </cell>
          <cell r="H403" t="str">
            <v>ARRARMWSH</v>
          </cell>
          <cell r="I403" t="str">
            <v>ARES1142009</v>
          </cell>
          <cell r="J403" t="str">
            <v>50</v>
          </cell>
          <cell r="K403" t="str">
            <v>SHIRT</v>
          </cell>
          <cell r="L403" t="str">
            <v>NOD</v>
          </cell>
        </row>
        <row r="404">
          <cell r="C404" t="str">
            <v>ARES1142</v>
          </cell>
          <cell r="D404" t="str">
            <v>CORE</v>
          </cell>
          <cell r="E404" t="str">
            <v>CO25</v>
          </cell>
          <cell r="F404">
            <v>3370</v>
          </cell>
          <cell r="G404" t="str">
            <v>AR</v>
          </cell>
          <cell r="H404" t="str">
            <v>ARRARMWSH</v>
          </cell>
          <cell r="I404" t="str">
            <v>ARES1142010</v>
          </cell>
          <cell r="J404" t="str">
            <v>52</v>
          </cell>
          <cell r="K404" t="str">
            <v>SHIRT</v>
          </cell>
          <cell r="L404" t="str">
            <v>NOD</v>
          </cell>
        </row>
        <row r="405">
          <cell r="C405" t="str">
            <v>ARES1142G</v>
          </cell>
          <cell r="D405" t="str">
            <v>CORE</v>
          </cell>
          <cell r="E405" t="str">
            <v>CO26</v>
          </cell>
          <cell r="F405">
            <v>3299</v>
          </cell>
          <cell r="G405" t="str">
            <v>AR</v>
          </cell>
          <cell r="H405" t="str">
            <v>ARRARMWSH</v>
          </cell>
          <cell r="I405" t="str">
            <v>ARES1142G001</v>
          </cell>
          <cell r="J405" t="str">
            <v>36</v>
          </cell>
          <cell r="K405" t="str">
            <v>SHIRT</v>
          </cell>
          <cell r="L405" t="str">
            <v>NOD</v>
          </cell>
        </row>
        <row r="406">
          <cell r="C406" t="str">
            <v>ARES1142G</v>
          </cell>
          <cell r="D406" t="str">
            <v>CORE</v>
          </cell>
          <cell r="E406" t="str">
            <v>CO26</v>
          </cell>
          <cell r="F406">
            <v>3299</v>
          </cell>
          <cell r="G406" t="str">
            <v>AR</v>
          </cell>
          <cell r="H406" t="str">
            <v>ARRARMWSH</v>
          </cell>
          <cell r="I406" t="str">
            <v>ARES1142G002</v>
          </cell>
          <cell r="J406" t="str">
            <v>38</v>
          </cell>
          <cell r="K406" t="str">
            <v>SHIRT</v>
          </cell>
          <cell r="L406" t="str">
            <v>NOD</v>
          </cell>
        </row>
        <row r="407">
          <cell r="C407" t="str">
            <v>ARES1142G</v>
          </cell>
          <cell r="D407" t="str">
            <v>CORE</v>
          </cell>
          <cell r="E407" t="str">
            <v>CO26</v>
          </cell>
          <cell r="F407">
            <v>3299</v>
          </cell>
          <cell r="G407" t="str">
            <v>AR</v>
          </cell>
          <cell r="H407" t="str">
            <v>ARRARMWSH</v>
          </cell>
          <cell r="I407" t="str">
            <v>ARES1142G003</v>
          </cell>
          <cell r="J407" t="str">
            <v>39</v>
          </cell>
          <cell r="K407" t="str">
            <v>SHIRT</v>
          </cell>
          <cell r="L407" t="str">
            <v>NOD</v>
          </cell>
        </row>
        <row r="408">
          <cell r="C408" t="str">
            <v>ARES1142G</v>
          </cell>
          <cell r="D408" t="str">
            <v>CORE</v>
          </cell>
          <cell r="E408" t="str">
            <v>CO26</v>
          </cell>
          <cell r="F408">
            <v>3299</v>
          </cell>
          <cell r="G408" t="str">
            <v>AR</v>
          </cell>
          <cell r="H408" t="str">
            <v>ARRARMWSH</v>
          </cell>
          <cell r="I408" t="str">
            <v>ARES1142G004</v>
          </cell>
          <cell r="J408" t="str">
            <v>40</v>
          </cell>
          <cell r="K408" t="str">
            <v>SHIRT</v>
          </cell>
          <cell r="L408" t="str">
            <v>NOD</v>
          </cell>
        </row>
        <row r="409">
          <cell r="C409" t="str">
            <v>ARES1142G</v>
          </cell>
          <cell r="D409" t="str">
            <v>CORE</v>
          </cell>
          <cell r="E409" t="str">
            <v>CO26</v>
          </cell>
          <cell r="F409">
            <v>3299</v>
          </cell>
          <cell r="G409" t="str">
            <v>AR</v>
          </cell>
          <cell r="H409" t="str">
            <v>ARRARMWSH</v>
          </cell>
          <cell r="I409" t="str">
            <v>ARES1142G005</v>
          </cell>
          <cell r="J409" t="str">
            <v>42</v>
          </cell>
          <cell r="K409" t="str">
            <v>SHIRT</v>
          </cell>
          <cell r="L409" t="str">
            <v>NOD</v>
          </cell>
        </row>
        <row r="410">
          <cell r="C410" t="str">
            <v>ARES1142G</v>
          </cell>
          <cell r="D410" t="str">
            <v>CORE</v>
          </cell>
          <cell r="E410" t="str">
            <v>CO26</v>
          </cell>
          <cell r="F410">
            <v>3299</v>
          </cell>
          <cell r="G410" t="str">
            <v>AR</v>
          </cell>
          <cell r="H410" t="str">
            <v>ARRARMWSH</v>
          </cell>
          <cell r="I410" t="str">
            <v>ARES1142G006</v>
          </cell>
          <cell r="J410" t="str">
            <v>44</v>
          </cell>
          <cell r="K410" t="str">
            <v>SHIRT</v>
          </cell>
          <cell r="L410" t="str">
            <v>NOD</v>
          </cell>
        </row>
        <row r="411">
          <cell r="C411" t="str">
            <v>ARES1142G</v>
          </cell>
          <cell r="D411" t="str">
            <v>CORE</v>
          </cell>
          <cell r="E411" t="str">
            <v>CO26</v>
          </cell>
          <cell r="F411">
            <v>3499</v>
          </cell>
          <cell r="G411" t="str">
            <v>AR</v>
          </cell>
          <cell r="H411" t="str">
            <v>ARRARMWSH</v>
          </cell>
          <cell r="I411" t="str">
            <v>ARES1142G007</v>
          </cell>
          <cell r="J411" t="str">
            <v>46</v>
          </cell>
          <cell r="K411" t="str">
            <v>SHIRT</v>
          </cell>
          <cell r="L411" t="str">
            <v>NOD</v>
          </cell>
        </row>
        <row r="412">
          <cell r="C412" t="str">
            <v>ARES1142G</v>
          </cell>
          <cell r="D412" t="str">
            <v>CORE</v>
          </cell>
          <cell r="E412" t="str">
            <v>CO26</v>
          </cell>
          <cell r="F412">
            <v>3499</v>
          </cell>
          <cell r="G412" t="str">
            <v>AR</v>
          </cell>
          <cell r="H412" t="str">
            <v>ARRARMWSH</v>
          </cell>
          <cell r="I412" t="str">
            <v>ARES1142G008</v>
          </cell>
          <cell r="J412" t="str">
            <v>48</v>
          </cell>
          <cell r="K412" t="str">
            <v>SHIRT</v>
          </cell>
          <cell r="L412" t="str">
            <v>NOD</v>
          </cell>
        </row>
        <row r="413">
          <cell r="C413" t="str">
            <v>ARES1142G</v>
          </cell>
          <cell r="D413" t="str">
            <v>CORE</v>
          </cell>
          <cell r="E413" t="str">
            <v>CO26</v>
          </cell>
          <cell r="F413">
            <v>3499</v>
          </cell>
          <cell r="G413" t="str">
            <v>AR</v>
          </cell>
          <cell r="H413" t="str">
            <v>ARRARMWSH</v>
          </cell>
          <cell r="I413" t="str">
            <v>ARES1142G009</v>
          </cell>
          <cell r="J413" t="str">
            <v>50</v>
          </cell>
          <cell r="K413" t="str">
            <v>SHIRT</v>
          </cell>
          <cell r="L413" t="str">
            <v>NOD</v>
          </cell>
        </row>
        <row r="414">
          <cell r="C414" t="str">
            <v>ARES1142G</v>
          </cell>
          <cell r="D414" t="str">
            <v>CORE</v>
          </cell>
          <cell r="E414" t="str">
            <v>CO26</v>
          </cell>
          <cell r="F414">
            <v>3499</v>
          </cell>
          <cell r="G414" t="str">
            <v>AR</v>
          </cell>
          <cell r="H414" t="str">
            <v>ARRARMWSH</v>
          </cell>
          <cell r="I414" t="str">
            <v>ARES1142G010</v>
          </cell>
          <cell r="J414" t="str">
            <v>52</v>
          </cell>
          <cell r="K414" t="str">
            <v>SHIRT</v>
          </cell>
          <cell r="L414" t="str">
            <v>NOD</v>
          </cell>
        </row>
        <row r="415">
          <cell r="C415" t="str">
            <v>ARES1143</v>
          </cell>
          <cell r="D415" t="str">
            <v>CORE</v>
          </cell>
          <cell r="E415" t="str">
            <v>CO25</v>
          </cell>
          <cell r="F415">
            <v>3159.66</v>
          </cell>
          <cell r="G415" t="str">
            <v>AR</v>
          </cell>
          <cell r="H415" t="str">
            <v>ARRARMWSH</v>
          </cell>
          <cell r="I415" t="str">
            <v>ARES1143001</v>
          </cell>
          <cell r="J415" t="str">
            <v>36</v>
          </cell>
          <cell r="K415" t="str">
            <v>SHIRT</v>
          </cell>
          <cell r="L415" t="str">
            <v>NOD</v>
          </cell>
        </row>
        <row r="416">
          <cell r="C416" t="str">
            <v>ARES1143</v>
          </cell>
          <cell r="D416" t="str">
            <v>CORE</v>
          </cell>
          <cell r="E416" t="str">
            <v>CO25</v>
          </cell>
          <cell r="F416">
            <v>3159.66</v>
          </cell>
          <cell r="G416" t="str">
            <v>AR</v>
          </cell>
          <cell r="H416" t="str">
            <v>ARRARMWSH</v>
          </cell>
          <cell r="I416" t="str">
            <v>ARES1143002</v>
          </cell>
          <cell r="J416" t="str">
            <v>38</v>
          </cell>
          <cell r="K416" t="str">
            <v>SHIRT</v>
          </cell>
          <cell r="L416" t="str">
            <v>NOD</v>
          </cell>
        </row>
        <row r="417">
          <cell r="C417" t="str">
            <v>ARES1143</v>
          </cell>
          <cell r="D417" t="str">
            <v>CORE</v>
          </cell>
          <cell r="E417" t="str">
            <v>CO25</v>
          </cell>
          <cell r="F417">
            <v>3159.66</v>
          </cell>
          <cell r="G417" t="str">
            <v>AR</v>
          </cell>
          <cell r="H417" t="str">
            <v>ARRARMWSH</v>
          </cell>
          <cell r="I417" t="str">
            <v>ARES1143003</v>
          </cell>
          <cell r="J417" t="str">
            <v>39</v>
          </cell>
          <cell r="K417" t="str">
            <v>SHIRT</v>
          </cell>
          <cell r="L417" t="str">
            <v>NOD</v>
          </cell>
        </row>
        <row r="418">
          <cell r="C418" t="str">
            <v>ARES1143</v>
          </cell>
          <cell r="D418" t="str">
            <v>CORE</v>
          </cell>
          <cell r="E418" t="str">
            <v>CO25</v>
          </cell>
          <cell r="F418">
            <v>3159.66</v>
          </cell>
          <cell r="G418" t="str">
            <v>AR</v>
          </cell>
          <cell r="H418" t="str">
            <v>ARRARMWSH</v>
          </cell>
          <cell r="I418" t="str">
            <v>ARES1143004</v>
          </cell>
          <cell r="J418" t="str">
            <v>40</v>
          </cell>
          <cell r="K418" t="str">
            <v>SHIRT</v>
          </cell>
          <cell r="L418" t="str">
            <v>NOD</v>
          </cell>
        </row>
        <row r="419">
          <cell r="C419" t="str">
            <v>ARES1143</v>
          </cell>
          <cell r="D419" t="str">
            <v>CORE</v>
          </cell>
          <cell r="E419" t="str">
            <v>CO25</v>
          </cell>
          <cell r="F419">
            <v>3159.66</v>
          </cell>
          <cell r="G419" t="str">
            <v>AR</v>
          </cell>
          <cell r="H419" t="str">
            <v>ARRARMWSH</v>
          </cell>
          <cell r="I419" t="str">
            <v>ARES1143005</v>
          </cell>
          <cell r="J419" t="str">
            <v>42</v>
          </cell>
          <cell r="K419" t="str">
            <v>SHIRT</v>
          </cell>
          <cell r="L419" t="str">
            <v>NOD</v>
          </cell>
        </row>
        <row r="420">
          <cell r="C420" t="str">
            <v>ARES1143</v>
          </cell>
          <cell r="D420" t="str">
            <v>CORE</v>
          </cell>
          <cell r="E420" t="str">
            <v>CO25</v>
          </cell>
          <cell r="F420">
            <v>3159.66</v>
          </cell>
          <cell r="G420" t="str">
            <v>AR</v>
          </cell>
          <cell r="H420" t="str">
            <v>ARRARMWSH</v>
          </cell>
          <cell r="I420" t="str">
            <v>ARES1143006</v>
          </cell>
          <cell r="J420" t="str">
            <v>44</v>
          </cell>
          <cell r="K420" t="str">
            <v>SHIRT</v>
          </cell>
          <cell r="L420" t="str">
            <v>NOD</v>
          </cell>
        </row>
        <row r="421">
          <cell r="C421" t="str">
            <v>ARES1143</v>
          </cell>
          <cell r="D421" t="str">
            <v>CORE</v>
          </cell>
          <cell r="E421" t="str">
            <v>CO25</v>
          </cell>
          <cell r="F421">
            <v>3370.38</v>
          </cell>
          <cell r="G421" t="str">
            <v>AR</v>
          </cell>
          <cell r="H421" t="str">
            <v>ARRARMWSH</v>
          </cell>
          <cell r="I421" t="str">
            <v>ARES1143007</v>
          </cell>
          <cell r="J421" t="str">
            <v>46</v>
          </cell>
          <cell r="K421" t="str">
            <v>SHIRT</v>
          </cell>
          <cell r="L421" t="str">
            <v>NOD</v>
          </cell>
        </row>
        <row r="422">
          <cell r="C422" t="str">
            <v>ARES1143</v>
          </cell>
          <cell r="D422" t="str">
            <v>CORE</v>
          </cell>
          <cell r="E422" t="str">
            <v>CO25</v>
          </cell>
          <cell r="F422">
            <v>3370.38</v>
          </cell>
          <cell r="G422" t="str">
            <v>AR</v>
          </cell>
          <cell r="H422" t="str">
            <v>ARRARMWSH</v>
          </cell>
          <cell r="I422" t="str">
            <v>ARES1143008</v>
          </cell>
          <cell r="J422" t="str">
            <v>48</v>
          </cell>
          <cell r="K422" t="str">
            <v>SHIRT</v>
          </cell>
          <cell r="L422" t="str">
            <v>NOD</v>
          </cell>
        </row>
        <row r="423">
          <cell r="C423" t="str">
            <v>ARES1143</v>
          </cell>
          <cell r="D423" t="str">
            <v>CORE</v>
          </cell>
          <cell r="E423" t="str">
            <v>CO25</v>
          </cell>
          <cell r="F423">
            <v>3370.38</v>
          </cell>
          <cell r="G423" t="str">
            <v>AR</v>
          </cell>
          <cell r="H423" t="str">
            <v>ARRARMWSH</v>
          </cell>
          <cell r="I423" t="str">
            <v>ARES1143009</v>
          </cell>
          <cell r="J423" t="str">
            <v>50</v>
          </cell>
          <cell r="K423" t="str">
            <v>SHIRT</v>
          </cell>
          <cell r="L423" t="str">
            <v>NOD</v>
          </cell>
        </row>
        <row r="424">
          <cell r="C424" t="str">
            <v>ARES1143</v>
          </cell>
          <cell r="D424" t="str">
            <v>CORE</v>
          </cell>
          <cell r="E424" t="str">
            <v>CO25</v>
          </cell>
          <cell r="F424">
            <v>3370.38</v>
          </cell>
          <cell r="G424" t="str">
            <v>AR</v>
          </cell>
          <cell r="H424" t="str">
            <v>ARRARMWSH</v>
          </cell>
          <cell r="I424" t="str">
            <v>ARES1143010</v>
          </cell>
          <cell r="J424" t="str">
            <v>52</v>
          </cell>
          <cell r="K424" t="str">
            <v>SHIRT</v>
          </cell>
          <cell r="L424" t="str">
            <v>NOD</v>
          </cell>
        </row>
        <row r="425">
          <cell r="C425" t="str">
            <v>ARES1143G</v>
          </cell>
          <cell r="D425" t="str">
            <v>CORE</v>
          </cell>
          <cell r="E425" t="str">
            <v>CO26</v>
          </cell>
          <cell r="F425">
            <v>3299</v>
          </cell>
          <cell r="G425" t="str">
            <v>AR</v>
          </cell>
          <cell r="H425" t="str">
            <v>ARRARMWSH</v>
          </cell>
          <cell r="I425" t="str">
            <v>ARES1143G001</v>
          </cell>
          <cell r="J425" t="str">
            <v>36</v>
          </cell>
          <cell r="K425" t="str">
            <v>SHIRT</v>
          </cell>
          <cell r="L425" t="str">
            <v>NOD</v>
          </cell>
        </row>
        <row r="426">
          <cell r="C426" t="str">
            <v>ARES1143G</v>
          </cell>
          <cell r="D426" t="str">
            <v>CORE</v>
          </cell>
          <cell r="E426" t="str">
            <v>CO26</v>
          </cell>
          <cell r="F426">
            <v>3299</v>
          </cell>
          <cell r="G426" t="str">
            <v>AR</v>
          </cell>
          <cell r="H426" t="str">
            <v>ARRARMWSH</v>
          </cell>
          <cell r="I426" t="str">
            <v>ARES1143G002</v>
          </cell>
          <cell r="J426" t="str">
            <v>38</v>
          </cell>
          <cell r="K426" t="str">
            <v>SHIRT</v>
          </cell>
          <cell r="L426" t="str">
            <v>NOD</v>
          </cell>
        </row>
        <row r="427">
          <cell r="C427" t="str">
            <v>ARES1143G</v>
          </cell>
          <cell r="D427" t="str">
            <v>CORE</v>
          </cell>
          <cell r="E427" t="str">
            <v>CO26</v>
          </cell>
          <cell r="F427">
            <v>3299</v>
          </cell>
          <cell r="G427" t="str">
            <v>AR</v>
          </cell>
          <cell r="H427" t="str">
            <v>ARRARMWSH</v>
          </cell>
          <cell r="I427" t="str">
            <v>ARES1143G003</v>
          </cell>
          <cell r="J427" t="str">
            <v>39</v>
          </cell>
          <cell r="K427" t="str">
            <v>SHIRT</v>
          </cell>
          <cell r="L427" t="str">
            <v>NOD</v>
          </cell>
        </row>
        <row r="428">
          <cell r="C428" t="str">
            <v>ARES1143G</v>
          </cell>
          <cell r="D428" t="str">
            <v>CORE</v>
          </cell>
          <cell r="E428" t="str">
            <v>CO26</v>
          </cell>
          <cell r="F428">
            <v>3299</v>
          </cell>
          <cell r="G428" t="str">
            <v>AR</v>
          </cell>
          <cell r="H428" t="str">
            <v>ARRARMWSH</v>
          </cell>
          <cell r="I428" t="str">
            <v>ARES1143G004</v>
          </cell>
          <cell r="J428" t="str">
            <v>40</v>
          </cell>
          <cell r="K428" t="str">
            <v>SHIRT</v>
          </cell>
          <cell r="L428" t="str">
            <v>NOD</v>
          </cell>
        </row>
        <row r="429">
          <cell r="C429" t="str">
            <v>ARES1143G</v>
          </cell>
          <cell r="D429" t="str">
            <v>CORE</v>
          </cell>
          <cell r="E429" t="str">
            <v>CO26</v>
          </cell>
          <cell r="F429">
            <v>3299</v>
          </cell>
          <cell r="G429" t="str">
            <v>AR</v>
          </cell>
          <cell r="H429" t="str">
            <v>ARRARMWSH</v>
          </cell>
          <cell r="I429" t="str">
            <v>ARES1143G005</v>
          </cell>
          <cell r="J429" t="str">
            <v>42</v>
          </cell>
          <cell r="K429" t="str">
            <v>SHIRT</v>
          </cell>
          <cell r="L429" t="str">
            <v>NOD</v>
          </cell>
        </row>
        <row r="430">
          <cell r="C430" t="str">
            <v>ARES1143G</v>
          </cell>
          <cell r="D430" t="str">
            <v>CORE</v>
          </cell>
          <cell r="E430" t="str">
            <v>CO26</v>
          </cell>
          <cell r="F430">
            <v>3299</v>
          </cell>
          <cell r="G430" t="str">
            <v>AR</v>
          </cell>
          <cell r="H430" t="str">
            <v>ARRARMWSH</v>
          </cell>
          <cell r="I430" t="str">
            <v>ARES1143G006</v>
          </cell>
          <cell r="J430" t="str">
            <v>44</v>
          </cell>
          <cell r="K430" t="str">
            <v>SHIRT</v>
          </cell>
          <cell r="L430" t="str">
            <v>NOD</v>
          </cell>
        </row>
        <row r="431">
          <cell r="C431" t="str">
            <v>ARES1143G</v>
          </cell>
          <cell r="D431" t="str">
            <v>CORE</v>
          </cell>
          <cell r="E431" t="str">
            <v>CO26</v>
          </cell>
          <cell r="F431">
            <v>3499</v>
          </cell>
          <cell r="G431" t="str">
            <v>AR</v>
          </cell>
          <cell r="H431" t="str">
            <v>ARRARMWSH</v>
          </cell>
          <cell r="I431" t="str">
            <v>ARES1143G007</v>
          </cell>
          <cell r="J431" t="str">
            <v>46</v>
          </cell>
          <cell r="K431" t="str">
            <v>SHIRT</v>
          </cell>
          <cell r="L431" t="str">
            <v>NOD</v>
          </cell>
        </row>
        <row r="432">
          <cell r="C432" t="str">
            <v>ARES1143G</v>
          </cell>
          <cell r="D432" t="str">
            <v>CORE</v>
          </cell>
          <cell r="E432" t="str">
            <v>CO26</v>
          </cell>
          <cell r="F432">
            <v>3499</v>
          </cell>
          <cell r="G432" t="str">
            <v>AR</v>
          </cell>
          <cell r="H432" t="str">
            <v>ARRARMWSH</v>
          </cell>
          <cell r="I432" t="str">
            <v>ARES1143G008</v>
          </cell>
          <cell r="J432" t="str">
            <v>48</v>
          </cell>
          <cell r="K432" t="str">
            <v>SHIRT</v>
          </cell>
          <cell r="L432" t="str">
            <v>NOD</v>
          </cell>
        </row>
        <row r="433">
          <cell r="C433" t="str">
            <v>ARES1143G</v>
          </cell>
          <cell r="D433" t="str">
            <v>CORE</v>
          </cell>
          <cell r="E433" t="str">
            <v>CO26</v>
          </cell>
          <cell r="F433">
            <v>3499</v>
          </cell>
          <cell r="G433" t="str">
            <v>AR</v>
          </cell>
          <cell r="H433" t="str">
            <v>ARRARMWSH</v>
          </cell>
          <cell r="I433" t="str">
            <v>ARES1143G009</v>
          </cell>
          <cell r="J433" t="str">
            <v>50</v>
          </cell>
          <cell r="K433" t="str">
            <v>SHIRT</v>
          </cell>
          <cell r="L433" t="str">
            <v>NOD</v>
          </cell>
        </row>
        <row r="434">
          <cell r="C434" t="str">
            <v>ARES1143G</v>
          </cell>
          <cell r="D434" t="str">
            <v>CORE</v>
          </cell>
          <cell r="E434" t="str">
            <v>CO26</v>
          </cell>
          <cell r="F434">
            <v>3499</v>
          </cell>
          <cell r="G434" t="str">
            <v>AR</v>
          </cell>
          <cell r="H434" t="str">
            <v>ARRARMWSH</v>
          </cell>
          <cell r="I434" t="str">
            <v>ARES1143G010</v>
          </cell>
          <cell r="J434" t="str">
            <v>52</v>
          </cell>
          <cell r="K434" t="str">
            <v>SHIRT</v>
          </cell>
          <cell r="L434" t="str">
            <v>NOD</v>
          </cell>
        </row>
        <row r="435">
          <cell r="C435" t="str">
            <v>ARES1144</v>
          </cell>
          <cell r="D435" t="str">
            <v>CORE</v>
          </cell>
          <cell r="E435" t="str">
            <v>CO25</v>
          </cell>
          <cell r="F435">
            <v>3475</v>
          </cell>
          <cell r="G435" t="str">
            <v>AR</v>
          </cell>
          <cell r="H435" t="str">
            <v>ARRARMWSH</v>
          </cell>
          <cell r="I435" t="str">
            <v>ARES1144001</v>
          </cell>
          <cell r="J435" t="str">
            <v>36</v>
          </cell>
          <cell r="K435" t="str">
            <v>SHIRT</v>
          </cell>
          <cell r="L435" t="str">
            <v>NOD</v>
          </cell>
        </row>
        <row r="436">
          <cell r="C436" t="str">
            <v>ARES1144</v>
          </cell>
          <cell r="D436" t="str">
            <v>CORE</v>
          </cell>
          <cell r="E436" t="str">
            <v>CO25</v>
          </cell>
          <cell r="F436">
            <v>3475</v>
          </cell>
          <cell r="G436" t="str">
            <v>AR</v>
          </cell>
          <cell r="H436" t="str">
            <v>ARRARMWSH</v>
          </cell>
          <cell r="I436" t="str">
            <v>ARES1144002</v>
          </cell>
          <cell r="J436" t="str">
            <v>38</v>
          </cell>
          <cell r="K436" t="str">
            <v>SHIRT</v>
          </cell>
          <cell r="L436" t="str">
            <v>NOD</v>
          </cell>
        </row>
        <row r="437">
          <cell r="C437" t="str">
            <v>ARES1144</v>
          </cell>
          <cell r="D437" t="str">
            <v>CORE</v>
          </cell>
          <cell r="E437" t="str">
            <v>CO25</v>
          </cell>
          <cell r="F437">
            <v>3475</v>
          </cell>
          <cell r="G437" t="str">
            <v>AR</v>
          </cell>
          <cell r="H437" t="str">
            <v>ARRARMWSH</v>
          </cell>
          <cell r="I437" t="str">
            <v>ARES1144003</v>
          </cell>
          <cell r="J437" t="str">
            <v>39</v>
          </cell>
          <cell r="K437" t="str">
            <v>SHIRT</v>
          </cell>
          <cell r="L437" t="str">
            <v>NOD</v>
          </cell>
        </row>
        <row r="438">
          <cell r="C438" t="str">
            <v>ARES1144</v>
          </cell>
          <cell r="D438" t="str">
            <v>CORE</v>
          </cell>
          <cell r="E438" t="str">
            <v>CO25</v>
          </cell>
          <cell r="F438">
            <v>3475</v>
          </cell>
          <cell r="G438" t="str">
            <v>AR</v>
          </cell>
          <cell r="H438" t="str">
            <v>ARRARMWSH</v>
          </cell>
          <cell r="I438" t="str">
            <v>ARES1144004</v>
          </cell>
          <cell r="J438" t="str">
            <v>40</v>
          </cell>
          <cell r="K438" t="str">
            <v>SHIRT</v>
          </cell>
          <cell r="L438" t="str">
            <v>NOD</v>
          </cell>
        </row>
        <row r="439">
          <cell r="C439" t="str">
            <v>ARES1144</v>
          </cell>
          <cell r="D439" t="str">
            <v>CORE</v>
          </cell>
          <cell r="E439" t="str">
            <v>CO25</v>
          </cell>
          <cell r="F439">
            <v>3475</v>
          </cell>
          <cell r="G439" t="str">
            <v>AR</v>
          </cell>
          <cell r="H439" t="str">
            <v>ARRARMWSH</v>
          </cell>
          <cell r="I439" t="str">
            <v>ARES1144005</v>
          </cell>
          <cell r="J439" t="str">
            <v>42</v>
          </cell>
          <cell r="K439" t="str">
            <v>SHIRT</v>
          </cell>
          <cell r="L439" t="str">
            <v>NOD</v>
          </cell>
        </row>
        <row r="440">
          <cell r="C440" t="str">
            <v>ARES1144</v>
          </cell>
          <cell r="D440" t="str">
            <v>CORE</v>
          </cell>
          <cell r="E440" t="str">
            <v>CO25</v>
          </cell>
          <cell r="F440">
            <v>3475</v>
          </cell>
          <cell r="G440" t="str">
            <v>AR</v>
          </cell>
          <cell r="H440" t="str">
            <v>ARRARMWSH</v>
          </cell>
          <cell r="I440" t="str">
            <v>ARES1144006</v>
          </cell>
          <cell r="J440" t="str">
            <v>44</v>
          </cell>
          <cell r="K440" t="str">
            <v>SHIRT</v>
          </cell>
          <cell r="L440" t="str">
            <v>NOD</v>
          </cell>
        </row>
        <row r="441">
          <cell r="C441" t="str">
            <v>ARES1144</v>
          </cell>
          <cell r="D441" t="str">
            <v>CORE</v>
          </cell>
          <cell r="E441" t="str">
            <v>CO25</v>
          </cell>
          <cell r="F441">
            <v>3686</v>
          </cell>
          <cell r="G441" t="str">
            <v>AR</v>
          </cell>
          <cell r="H441" t="str">
            <v>ARRARMWSH</v>
          </cell>
          <cell r="I441" t="str">
            <v>ARES1144007</v>
          </cell>
          <cell r="J441" t="str">
            <v>46</v>
          </cell>
          <cell r="K441" t="str">
            <v>SHIRT</v>
          </cell>
          <cell r="L441" t="str">
            <v>NOD</v>
          </cell>
        </row>
        <row r="442">
          <cell r="C442" t="str">
            <v>ARES1144</v>
          </cell>
          <cell r="D442" t="str">
            <v>CORE</v>
          </cell>
          <cell r="E442" t="str">
            <v>CO25</v>
          </cell>
          <cell r="F442">
            <v>3686</v>
          </cell>
          <cell r="G442" t="str">
            <v>AR</v>
          </cell>
          <cell r="H442" t="str">
            <v>ARRARMWSH</v>
          </cell>
          <cell r="I442" t="str">
            <v>ARES1144008</v>
          </cell>
          <cell r="J442" t="str">
            <v>48</v>
          </cell>
          <cell r="K442" t="str">
            <v>SHIRT</v>
          </cell>
          <cell r="L442" t="str">
            <v>NOD</v>
          </cell>
        </row>
        <row r="443">
          <cell r="C443" t="str">
            <v>ARES1144</v>
          </cell>
          <cell r="D443" t="str">
            <v>CORE</v>
          </cell>
          <cell r="E443" t="str">
            <v>CO25</v>
          </cell>
          <cell r="F443">
            <v>3686</v>
          </cell>
          <cell r="G443" t="str">
            <v>AR</v>
          </cell>
          <cell r="H443" t="str">
            <v>ARRARMWSH</v>
          </cell>
          <cell r="I443" t="str">
            <v>ARES1144009</v>
          </cell>
          <cell r="J443" t="str">
            <v>50</v>
          </cell>
          <cell r="K443" t="str">
            <v>SHIRT</v>
          </cell>
          <cell r="L443" t="str">
            <v>NOD</v>
          </cell>
        </row>
        <row r="444">
          <cell r="C444" t="str">
            <v>ARES1144</v>
          </cell>
          <cell r="D444" t="str">
            <v>CORE</v>
          </cell>
          <cell r="E444" t="str">
            <v>CO25</v>
          </cell>
          <cell r="F444">
            <v>3686</v>
          </cell>
          <cell r="G444" t="str">
            <v>AR</v>
          </cell>
          <cell r="H444" t="str">
            <v>ARRARMWSH</v>
          </cell>
          <cell r="I444" t="str">
            <v>ARES1144010</v>
          </cell>
          <cell r="J444" t="str">
            <v>52</v>
          </cell>
          <cell r="K444" t="str">
            <v>SHIRT</v>
          </cell>
          <cell r="L444" t="str">
            <v>NOD</v>
          </cell>
        </row>
        <row r="445">
          <cell r="C445" t="str">
            <v>ARES1144G</v>
          </cell>
          <cell r="D445" t="str">
            <v>CORE</v>
          </cell>
          <cell r="E445" t="str">
            <v>CO26</v>
          </cell>
          <cell r="F445">
            <v>3499</v>
          </cell>
          <cell r="G445" t="str">
            <v>AR</v>
          </cell>
          <cell r="H445" t="str">
            <v>ARRARMWSH</v>
          </cell>
          <cell r="I445" t="str">
            <v>ARES1144G001</v>
          </cell>
          <cell r="J445" t="str">
            <v>36</v>
          </cell>
          <cell r="K445" t="str">
            <v>SHIRT</v>
          </cell>
          <cell r="L445" t="str">
            <v>NOD</v>
          </cell>
        </row>
        <row r="446">
          <cell r="C446" t="str">
            <v>ARES1144G</v>
          </cell>
          <cell r="D446" t="str">
            <v>CORE</v>
          </cell>
          <cell r="E446" t="str">
            <v>CO26</v>
          </cell>
          <cell r="F446">
            <v>3499</v>
          </cell>
          <cell r="G446" t="str">
            <v>AR</v>
          </cell>
          <cell r="H446" t="str">
            <v>ARRARMWSH</v>
          </cell>
          <cell r="I446" t="str">
            <v>ARES1144G002</v>
          </cell>
          <cell r="J446" t="str">
            <v>38</v>
          </cell>
          <cell r="K446" t="str">
            <v>SHIRT</v>
          </cell>
          <cell r="L446" t="str">
            <v>NOD</v>
          </cell>
        </row>
        <row r="447">
          <cell r="C447" t="str">
            <v>ARES1144G</v>
          </cell>
          <cell r="D447" t="str">
            <v>CORE</v>
          </cell>
          <cell r="E447" t="str">
            <v>CO26</v>
          </cell>
          <cell r="F447">
            <v>3499</v>
          </cell>
          <cell r="G447" t="str">
            <v>AR</v>
          </cell>
          <cell r="H447" t="str">
            <v>ARRARMWSH</v>
          </cell>
          <cell r="I447" t="str">
            <v>ARES1144G003</v>
          </cell>
          <cell r="J447" t="str">
            <v>39</v>
          </cell>
          <cell r="K447" t="str">
            <v>SHIRT</v>
          </cell>
          <cell r="L447" t="str">
            <v>NOD</v>
          </cell>
        </row>
        <row r="448">
          <cell r="C448" t="str">
            <v>ARES1144G</v>
          </cell>
          <cell r="D448" t="str">
            <v>CORE</v>
          </cell>
          <cell r="E448" t="str">
            <v>CO26</v>
          </cell>
          <cell r="F448">
            <v>3499</v>
          </cell>
          <cell r="G448" t="str">
            <v>AR</v>
          </cell>
          <cell r="H448" t="str">
            <v>ARRARMWSH</v>
          </cell>
          <cell r="I448" t="str">
            <v>ARES1144G004</v>
          </cell>
          <cell r="J448" t="str">
            <v>40</v>
          </cell>
          <cell r="K448" t="str">
            <v>SHIRT</v>
          </cell>
          <cell r="L448" t="str">
            <v>NOD</v>
          </cell>
        </row>
        <row r="449">
          <cell r="C449" t="str">
            <v>ARES1144G</v>
          </cell>
          <cell r="D449" t="str">
            <v>CORE</v>
          </cell>
          <cell r="E449" t="str">
            <v>CO26</v>
          </cell>
          <cell r="F449">
            <v>3499</v>
          </cell>
          <cell r="G449" t="str">
            <v>AR</v>
          </cell>
          <cell r="H449" t="str">
            <v>ARRARMWSH</v>
          </cell>
          <cell r="I449" t="str">
            <v>ARES1144G005</v>
          </cell>
          <cell r="J449" t="str">
            <v>42</v>
          </cell>
          <cell r="K449" t="str">
            <v>SHIRT</v>
          </cell>
          <cell r="L449" t="str">
            <v>NOD</v>
          </cell>
        </row>
        <row r="450">
          <cell r="C450" t="str">
            <v>ARES1144G</v>
          </cell>
          <cell r="D450" t="str">
            <v>CORE</v>
          </cell>
          <cell r="E450" t="str">
            <v>CO26</v>
          </cell>
          <cell r="F450">
            <v>3499</v>
          </cell>
          <cell r="G450" t="str">
            <v>AR</v>
          </cell>
          <cell r="H450" t="str">
            <v>ARRARMWSH</v>
          </cell>
          <cell r="I450" t="str">
            <v>ARES1144G006</v>
          </cell>
          <cell r="J450" t="str">
            <v>44</v>
          </cell>
          <cell r="K450" t="str">
            <v>SHIRT</v>
          </cell>
          <cell r="L450" t="str">
            <v>NOD</v>
          </cell>
        </row>
        <row r="451">
          <cell r="C451" t="str">
            <v>ARES1144G</v>
          </cell>
          <cell r="D451" t="str">
            <v>CORE</v>
          </cell>
          <cell r="E451" t="str">
            <v>CO26</v>
          </cell>
          <cell r="F451">
            <v>3699</v>
          </cell>
          <cell r="G451" t="str">
            <v>AR</v>
          </cell>
          <cell r="H451" t="str">
            <v>ARRARMWSH</v>
          </cell>
          <cell r="I451" t="str">
            <v>ARES1144G007</v>
          </cell>
          <cell r="J451" t="str">
            <v>46</v>
          </cell>
          <cell r="K451" t="str">
            <v>SHIRT</v>
          </cell>
          <cell r="L451" t="str">
            <v>NOD</v>
          </cell>
        </row>
        <row r="452">
          <cell r="C452" t="str">
            <v>ARES1144G</v>
          </cell>
          <cell r="D452" t="str">
            <v>CORE</v>
          </cell>
          <cell r="E452" t="str">
            <v>CO26</v>
          </cell>
          <cell r="F452">
            <v>3699</v>
          </cell>
          <cell r="G452" t="str">
            <v>AR</v>
          </cell>
          <cell r="H452" t="str">
            <v>ARRARMWSH</v>
          </cell>
          <cell r="I452" t="str">
            <v>ARES1144G008</v>
          </cell>
          <cell r="J452" t="str">
            <v>48</v>
          </cell>
          <cell r="K452" t="str">
            <v>SHIRT</v>
          </cell>
          <cell r="L452" t="str">
            <v>NOD</v>
          </cell>
        </row>
        <row r="453">
          <cell r="C453" t="str">
            <v>ARES1144G</v>
          </cell>
          <cell r="D453" t="str">
            <v>CORE</v>
          </cell>
          <cell r="E453" t="str">
            <v>CO26</v>
          </cell>
          <cell r="F453">
            <v>3699</v>
          </cell>
          <cell r="G453" t="str">
            <v>AR</v>
          </cell>
          <cell r="H453" t="str">
            <v>ARRARMWSH</v>
          </cell>
          <cell r="I453" t="str">
            <v>ARES1144G009</v>
          </cell>
          <cell r="J453" t="str">
            <v>50</v>
          </cell>
          <cell r="K453" t="str">
            <v>SHIRT</v>
          </cell>
          <cell r="L453" t="str">
            <v>NOD</v>
          </cell>
        </row>
        <row r="454">
          <cell r="C454" t="str">
            <v>ARES1144G</v>
          </cell>
          <cell r="D454" t="str">
            <v>CORE</v>
          </cell>
          <cell r="E454" t="str">
            <v>CO26</v>
          </cell>
          <cell r="F454">
            <v>3699</v>
          </cell>
          <cell r="G454" t="str">
            <v>AR</v>
          </cell>
          <cell r="H454" t="str">
            <v>ARRARMWSH</v>
          </cell>
          <cell r="I454" t="str">
            <v>ARES1144G010</v>
          </cell>
          <cell r="J454" t="str">
            <v>52</v>
          </cell>
          <cell r="K454" t="str">
            <v>SHIRT</v>
          </cell>
          <cell r="L454" t="str">
            <v>NOD</v>
          </cell>
        </row>
        <row r="455">
          <cell r="C455" t="str">
            <v>ARES1145</v>
          </cell>
          <cell r="D455" t="str">
            <v>CORE</v>
          </cell>
          <cell r="E455" t="str">
            <v>CO25</v>
          </cell>
          <cell r="F455">
            <v>3475</v>
          </cell>
          <cell r="G455" t="str">
            <v>AR</v>
          </cell>
          <cell r="H455" t="str">
            <v>ARRARMWSH</v>
          </cell>
          <cell r="I455" t="str">
            <v>ARES1145001</v>
          </cell>
          <cell r="J455" t="str">
            <v>36</v>
          </cell>
          <cell r="K455" t="str">
            <v>SHIRT</v>
          </cell>
          <cell r="L455" t="str">
            <v>NOD</v>
          </cell>
        </row>
        <row r="456">
          <cell r="C456" t="str">
            <v>ARES1145</v>
          </cell>
          <cell r="D456" t="str">
            <v>CORE</v>
          </cell>
          <cell r="E456" t="str">
            <v>CO25</v>
          </cell>
          <cell r="F456">
            <v>3475</v>
          </cell>
          <cell r="G456" t="str">
            <v>AR</v>
          </cell>
          <cell r="H456" t="str">
            <v>ARRARMWSH</v>
          </cell>
          <cell r="I456" t="str">
            <v>ARES1145002</v>
          </cell>
          <cell r="J456" t="str">
            <v>38</v>
          </cell>
          <cell r="K456" t="str">
            <v>SHIRT</v>
          </cell>
          <cell r="L456" t="str">
            <v>NOD</v>
          </cell>
        </row>
        <row r="457">
          <cell r="C457" t="str">
            <v>ARES1145</v>
          </cell>
          <cell r="D457" t="str">
            <v>CORE</v>
          </cell>
          <cell r="E457" t="str">
            <v>CO25</v>
          </cell>
          <cell r="F457">
            <v>3475</v>
          </cell>
          <cell r="G457" t="str">
            <v>AR</v>
          </cell>
          <cell r="H457" t="str">
            <v>ARRARMWSH</v>
          </cell>
          <cell r="I457" t="str">
            <v>ARES1145003</v>
          </cell>
          <cell r="J457" t="str">
            <v>39</v>
          </cell>
          <cell r="K457" t="str">
            <v>SHIRT</v>
          </cell>
          <cell r="L457" t="str">
            <v>NOD</v>
          </cell>
        </row>
        <row r="458">
          <cell r="C458" t="str">
            <v>ARES1145</v>
          </cell>
          <cell r="D458" t="str">
            <v>CORE</v>
          </cell>
          <cell r="E458" t="str">
            <v>CO25</v>
          </cell>
          <cell r="F458">
            <v>3475</v>
          </cell>
          <cell r="G458" t="str">
            <v>AR</v>
          </cell>
          <cell r="H458" t="str">
            <v>ARRARMWSH</v>
          </cell>
          <cell r="I458" t="str">
            <v>ARES1145004</v>
          </cell>
          <cell r="J458" t="str">
            <v>40</v>
          </cell>
          <cell r="K458" t="str">
            <v>SHIRT</v>
          </cell>
          <cell r="L458" t="str">
            <v>NOD</v>
          </cell>
        </row>
        <row r="459">
          <cell r="C459" t="str">
            <v>ARES1145</v>
          </cell>
          <cell r="D459" t="str">
            <v>CORE</v>
          </cell>
          <cell r="E459" t="str">
            <v>CO25</v>
          </cell>
          <cell r="F459">
            <v>3475</v>
          </cell>
          <cell r="G459" t="str">
            <v>AR</v>
          </cell>
          <cell r="H459" t="str">
            <v>ARRARMWSH</v>
          </cell>
          <cell r="I459" t="str">
            <v>ARES1145005</v>
          </cell>
          <cell r="J459" t="str">
            <v>42</v>
          </cell>
          <cell r="K459" t="str">
            <v>SHIRT</v>
          </cell>
          <cell r="L459" t="str">
            <v>NOD</v>
          </cell>
        </row>
        <row r="460">
          <cell r="C460" t="str">
            <v>ARES1145</v>
          </cell>
          <cell r="D460" t="str">
            <v>CORE</v>
          </cell>
          <cell r="E460" t="str">
            <v>CO25</v>
          </cell>
          <cell r="F460">
            <v>3475</v>
          </cell>
          <cell r="G460" t="str">
            <v>AR</v>
          </cell>
          <cell r="H460" t="str">
            <v>ARRARMWSH</v>
          </cell>
          <cell r="I460" t="str">
            <v>ARES1145006</v>
          </cell>
          <cell r="J460" t="str">
            <v>44</v>
          </cell>
          <cell r="K460" t="str">
            <v>SHIRT</v>
          </cell>
          <cell r="L460" t="str">
            <v>NOD</v>
          </cell>
        </row>
        <row r="461">
          <cell r="C461" t="str">
            <v>ARES1145</v>
          </cell>
          <cell r="D461" t="str">
            <v>CORE</v>
          </cell>
          <cell r="E461" t="str">
            <v>CO25</v>
          </cell>
          <cell r="F461">
            <v>3686</v>
          </cell>
          <cell r="G461" t="str">
            <v>AR</v>
          </cell>
          <cell r="H461" t="str">
            <v>ARRARMWSH</v>
          </cell>
          <cell r="I461" t="str">
            <v>ARES1145007</v>
          </cell>
          <cell r="J461" t="str">
            <v>46</v>
          </cell>
          <cell r="K461" t="str">
            <v>SHIRT</v>
          </cell>
          <cell r="L461" t="str">
            <v>NOD</v>
          </cell>
        </row>
        <row r="462">
          <cell r="C462" t="str">
            <v>ARES1145</v>
          </cell>
          <cell r="D462" t="str">
            <v>CORE</v>
          </cell>
          <cell r="E462" t="str">
            <v>CO25</v>
          </cell>
          <cell r="F462">
            <v>3686</v>
          </cell>
          <cell r="G462" t="str">
            <v>AR</v>
          </cell>
          <cell r="H462" t="str">
            <v>ARRARMWSH</v>
          </cell>
          <cell r="I462" t="str">
            <v>ARES1145008</v>
          </cell>
          <cell r="J462" t="str">
            <v>48</v>
          </cell>
          <cell r="K462" t="str">
            <v>SHIRT</v>
          </cell>
          <cell r="L462" t="str">
            <v>NOD</v>
          </cell>
        </row>
        <row r="463">
          <cell r="C463" t="str">
            <v>ARES1145</v>
          </cell>
          <cell r="D463" t="str">
            <v>CORE</v>
          </cell>
          <cell r="E463" t="str">
            <v>CO25</v>
          </cell>
          <cell r="F463">
            <v>3686</v>
          </cell>
          <cell r="G463" t="str">
            <v>AR</v>
          </cell>
          <cell r="H463" t="str">
            <v>ARRARMWSH</v>
          </cell>
          <cell r="I463" t="str">
            <v>ARES1145009</v>
          </cell>
          <cell r="J463" t="str">
            <v>50</v>
          </cell>
          <cell r="K463" t="str">
            <v>SHIRT</v>
          </cell>
          <cell r="L463" t="str">
            <v>NOD</v>
          </cell>
        </row>
        <row r="464">
          <cell r="C464" t="str">
            <v>ARES1145</v>
          </cell>
          <cell r="D464" t="str">
            <v>CORE</v>
          </cell>
          <cell r="E464" t="str">
            <v>CO25</v>
          </cell>
          <cell r="F464">
            <v>3686</v>
          </cell>
          <cell r="G464" t="str">
            <v>AR</v>
          </cell>
          <cell r="H464" t="str">
            <v>ARRARMWSH</v>
          </cell>
          <cell r="I464" t="str">
            <v>ARES1145010</v>
          </cell>
          <cell r="J464" t="str">
            <v>52</v>
          </cell>
          <cell r="K464" t="str">
            <v>SHIRT</v>
          </cell>
          <cell r="L464" t="str">
            <v>NOD</v>
          </cell>
        </row>
        <row r="465">
          <cell r="C465" t="str">
            <v>ARES1145G</v>
          </cell>
          <cell r="D465" t="str">
            <v>CORE</v>
          </cell>
          <cell r="E465" t="str">
            <v>CO26</v>
          </cell>
          <cell r="F465">
            <v>3499</v>
          </cell>
          <cell r="G465" t="str">
            <v>AR</v>
          </cell>
          <cell r="H465" t="str">
            <v>ARRARMWSH</v>
          </cell>
          <cell r="I465" t="str">
            <v>ARES1145G001</v>
          </cell>
          <cell r="J465" t="str">
            <v>36</v>
          </cell>
          <cell r="K465" t="str">
            <v>SHIRT</v>
          </cell>
          <cell r="L465" t="str">
            <v>NOD</v>
          </cell>
        </row>
        <row r="466">
          <cell r="C466" t="str">
            <v>ARES1145G</v>
          </cell>
          <cell r="D466" t="str">
            <v>CORE</v>
          </cell>
          <cell r="E466" t="str">
            <v>CO26</v>
          </cell>
          <cell r="F466">
            <v>3499</v>
          </cell>
          <cell r="G466" t="str">
            <v>AR</v>
          </cell>
          <cell r="H466" t="str">
            <v>ARRARMWSH</v>
          </cell>
          <cell r="I466" t="str">
            <v>ARES1145G002</v>
          </cell>
          <cell r="J466" t="str">
            <v>38</v>
          </cell>
          <cell r="K466" t="str">
            <v>SHIRT</v>
          </cell>
          <cell r="L466" t="str">
            <v>NOD</v>
          </cell>
        </row>
        <row r="467">
          <cell r="C467" t="str">
            <v>ARES1145G</v>
          </cell>
          <cell r="D467" t="str">
            <v>CORE</v>
          </cell>
          <cell r="E467" t="str">
            <v>CO26</v>
          </cell>
          <cell r="F467">
            <v>3499</v>
          </cell>
          <cell r="G467" t="str">
            <v>AR</v>
          </cell>
          <cell r="H467" t="str">
            <v>ARRARMWSH</v>
          </cell>
          <cell r="I467" t="str">
            <v>ARES1145G003</v>
          </cell>
          <cell r="J467" t="str">
            <v>39</v>
          </cell>
          <cell r="K467" t="str">
            <v>SHIRT</v>
          </cell>
          <cell r="L467" t="str">
            <v>NOD</v>
          </cell>
        </row>
        <row r="468">
          <cell r="C468" t="str">
            <v>ARES1145G</v>
          </cell>
          <cell r="D468" t="str">
            <v>CORE</v>
          </cell>
          <cell r="E468" t="str">
            <v>CO26</v>
          </cell>
          <cell r="F468">
            <v>3499</v>
          </cell>
          <cell r="G468" t="str">
            <v>AR</v>
          </cell>
          <cell r="H468" t="str">
            <v>ARRARMWSH</v>
          </cell>
          <cell r="I468" t="str">
            <v>ARES1145G004</v>
          </cell>
          <cell r="J468" t="str">
            <v>40</v>
          </cell>
          <cell r="K468" t="str">
            <v>SHIRT</v>
          </cell>
          <cell r="L468" t="str">
            <v>NOD</v>
          </cell>
        </row>
        <row r="469">
          <cell r="C469" t="str">
            <v>ARES1145G</v>
          </cell>
          <cell r="D469" t="str">
            <v>CORE</v>
          </cell>
          <cell r="E469" t="str">
            <v>CO26</v>
          </cell>
          <cell r="F469">
            <v>3499</v>
          </cell>
          <cell r="G469" t="str">
            <v>AR</v>
          </cell>
          <cell r="H469" t="str">
            <v>ARRARMWSH</v>
          </cell>
          <cell r="I469" t="str">
            <v>ARES1145G005</v>
          </cell>
          <cell r="J469" t="str">
            <v>42</v>
          </cell>
          <cell r="K469" t="str">
            <v>SHIRT</v>
          </cell>
          <cell r="L469" t="str">
            <v>NOD</v>
          </cell>
        </row>
        <row r="470">
          <cell r="C470" t="str">
            <v>ARES1145G</v>
          </cell>
          <cell r="D470" t="str">
            <v>CORE</v>
          </cell>
          <cell r="E470" t="str">
            <v>CO26</v>
          </cell>
          <cell r="F470">
            <v>3499</v>
          </cell>
          <cell r="G470" t="str">
            <v>AR</v>
          </cell>
          <cell r="H470" t="str">
            <v>ARRARMWSH</v>
          </cell>
          <cell r="I470" t="str">
            <v>ARES1145G006</v>
          </cell>
          <cell r="J470" t="str">
            <v>44</v>
          </cell>
          <cell r="K470" t="str">
            <v>SHIRT</v>
          </cell>
          <cell r="L470" t="str">
            <v>NOD</v>
          </cell>
        </row>
        <row r="471">
          <cell r="C471" t="str">
            <v>ARES1145G</v>
          </cell>
          <cell r="D471" t="str">
            <v>CORE</v>
          </cell>
          <cell r="E471" t="str">
            <v>CO26</v>
          </cell>
          <cell r="F471">
            <v>3699</v>
          </cell>
          <cell r="G471" t="str">
            <v>AR</v>
          </cell>
          <cell r="H471" t="str">
            <v>ARRARMWSH</v>
          </cell>
          <cell r="I471" t="str">
            <v>ARES1145G007</v>
          </cell>
          <cell r="J471" t="str">
            <v>46</v>
          </cell>
          <cell r="K471" t="str">
            <v>SHIRT</v>
          </cell>
          <cell r="L471" t="str">
            <v>NOD</v>
          </cell>
        </row>
        <row r="472">
          <cell r="C472" t="str">
            <v>ARES1145G</v>
          </cell>
          <cell r="D472" t="str">
            <v>CORE</v>
          </cell>
          <cell r="E472" t="str">
            <v>CO26</v>
          </cell>
          <cell r="F472">
            <v>3699</v>
          </cell>
          <cell r="G472" t="str">
            <v>AR</v>
          </cell>
          <cell r="H472" t="str">
            <v>ARRARMWSH</v>
          </cell>
          <cell r="I472" t="str">
            <v>ARES1145G008</v>
          </cell>
          <cell r="J472" t="str">
            <v>48</v>
          </cell>
          <cell r="K472" t="str">
            <v>SHIRT</v>
          </cell>
          <cell r="L472" t="str">
            <v>NOD</v>
          </cell>
        </row>
        <row r="473">
          <cell r="C473" t="str">
            <v>ARES1145G</v>
          </cell>
          <cell r="D473" t="str">
            <v>CORE</v>
          </cell>
          <cell r="E473" t="str">
            <v>CO26</v>
          </cell>
          <cell r="F473">
            <v>3699</v>
          </cell>
          <cell r="G473" t="str">
            <v>AR</v>
          </cell>
          <cell r="H473" t="str">
            <v>ARRARMWSH</v>
          </cell>
          <cell r="I473" t="str">
            <v>ARES1145G009</v>
          </cell>
          <cell r="J473" t="str">
            <v>50</v>
          </cell>
          <cell r="K473" t="str">
            <v>SHIRT</v>
          </cell>
          <cell r="L473" t="str">
            <v>NOD</v>
          </cell>
        </row>
        <row r="474">
          <cell r="C474" t="str">
            <v>ARES1145G</v>
          </cell>
          <cell r="D474" t="str">
            <v>CORE</v>
          </cell>
          <cell r="E474" t="str">
            <v>CO26</v>
          </cell>
          <cell r="F474">
            <v>3699</v>
          </cell>
          <cell r="G474" t="str">
            <v>AR</v>
          </cell>
          <cell r="H474" t="str">
            <v>ARRARMWSH</v>
          </cell>
          <cell r="I474" t="str">
            <v>ARES1145G010</v>
          </cell>
          <cell r="J474" t="str">
            <v>52</v>
          </cell>
          <cell r="K474" t="str">
            <v>SHIRT</v>
          </cell>
          <cell r="L474" t="str">
            <v>NOD</v>
          </cell>
        </row>
        <row r="475">
          <cell r="C475" t="str">
            <v>ARES1146</v>
          </cell>
          <cell r="D475" t="str">
            <v>CORE</v>
          </cell>
          <cell r="E475" t="str">
            <v>CO25</v>
          </cell>
          <cell r="F475">
            <v>3475</v>
          </cell>
          <cell r="G475" t="str">
            <v>AR</v>
          </cell>
          <cell r="H475" t="str">
            <v>ARRARMWSH</v>
          </cell>
          <cell r="I475" t="str">
            <v>ARES1146001</v>
          </cell>
          <cell r="J475" t="str">
            <v>36</v>
          </cell>
          <cell r="K475" t="str">
            <v>SHIRT</v>
          </cell>
          <cell r="L475" t="str">
            <v>NOD</v>
          </cell>
        </row>
        <row r="476">
          <cell r="C476" t="str">
            <v>ARES1146</v>
          </cell>
          <cell r="D476" t="str">
            <v>CORE</v>
          </cell>
          <cell r="E476" t="str">
            <v>CO25</v>
          </cell>
          <cell r="F476">
            <v>3475</v>
          </cell>
          <cell r="G476" t="str">
            <v>AR</v>
          </cell>
          <cell r="H476" t="str">
            <v>ARRARMWSH</v>
          </cell>
          <cell r="I476" t="str">
            <v>ARES1146002</v>
          </cell>
          <cell r="J476" t="str">
            <v>38</v>
          </cell>
          <cell r="K476" t="str">
            <v>SHIRT</v>
          </cell>
          <cell r="L476" t="str">
            <v>NOD</v>
          </cell>
        </row>
        <row r="477">
          <cell r="C477" t="str">
            <v>ARES1146</v>
          </cell>
          <cell r="D477" t="str">
            <v>CORE</v>
          </cell>
          <cell r="E477" t="str">
            <v>CO25</v>
          </cell>
          <cell r="F477">
            <v>3475</v>
          </cell>
          <cell r="G477" t="str">
            <v>AR</v>
          </cell>
          <cell r="H477" t="str">
            <v>ARRARMWSH</v>
          </cell>
          <cell r="I477" t="str">
            <v>ARES1146003</v>
          </cell>
          <cell r="J477" t="str">
            <v>39</v>
          </cell>
          <cell r="K477" t="str">
            <v>SHIRT</v>
          </cell>
          <cell r="L477" t="str">
            <v>NOD</v>
          </cell>
        </row>
        <row r="478">
          <cell r="C478" t="str">
            <v>ARES1146</v>
          </cell>
          <cell r="D478" t="str">
            <v>CORE</v>
          </cell>
          <cell r="E478" t="str">
            <v>CO25</v>
          </cell>
          <cell r="F478">
            <v>3475</v>
          </cell>
          <cell r="G478" t="str">
            <v>AR</v>
          </cell>
          <cell r="H478" t="str">
            <v>ARRARMWSH</v>
          </cell>
          <cell r="I478" t="str">
            <v>ARES1146004</v>
          </cell>
          <cell r="J478" t="str">
            <v>40</v>
          </cell>
          <cell r="K478" t="str">
            <v>SHIRT</v>
          </cell>
          <cell r="L478" t="str">
            <v>NOD</v>
          </cell>
        </row>
        <row r="479">
          <cell r="C479" t="str">
            <v>ARES1146</v>
          </cell>
          <cell r="D479" t="str">
            <v>CORE</v>
          </cell>
          <cell r="E479" t="str">
            <v>CO25</v>
          </cell>
          <cell r="F479">
            <v>3475</v>
          </cell>
          <cell r="G479" t="str">
            <v>AR</v>
          </cell>
          <cell r="H479" t="str">
            <v>ARRARMWSH</v>
          </cell>
          <cell r="I479" t="str">
            <v>ARES1146005</v>
          </cell>
          <cell r="J479" t="str">
            <v>42</v>
          </cell>
          <cell r="K479" t="str">
            <v>SHIRT</v>
          </cell>
          <cell r="L479" t="str">
            <v>NOD</v>
          </cell>
        </row>
        <row r="480">
          <cell r="C480" t="str">
            <v>ARES1146</v>
          </cell>
          <cell r="D480" t="str">
            <v>CORE</v>
          </cell>
          <cell r="E480" t="str">
            <v>CO25</v>
          </cell>
          <cell r="F480">
            <v>3475</v>
          </cell>
          <cell r="G480" t="str">
            <v>AR</v>
          </cell>
          <cell r="H480" t="str">
            <v>ARRARMWSH</v>
          </cell>
          <cell r="I480" t="str">
            <v>ARES1146006</v>
          </cell>
          <cell r="J480" t="str">
            <v>44</v>
          </cell>
          <cell r="K480" t="str">
            <v>SHIRT</v>
          </cell>
          <cell r="L480" t="str">
            <v>NOD</v>
          </cell>
        </row>
        <row r="481">
          <cell r="C481" t="str">
            <v>ARES1146</v>
          </cell>
          <cell r="D481" t="str">
            <v>CORE</v>
          </cell>
          <cell r="E481" t="str">
            <v>CO25</v>
          </cell>
          <cell r="F481">
            <v>3686</v>
          </cell>
          <cell r="G481" t="str">
            <v>AR</v>
          </cell>
          <cell r="H481" t="str">
            <v>ARRARMWSH</v>
          </cell>
          <cell r="I481" t="str">
            <v>ARES1146007</v>
          </cell>
          <cell r="J481" t="str">
            <v>46</v>
          </cell>
          <cell r="K481" t="str">
            <v>SHIRT</v>
          </cell>
          <cell r="L481" t="str">
            <v>NOD</v>
          </cell>
        </row>
        <row r="482">
          <cell r="C482" t="str">
            <v>ARES1146</v>
          </cell>
          <cell r="D482" t="str">
            <v>CORE</v>
          </cell>
          <cell r="E482" t="str">
            <v>CO25</v>
          </cell>
          <cell r="F482">
            <v>3686</v>
          </cell>
          <cell r="G482" t="str">
            <v>AR</v>
          </cell>
          <cell r="H482" t="str">
            <v>ARRARMWSH</v>
          </cell>
          <cell r="I482" t="str">
            <v>ARES1146008</v>
          </cell>
          <cell r="J482" t="str">
            <v>48</v>
          </cell>
          <cell r="K482" t="str">
            <v>SHIRT</v>
          </cell>
          <cell r="L482" t="str">
            <v>NOD</v>
          </cell>
        </row>
        <row r="483">
          <cell r="C483" t="str">
            <v>ARES1146</v>
          </cell>
          <cell r="D483" t="str">
            <v>CORE</v>
          </cell>
          <cell r="E483" t="str">
            <v>CO25</v>
          </cell>
          <cell r="F483">
            <v>3686</v>
          </cell>
          <cell r="G483" t="str">
            <v>AR</v>
          </cell>
          <cell r="H483" t="str">
            <v>ARRARMWSH</v>
          </cell>
          <cell r="I483" t="str">
            <v>ARES1146009</v>
          </cell>
          <cell r="J483" t="str">
            <v>50</v>
          </cell>
          <cell r="K483" t="str">
            <v>SHIRT</v>
          </cell>
          <cell r="L483" t="str">
            <v>NOD</v>
          </cell>
        </row>
        <row r="484">
          <cell r="C484" t="str">
            <v>ARES1146</v>
          </cell>
          <cell r="D484" t="str">
            <v>CORE</v>
          </cell>
          <cell r="E484" t="str">
            <v>CO25</v>
          </cell>
          <cell r="F484">
            <v>3686</v>
          </cell>
          <cell r="G484" t="str">
            <v>AR</v>
          </cell>
          <cell r="H484" t="str">
            <v>ARRARMWSH</v>
          </cell>
          <cell r="I484" t="str">
            <v>ARES1146010</v>
          </cell>
          <cell r="J484" t="str">
            <v>52</v>
          </cell>
          <cell r="K484" t="str">
            <v>SHIRT</v>
          </cell>
          <cell r="L484" t="str">
            <v>NOD</v>
          </cell>
        </row>
        <row r="485">
          <cell r="C485" t="str">
            <v>ARES1146G</v>
          </cell>
          <cell r="D485" t="str">
            <v>CORE</v>
          </cell>
          <cell r="E485" t="str">
            <v>CO26</v>
          </cell>
          <cell r="F485">
            <v>3499</v>
          </cell>
          <cell r="G485" t="str">
            <v>AR</v>
          </cell>
          <cell r="H485" t="str">
            <v>ARRARMWSH</v>
          </cell>
          <cell r="I485" t="str">
            <v>ARES1146G001</v>
          </cell>
          <cell r="J485" t="str">
            <v>36</v>
          </cell>
          <cell r="K485" t="str">
            <v>SHIRT</v>
          </cell>
          <cell r="L485" t="str">
            <v>NOD</v>
          </cell>
        </row>
        <row r="486">
          <cell r="C486" t="str">
            <v>ARES1146G</v>
          </cell>
          <cell r="D486" t="str">
            <v>CORE</v>
          </cell>
          <cell r="E486" t="str">
            <v>CO26</v>
          </cell>
          <cell r="F486">
            <v>3499</v>
          </cell>
          <cell r="G486" t="str">
            <v>AR</v>
          </cell>
          <cell r="H486" t="str">
            <v>ARRARMWSH</v>
          </cell>
          <cell r="I486" t="str">
            <v>ARES1146G002</v>
          </cell>
          <cell r="J486" t="str">
            <v>38</v>
          </cell>
          <cell r="K486" t="str">
            <v>SHIRT</v>
          </cell>
          <cell r="L486" t="str">
            <v>NOD</v>
          </cell>
        </row>
        <row r="487">
          <cell r="C487" t="str">
            <v>ARES1146G</v>
          </cell>
          <cell r="D487" t="str">
            <v>CORE</v>
          </cell>
          <cell r="E487" t="str">
            <v>CO26</v>
          </cell>
          <cell r="F487">
            <v>3499</v>
          </cell>
          <cell r="G487" t="str">
            <v>AR</v>
          </cell>
          <cell r="H487" t="str">
            <v>ARRARMWSH</v>
          </cell>
          <cell r="I487" t="str">
            <v>ARES1146G003</v>
          </cell>
          <cell r="J487" t="str">
            <v>39</v>
          </cell>
          <cell r="K487" t="str">
            <v>SHIRT</v>
          </cell>
          <cell r="L487" t="str">
            <v>NOD</v>
          </cell>
        </row>
        <row r="488">
          <cell r="C488" t="str">
            <v>ARES1146G</v>
          </cell>
          <cell r="D488" t="str">
            <v>CORE</v>
          </cell>
          <cell r="E488" t="str">
            <v>CO26</v>
          </cell>
          <cell r="F488">
            <v>3499</v>
          </cell>
          <cell r="G488" t="str">
            <v>AR</v>
          </cell>
          <cell r="H488" t="str">
            <v>ARRARMWSH</v>
          </cell>
          <cell r="I488" t="str">
            <v>ARES1146G004</v>
          </cell>
          <cell r="J488" t="str">
            <v>40</v>
          </cell>
          <cell r="K488" t="str">
            <v>SHIRT</v>
          </cell>
          <cell r="L488" t="str">
            <v>NOD</v>
          </cell>
        </row>
        <row r="489">
          <cell r="C489" t="str">
            <v>ARES1146G</v>
          </cell>
          <cell r="D489" t="str">
            <v>CORE</v>
          </cell>
          <cell r="E489" t="str">
            <v>CO26</v>
          </cell>
          <cell r="F489">
            <v>3499</v>
          </cell>
          <cell r="G489" t="str">
            <v>AR</v>
          </cell>
          <cell r="H489" t="str">
            <v>ARRARMWSH</v>
          </cell>
          <cell r="I489" t="str">
            <v>ARES1146G005</v>
          </cell>
          <cell r="J489" t="str">
            <v>42</v>
          </cell>
          <cell r="K489" t="str">
            <v>SHIRT</v>
          </cell>
          <cell r="L489" t="str">
            <v>NOD</v>
          </cell>
        </row>
        <row r="490">
          <cell r="C490" t="str">
            <v>ARES1146G</v>
          </cell>
          <cell r="D490" t="str">
            <v>CORE</v>
          </cell>
          <cell r="E490" t="str">
            <v>CO26</v>
          </cell>
          <cell r="F490">
            <v>3499</v>
          </cell>
          <cell r="G490" t="str">
            <v>AR</v>
          </cell>
          <cell r="H490" t="str">
            <v>ARRARMWSH</v>
          </cell>
          <cell r="I490" t="str">
            <v>ARES1146G006</v>
          </cell>
          <cell r="J490" t="str">
            <v>44</v>
          </cell>
          <cell r="K490" t="str">
            <v>SHIRT</v>
          </cell>
          <cell r="L490" t="str">
            <v>NOD</v>
          </cell>
        </row>
        <row r="491">
          <cell r="C491" t="str">
            <v>ARES1146G</v>
          </cell>
          <cell r="D491" t="str">
            <v>CORE</v>
          </cell>
          <cell r="E491" t="str">
            <v>CO26</v>
          </cell>
          <cell r="F491">
            <v>3699</v>
          </cell>
          <cell r="G491" t="str">
            <v>AR</v>
          </cell>
          <cell r="H491" t="str">
            <v>ARRARMWSH</v>
          </cell>
          <cell r="I491" t="str">
            <v>ARES1146G007</v>
          </cell>
          <cell r="J491" t="str">
            <v>46</v>
          </cell>
          <cell r="K491" t="str">
            <v>SHIRT</v>
          </cell>
          <cell r="L491" t="str">
            <v>NOD</v>
          </cell>
        </row>
        <row r="492">
          <cell r="C492" t="str">
            <v>ARES1146G</v>
          </cell>
          <cell r="D492" t="str">
            <v>CORE</v>
          </cell>
          <cell r="E492" t="str">
            <v>CO26</v>
          </cell>
          <cell r="F492">
            <v>3699</v>
          </cell>
          <cell r="G492" t="str">
            <v>AR</v>
          </cell>
          <cell r="H492" t="str">
            <v>ARRARMWSH</v>
          </cell>
          <cell r="I492" t="str">
            <v>ARES1146G008</v>
          </cell>
          <cell r="J492" t="str">
            <v>48</v>
          </cell>
          <cell r="K492" t="str">
            <v>SHIRT</v>
          </cell>
          <cell r="L492" t="str">
            <v>NOD</v>
          </cell>
        </row>
        <row r="493">
          <cell r="C493" t="str">
            <v>ARES1146G</v>
          </cell>
          <cell r="D493" t="str">
            <v>CORE</v>
          </cell>
          <cell r="E493" t="str">
            <v>CO26</v>
          </cell>
          <cell r="F493">
            <v>3699</v>
          </cell>
          <cell r="G493" t="str">
            <v>AR</v>
          </cell>
          <cell r="H493" t="str">
            <v>ARRARMWSH</v>
          </cell>
          <cell r="I493" t="str">
            <v>ARES1146G009</v>
          </cell>
          <cell r="J493" t="str">
            <v>50</v>
          </cell>
          <cell r="K493" t="str">
            <v>SHIRT</v>
          </cell>
          <cell r="L493" t="str">
            <v>NOD</v>
          </cell>
        </row>
        <row r="494">
          <cell r="C494" t="str">
            <v>ARES1146G</v>
          </cell>
          <cell r="D494" t="str">
            <v>CORE</v>
          </cell>
          <cell r="E494" t="str">
            <v>CO26</v>
          </cell>
          <cell r="F494">
            <v>3699</v>
          </cell>
          <cell r="G494" t="str">
            <v>AR</v>
          </cell>
          <cell r="H494" t="str">
            <v>ARRARMWSH</v>
          </cell>
          <cell r="I494" t="str">
            <v>ARES1146G010</v>
          </cell>
          <cell r="J494" t="str">
            <v>52</v>
          </cell>
          <cell r="K494" t="str">
            <v>SHIRT</v>
          </cell>
          <cell r="L494" t="str">
            <v>NOD</v>
          </cell>
        </row>
        <row r="495">
          <cell r="C495" t="str">
            <v>ARES1150</v>
          </cell>
          <cell r="D495" t="str">
            <v>CORE</v>
          </cell>
          <cell r="E495" t="str">
            <v>CO25</v>
          </cell>
          <cell r="F495">
            <v>2699</v>
          </cell>
          <cell r="G495" t="str">
            <v>AR</v>
          </cell>
          <cell r="H495" t="str">
            <v>ARRARMWSH</v>
          </cell>
          <cell r="I495" t="str">
            <v>ARES1150001</v>
          </cell>
          <cell r="J495" t="str">
            <v>36</v>
          </cell>
          <cell r="K495" t="str">
            <v>SHIRT</v>
          </cell>
          <cell r="L495" t="str">
            <v>NOD</v>
          </cell>
        </row>
        <row r="496">
          <cell r="C496" t="str">
            <v>ARES1150</v>
          </cell>
          <cell r="D496" t="str">
            <v>CORE</v>
          </cell>
          <cell r="E496" t="str">
            <v>CO25</v>
          </cell>
          <cell r="F496">
            <v>2699</v>
          </cell>
          <cell r="G496" t="str">
            <v>AR</v>
          </cell>
          <cell r="H496" t="str">
            <v>ARRARMWSH</v>
          </cell>
          <cell r="I496" t="str">
            <v>ARES1150002</v>
          </cell>
          <cell r="J496" t="str">
            <v>38</v>
          </cell>
          <cell r="K496" t="str">
            <v>SHIRT</v>
          </cell>
          <cell r="L496" t="str">
            <v>NOD</v>
          </cell>
        </row>
        <row r="497">
          <cell r="C497" t="str">
            <v>ARES1150</v>
          </cell>
          <cell r="D497" t="str">
            <v>CORE</v>
          </cell>
          <cell r="E497" t="str">
            <v>CO25</v>
          </cell>
          <cell r="F497">
            <v>2699</v>
          </cell>
          <cell r="G497" t="str">
            <v>AR</v>
          </cell>
          <cell r="H497" t="str">
            <v>ARRARMWSH</v>
          </cell>
          <cell r="I497" t="str">
            <v>ARES1150003</v>
          </cell>
          <cell r="J497" t="str">
            <v>39</v>
          </cell>
          <cell r="K497" t="str">
            <v>SHIRT</v>
          </cell>
          <cell r="L497" t="str">
            <v>NOD</v>
          </cell>
        </row>
        <row r="498">
          <cell r="C498" t="str">
            <v>ARES1150</v>
          </cell>
          <cell r="D498" t="str">
            <v>CORE</v>
          </cell>
          <cell r="E498" t="str">
            <v>CO25</v>
          </cell>
          <cell r="F498">
            <v>2699</v>
          </cell>
          <cell r="G498" t="str">
            <v>AR</v>
          </cell>
          <cell r="H498" t="str">
            <v>ARRARMWSH</v>
          </cell>
          <cell r="I498" t="str">
            <v>ARES1150004</v>
          </cell>
          <cell r="J498" t="str">
            <v>40</v>
          </cell>
          <cell r="K498" t="str">
            <v>SHIRT</v>
          </cell>
          <cell r="L498" t="str">
            <v>NOD</v>
          </cell>
        </row>
        <row r="499">
          <cell r="C499" t="str">
            <v>ARES1150</v>
          </cell>
          <cell r="D499" t="str">
            <v>CORE</v>
          </cell>
          <cell r="E499" t="str">
            <v>CO25</v>
          </cell>
          <cell r="F499">
            <v>2699</v>
          </cell>
          <cell r="G499" t="str">
            <v>AR</v>
          </cell>
          <cell r="H499" t="str">
            <v>ARRARMWSH</v>
          </cell>
          <cell r="I499" t="str">
            <v>ARES1150005</v>
          </cell>
          <cell r="J499" t="str">
            <v>42</v>
          </cell>
          <cell r="K499" t="str">
            <v>SHIRT</v>
          </cell>
          <cell r="L499" t="str">
            <v>NOD</v>
          </cell>
        </row>
        <row r="500">
          <cell r="C500" t="str">
            <v>ARES1150</v>
          </cell>
          <cell r="D500" t="str">
            <v>CORE</v>
          </cell>
          <cell r="E500" t="str">
            <v>CO25</v>
          </cell>
          <cell r="F500">
            <v>2699</v>
          </cell>
          <cell r="G500" t="str">
            <v>AR</v>
          </cell>
          <cell r="H500" t="str">
            <v>ARRARMWSH</v>
          </cell>
          <cell r="I500" t="str">
            <v>ARES1150006</v>
          </cell>
          <cell r="J500" t="str">
            <v>44</v>
          </cell>
          <cell r="K500" t="str">
            <v>SHIRT</v>
          </cell>
          <cell r="L500" t="str">
            <v>NOD</v>
          </cell>
        </row>
        <row r="501">
          <cell r="C501" t="str">
            <v>ARES1150</v>
          </cell>
          <cell r="D501" t="str">
            <v>CORE</v>
          </cell>
          <cell r="E501" t="str">
            <v>CO25</v>
          </cell>
          <cell r="F501">
            <v>3054.3</v>
          </cell>
          <cell r="G501" t="str">
            <v>AR</v>
          </cell>
          <cell r="H501" t="str">
            <v>ARRARMWSH</v>
          </cell>
          <cell r="I501" t="str">
            <v>ARES1150007</v>
          </cell>
          <cell r="J501" t="str">
            <v>46</v>
          </cell>
          <cell r="K501" t="str">
            <v>SHIRT</v>
          </cell>
          <cell r="L501" t="str">
            <v>NOD</v>
          </cell>
        </row>
        <row r="502">
          <cell r="C502" t="str">
            <v>ARES1150</v>
          </cell>
          <cell r="D502" t="str">
            <v>CORE</v>
          </cell>
          <cell r="E502" t="str">
            <v>CO25</v>
          </cell>
          <cell r="F502">
            <v>3054.3</v>
          </cell>
          <cell r="G502" t="str">
            <v>AR</v>
          </cell>
          <cell r="H502" t="str">
            <v>ARRARMWSH</v>
          </cell>
          <cell r="I502" t="str">
            <v>ARES1150008</v>
          </cell>
          <cell r="J502" t="str">
            <v>48</v>
          </cell>
          <cell r="K502" t="str">
            <v>SHIRT</v>
          </cell>
          <cell r="L502" t="str">
            <v>NOD</v>
          </cell>
        </row>
        <row r="503">
          <cell r="C503" t="str">
            <v>ARES1150</v>
          </cell>
          <cell r="D503" t="str">
            <v>CORE</v>
          </cell>
          <cell r="E503" t="str">
            <v>CO25</v>
          </cell>
          <cell r="F503">
            <v>3054.3</v>
          </cell>
          <cell r="G503" t="str">
            <v>AR</v>
          </cell>
          <cell r="H503" t="str">
            <v>ARRARMWSH</v>
          </cell>
          <cell r="I503" t="str">
            <v>ARES1150009</v>
          </cell>
          <cell r="J503" t="str">
            <v>50</v>
          </cell>
          <cell r="K503" t="str">
            <v>SHIRT</v>
          </cell>
          <cell r="L503" t="str">
            <v>NOD</v>
          </cell>
        </row>
        <row r="504">
          <cell r="C504" t="str">
            <v>ARES1150</v>
          </cell>
          <cell r="D504" t="str">
            <v>CORE</v>
          </cell>
          <cell r="E504" t="str">
            <v>CO25</v>
          </cell>
          <cell r="F504">
            <v>3054.3</v>
          </cell>
          <cell r="G504" t="str">
            <v>AR</v>
          </cell>
          <cell r="H504" t="str">
            <v>ARRARMWSH</v>
          </cell>
          <cell r="I504" t="str">
            <v>ARES1150010</v>
          </cell>
          <cell r="J504" t="str">
            <v>52</v>
          </cell>
          <cell r="K504" t="str">
            <v>SHIRT</v>
          </cell>
          <cell r="L504" t="str">
            <v>NOD</v>
          </cell>
        </row>
        <row r="505">
          <cell r="C505" t="str">
            <v>ARES1150G</v>
          </cell>
          <cell r="D505" t="str">
            <v>CORE</v>
          </cell>
          <cell r="E505" t="str">
            <v>CO26</v>
          </cell>
          <cell r="F505">
            <v>2599</v>
          </cell>
          <cell r="G505" t="str">
            <v>AR</v>
          </cell>
          <cell r="H505" t="str">
            <v>ARRARMWSH</v>
          </cell>
          <cell r="I505" t="str">
            <v>ARES1150G001</v>
          </cell>
          <cell r="J505" t="str">
            <v>36</v>
          </cell>
          <cell r="K505" t="str">
            <v>SHIRT</v>
          </cell>
          <cell r="L505" t="str">
            <v>NOD</v>
          </cell>
        </row>
        <row r="506">
          <cell r="C506" t="str">
            <v>ARES1150G</v>
          </cell>
          <cell r="D506" t="str">
            <v>CORE</v>
          </cell>
          <cell r="E506" t="str">
            <v>CO26</v>
          </cell>
          <cell r="F506">
            <v>2599</v>
          </cell>
          <cell r="G506" t="str">
            <v>AR</v>
          </cell>
          <cell r="H506" t="str">
            <v>ARRARMWSH</v>
          </cell>
          <cell r="I506" t="str">
            <v>ARES1150G002</v>
          </cell>
          <cell r="J506" t="str">
            <v>38</v>
          </cell>
          <cell r="K506" t="str">
            <v>SHIRT</v>
          </cell>
          <cell r="L506" t="str">
            <v>NOD</v>
          </cell>
        </row>
        <row r="507">
          <cell r="C507" t="str">
            <v>ARES1150G</v>
          </cell>
          <cell r="D507" t="str">
            <v>CORE</v>
          </cell>
          <cell r="E507" t="str">
            <v>CO26</v>
          </cell>
          <cell r="F507">
            <v>2599</v>
          </cell>
          <cell r="G507" t="str">
            <v>AR</v>
          </cell>
          <cell r="H507" t="str">
            <v>ARRARMWSH</v>
          </cell>
          <cell r="I507" t="str">
            <v>ARES1150G003</v>
          </cell>
          <cell r="J507" t="str">
            <v>39</v>
          </cell>
          <cell r="K507" t="str">
            <v>SHIRT</v>
          </cell>
          <cell r="L507" t="str">
            <v>NOD</v>
          </cell>
        </row>
        <row r="508">
          <cell r="C508" t="str">
            <v>ARES1150G</v>
          </cell>
          <cell r="D508" t="str">
            <v>CORE</v>
          </cell>
          <cell r="E508" t="str">
            <v>CO26</v>
          </cell>
          <cell r="F508">
            <v>2599</v>
          </cell>
          <cell r="G508" t="str">
            <v>AR</v>
          </cell>
          <cell r="H508" t="str">
            <v>ARRARMWSH</v>
          </cell>
          <cell r="I508" t="str">
            <v>ARES1150G004</v>
          </cell>
          <cell r="J508" t="str">
            <v>40</v>
          </cell>
          <cell r="K508" t="str">
            <v>SHIRT</v>
          </cell>
          <cell r="L508" t="str">
            <v>NOD</v>
          </cell>
        </row>
        <row r="509">
          <cell r="C509" t="str">
            <v>ARES1150G</v>
          </cell>
          <cell r="D509" t="str">
            <v>CORE</v>
          </cell>
          <cell r="E509" t="str">
            <v>CO26</v>
          </cell>
          <cell r="F509">
            <v>2599</v>
          </cell>
          <cell r="G509" t="str">
            <v>AR</v>
          </cell>
          <cell r="H509" t="str">
            <v>ARRARMWSH</v>
          </cell>
          <cell r="I509" t="str">
            <v>ARES1150G005</v>
          </cell>
          <cell r="J509" t="str">
            <v>42</v>
          </cell>
          <cell r="K509" t="str">
            <v>SHIRT</v>
          </cell>
          <cell r="L509" t="str">
            <v>NOD</v>
          </cell>
        </row>
        <row r="510">
          <cell r="C510" t="str">
            <v>ARES1150G</v>
          </cell>
          <cell r="D510" t="str">
            <v>CORE</v>
          </cell>
          <cell r="E510" t="str">
            <v>CO26</v>
          </cell>
          <cell r="F510">
            <v>2599</v>
          </cell>
          <cell r="G510" t="str">
            <v>AR</v>
          </cell>
          <cell r="H510" t="str">
            <v>ARRARMWSH</v>
          </cell>
          <cell r="I510" t="str">
            <v>ARES1150G006</v>
          </cell>
          <cell r="J510" t="str">
            <v>44</v>
          </cell>
          <cell r="K510" t="str">
            <v>SHIRT</v>
          </cell>
          <cell r="L510" t="str">
            <v>NOD</v>
          </cell>
        </row>
        <row r="511">
          <cell r="C511" t="str">
            <v>ARES1150G</v>
          </cell>
          <cell r="D511" t="str">
            <v>CORE</v>
          </cell>
          <cell r="E511" t="str">
            <v>CO26</v>
          </cell>
          <cell r="F511">
            <v>2599</v>
          </cell>
          <cell r="G511" t="str">
            <v>AR</v>
          </cell>
          <cell r="H511" t="str">
            <v>ARRARMWSH</v>
          </cell>
          <cell r="I511" t="str">
            <v>ARES1150G007</v>
          </cell>
          <cell r="J511" t="str">
            <v>46</v>
          </cell>
          <cell r="K511" t="str">
            <v>SHIRT</v>
          </cell>
          <cell r="L511" t="str">
            <v>NOD</v>
          </cell>
        </row>
        <row r="512">
          <cell r="C512" t="str">
            <v>ARES1150G</v>
          </cell>
          <cell r="D512" t="str">
            <v>CORE</v>
          </cell>
          <cell r="E512" t="str">
            <v>CO26</v>
          </cell>
          <cell r="F512">
            <v>2599</v>
          </cell>
          <cell r="G512" t="str">
            <v>AR</v>
          </cell>
          <cell r="H512" t="str">
            <v>ARRARMWSH</v>
          </cell>
          <cell r="I512" t="str">
            <v>ARES1150G008</v>
          </cell>
          <cell r="J512" t="str">
            <v>48</v>
          </cell>
          <cell r="K512" t="str">
            <v>SHIRT</v>
          </cell>
          <cell r="L512" t="str">
            <v>NOD</v>
          </cell>
        </row>
        <row r="513">
          <cell r="C513" t="str">
            <v>ARES1150G</v>
          </cell>
          <cell r="D513" t="str">
            <v>CORE</v>
          </cell>
          <cell r="E513" t="str">
            <v>CO26</v>
          </cell>
          <cell r="F513">
            <v>2599</v>
          </cell>
          <cell r="G513" t="str">
            <v>AR</v>
          </cell>
          <cell r="H513" t="str">
            <v>ARRARMWSH</v>
          </cell>
          <cell r="I513" t="str">
            <v>ARES1150G009</v>
          </cell>
          <cell r="J513" t="str">
            <v>50</v>
          </cell>
          <cell r="K513" t="str">
            <v>SHIRT</v>
          </cell>
          <cell r="L513" t="str">
            <v>NOD</v>
          </cell>
        </row>
        <row r="514">
          <cell r="C514" t="str">
            <v>ARES1150G</v>
          </cell>
          <cell r="D514" t="str">
            <v>CORE</v>
          </cell>
          <cell r="E514" t="str">
            <v>CO26</v>
          </cell>
          <cell r="F514">
            <v>2599</v>
          </cell>
          <cell r="G514" t="str">
            <v>AR</v>
          </cell>
          <cell r="H514" t="str">
            <v>ARRARMWSH</v>
          </cell>
          <cell r="I514" t="str">
            <v>ARES1150G010</v>
          </cell>
          <cell r="J514" t="str">
            <v>52</v>
          </cell>
          <cell r="K514" t="str">
            <v>SHIRT</v>
          </cell>
          <cell r="L514" t="str">
            <v>NOD</v>
          </cell>
        </row>
        <row r="515">
          <cell r="C515" t="str">
            <v>ARES1151</v>
          </cell>
          <cell r="D515" t="str">
            <v>CORE</v>
          </cell>
          <cell r="E515" t="str">
            <v>CO25</v>
          </cell>
          <cell r="F515">
            <v>2699</v>
          </cell>
          <cell r="G515" t="str">
            <v>AR</v>
          </cell>
          <cell r="H515" t="str">
            <v>ARRARMWSH</v>
          </cell>
          <cell r="I515" t="str">
            <v>ARES1151001</v>
          </cell>
          <cell r="J515" t="str">
            <v>36</v>
          </cell>
          <cell r="K515" t="str">
            <v>SHIRT</v>
          </cell>
          <cell r="L515" t="str">
            <v>NOD</v>
          </cell>
        </row>
        <row r="516">
          <cell r="C516" t="str">
            <v>ARES1151</v>
          </cell>
          <cell r="D516" t="str">
            <v>CORE</v>
          </cell>
          <cell r="E516" t="str">
            <v>CO25</v>
          </cell>
          <cell r="F516">
            <v>2699</v>
          </cell>
          <cell r="G516" t="str">
            <v>AR</v>
          </cell>
          <cell r="H516" t="str">
            <v>ARRARMWSH</v>
          </cell>
          <cell r="I516" t="str">
            <v>ARES1151002</v>
          </cell>
          <cell r="J516" t="str">
            <v>38</v>
          </cell>
          <cell r="K516" t="str">
            <v>SHIRT</v>
          </cell>
          <cell r="L516" t="str">
            <v>NOD</v>
          </cell>
        </row>
        <row r="517">
          <cell r="C517" t="str">
            <v>ARES1151</v>
          </cell>
          <cell r="D517" t="str">
            <v>CORE</v>
          </cell>
          <cell r="E517" t="str">
            <v>CO25</v>
          </cell>
          <cell r="F517">
            <v>2699</v>
          </cell>
          <cell r="G517" t="str">
            <v>AR</v>
          </cell>
          <cell r="H517" t="str">
            <v>ARRARMWSH</v>
          </cell>
          <cell r="I517" t="str">
            <v>ARES1151003</v>
          </cell>
          <cell r="J517" t="str">
            <v>39</v>
          </cell>
          <cell r="K517" t="str">
            <v>SHIRT</v>
          </cell>
          <cell r="L517" t="str">
            <v>NOD</v>
          </cell>
        </row>
        <row r="518">
          <cell r="C518" t="str">
            <v>ARES1151</v>
          </cell>
          <cell r="D518" t="str">
            <v>CORE</v>
          </cell>
          <cell r="E518" t="str">
            <v>CO25</v>
          </cell>
          <cell r="F518">
            <v>2699</v>
          </cell>
          <cell r="G518" t="str">
            <v>AR</v>
          </cell>
          <cell r="H518" t="str">
            <v>ARRARMWSH</v>
          </cell>
          <cell r="I518" t="str">
            <v>ARES1151004</v>
          </cell>
          <cell r="J518" t="str">
            <v>40</v>
          </cell>
          <cell r="K518" t="str">
            <v>SHIRT</v>
          </cell>
          <cell r="L518" t="str">
            <v>NOD</v>
          </cell>
        </row>
        <row r="519">
          <cell r="C519" t="str">
            <v>ARES1151</v>
          </cell>
          <cell r="D519" t="str">
            <v>CORE</v>
          </cell>
          <cell r="E519" t="str">
            <v>CO25</v>
          </cell>
          <cell r="F519">
            <v>2699</v>
          </cell>
          <cell r="G519" t="str">
            <v>AR</v>
          </cell>
          <cell r="H519" t="str">
            <v>ARRARMWSH</v>
          </cell>
          <cell r="I519" t="str">
            <v>ARES1151005</v>
          </cell>
          <cell r="J519" t="str">
            <v>42</v>
          </cell>
          <cell r="K519" t="str">
            <v>SHIRT</v>
          </cell>
          <cell r="L519" t="str">
            <v>NOD</v>
          </cell>
        </row>
        <row r="520">
          <cell r="C520" t="str">
            <v>ARES1151</v>
          </cell>
          <cell r="D520" t="str">
            <v>CORE</v>
          </cell>
          <cell r="E520" t="str">
            <v>CO25</v>
          </cell>
          <cell r="F520">
            <v>2699</v>
          </cell>
          <cell r="G520" t="str">
            <v>AR</v>
          </cell>
          <cell r="H520" t="str">
            <v>ARRARMWSH</v>
          </cell>
          <cell r="I520" t="str">
            <v>ARES1151006</v>
          </cell>
          <cell r="J520" t="str">
            <v>44</v>
          </cell>
          <cell r="K520" t="str">
            <v>SHIRT</v>
          </cell>
          <cell r="L520" t="str">
            <v>NOD</v>
          </cell>
        </row>
        <row r="521">
          <cell r="C521" t="str">
            <v>ARES1151</v>
          </cell>
          <cell r="D521" t="str">
            <v>CORE</v>
          </cell>
          <cell r="E521" t="str">
            <v>CO25</v>
          </cell>
          <cell r="F521">
            <v>3054</v>
          </cell>
          <cell r="G521" t="str">
            <v>AR</v>
          </cell>
          <cell r="H521" t="str">
            <v>ARRARMWSH</v>
          </cell>
          <cell r="I521" t="str">
            <v>ARES1151007</v>
          </cell>
          <cell r="J521" t="str">
            <v>46</v>
          </cell>
          <cell r="K521" t="str">
            <v>SHIRT</v>
          </cell>
          <cell r="L521" t="str">
            <v>NOD</v>
          </cell>
        </row>
        <row r="522">
          <cell r="C522" t="str">
            <v>ARES1151</v>
          </cell>
          <cell r="D522" t="str">
            <v>CORE</v>
          </cell>
          <cell r="E522" t="str">
            <v>CO25</v>
          </cell>
          <cell r="F522">
            <v>3054</v>
          </cell>
          <cell r="G522" t="str">
            <v>AR</v>
          </cell>
          <cell r="H522" t="str">
            <v>ARRARMWSH</v>
          </cell>
          <cell r="I522" t="str">
            <v>ARES1151008</v>
          </cell>
          <cell r="J522" t="str">
            <v>48</v>
          </cell>
          <cell r="K522" t="str">
            <v>SHIRT</v>
          </cell>
          <cell r="L522" t="str">
            <v>NOD</v>
          </cell>
        </row>
        <row r="523">
          <cell r="C523" t="str">
            <v>ARES1151</v>
          </cell>
          <cell r="D523" t="str">
            <v>CORE</v>
          </cell>
          <cell r="E523" t="str">
            <v>CO25</v>
          </cell>
          <cell r="F523">
            <v>3054</v>
          </cell>
          <cell r="G523" t="str">
            <v>AR</v>
          </cell>
          <cell r="H523" t="str">
            <v>ARRARMWSH</v>
          </cell>
          <cell r="I523" t="str">
            <v>ARES1151009</v>
          </cell>
          <cell r="J523" t="str">
            <v>50</v>
          </cell>
          <cell r="K523" t="str">
            <v>SHIRT</v>
          </cell>
          <cell r="L523" t="str">
            <v>NOD</v>
          </cell>
        </row>
        <row r="524">
          <cell r="C524" t="str">
            <v>ARES1151</v>
          </cell>
          <cell r="D524" t="str">
            <v>CORE</v>
          </cell>
          <cell r="E524" t="str">
            <v>CO25</v>
          </cell>
          <cell r="F524">
            <v>3054</v>
          </cell>
          <cell r="G524" t="str">
            <v>AR</v>
          </cell>
          <cell r="H524" t="str">
            <v>ARRARMWSH</v>
          </cell>
          <cell r="I524" t="str">
            <v>ARES1151010</v>
          </cell>
          <cell r="J524" t="str">
            <v>52</v>
          </cell>
          <cell r="K524" t="str">
            <v>SHIRT</v>
          </cell>
          <cell r="L524" t="str">
            <v>NOD</v>
          </cell>
        </row>
        <row r="525">
          <cell r="C525" t="str">
            <v>ARES1151G</v>
          </cell>
          <cell r="D525" t="str">
            <v>CORE</v>
          </cell>
          <cell r="E525" t="str">
            <v>CO26</v>
          </cell>
          <cell r="F525">
            <v>2599</v>
          </cell>
          <cell r="G525" t="str">
            <v>AR</v>
          </cell>
          <cell r="H525" t="str">
            <v>ARRARMWSH</v>
          </cell>
          <cell r="I525" t="str">
            <v>ARES1151G001</v>
          </cell>
          <cell r="J525" t="str">
            <v>36</v>
          </cell>
          <cell r="K525" t="str">
            <v>SHIRT</v>
          </cell>
          <cell r="L525" t="str">
            <v>NOD</v>
          </cell>
        </row>
        <row r="526">
          <cell r="C526" t="str">
            <v>ARES1151G</v>
          </cell>
          <cell r="D526" t="str">
            <v>CORE</v>
          </cell>
          <cell r="E526" t="str">
            <v>CO26</v>
          </cell>
          <cell r="F526">
            <v>2599</v>
          </cell>
          <cell r="G526" t="str">
            <v>AR</v>
          </cell>
          <cell r="H526" t="str">
            <v>ARRARMWSH</v>
          </cell>
          <cell r="I526" t="str">
            <v>ARES1151G002</v>
          </cell>
          <cell r="J526" t="str">
            <v>38</v>
          </cell>
          <cell r="K526" t="str">
            <v>SHIRT</v>
          </cell>
          <cell r="L526" t="str">
            <v>NOD</v>
          </cell>
        </row>
        <row r="527">
          <cell r="C527" t="str">
            <v>ARES1151G</v>
          </cell>
          <cell r="D527" t="str">
            <v>CORE</v>
          </cell>
          <cell r="E527" t="str">
            <v>CO26</v>
          </cell>
          <cell r="F527">
            <v>2599</v>
          </cell>
          <cell r="G527" t="str">
            <v>AR</v>
          </cell>
          <cell r="H527" t="str">
            <v>ARRARMWSH</v>
          </cell>
          <cell r="I527" t="str">
            <v>ARES1151G003</v>
          </cell>
          <cell r="J527" t="str">
            <v>39</v>
          </cell>
          <cell r="K527" t="str">
            <v>SHIRT</v>
          </cell>
          <cell r="L527" t="str">
            <v>NOD</v>
          </cell>
        </row>
        <row r="528">
          <cell r="C528" t="str">
            <v>ARES1151G</v>
          </cell>
          <cell r="D528" t="str">
            <v>CORE</v>
          </cell>
          <cell r="E528" t="str">
            <v>CO26</v>
          </cell>
          <cell r="F528">
            <v>2599</v>
          </cell>
          <cell r="G528" t="str">
            <v>AR</v>
          </cell>
          <cell r="H528" t="str">
            <v>ARRARMWSH</v>
          </cell>
          <cell r="I528" t="str">
            <v>ARES1151G004</v>
          </cell>
          <cell r="J528" t="str">
            <v>40</v>
          </cell>
          <cell r="K528" t="str">
            <v>SHIRT</v>
          </cell>
          <cell r="L528" t="str">
            <v>NOD</v>
          </cell>
        </row>
        <row r="529">
          <cell r="C529" t="str">
            <v>ARES1151G</v>
          </cell>
          <cell r="D529" t="str">
            <v>CORE</v>
          </cell>
          <cell r="E529" t="str">
            <v>CO26</v>
          </cell>
          <cell r="F529">
            <v>2599</v>
          </cell>
          <cell r="G529" t="str">
            <v>AR</v>
          </cell>
          <cell r="H529" t="str">
            <v>ARRARMWSH</v>
          </cell>
          <cell r="I529" t="str">
            <v>ARES1151G005</v>
          </cell>
          <cell r="J529" t="str">
            <v>42</v>
          </cell>
          <cell r="K529" t="str">
            <v>SHIRT</v>
          </cell>
          <cell r="L529" t="str">
            <v>NOD</v>
          </cell>
        </row>
        <row r="530">
          <cell r="C530" t="str">
            <v>ARES1151G</v>
          </cell>
          <cell r="D530" t="str">
            <v>CORE</v>
          </cell>
          <cell r="E530" t="str">
            <v>CO26</v>
          </cell>
          <cell r="F530">
            <v>2599</v>
          </cell>
          <cell r="G530" t="str">
            <v>AR</v>
          </cell>
          <cell r="H530" t="str">
            <v>ARRARMWSH</v>
          </cell>
          <cell r="I530" t="str">
            <v>ARES1151G006</v>
          </cell>
          <cell r="J530" t="str">
            <v>44</v>
          </cell>
          <cell r="K530" t="str">
            <v>SHIRT</v>
          </cell>
          <cell r="L530" t="str">
            <v>NOD</v>
          </cell>
        </row>
        <row r="531">
          <cell r="C531" t="str">
            <v>ARES1151G</v>
          </cell>
          <cell r="D531" t="str">
            <v>CORE</v>
          </cell>
          <cell r="E531" t="str">
            <v>CO26</v>
          </cell>
          <cell r="F531">
            <v>2599</v>
          </cell>
          <cell r="G531" t="str">
            <v>AR</v>
          </cell>
          <cell r="H531" t="str">
            <v>ARRARMWSH</v>
          </cell>
          <cell r="I531" t="str">
            <v>ARES1151G007</v>
          </cell>
          <cell r="J531" t="str">
            <v>46</v>
          </cell>
          <cell r="K531" t="str">
            <v>SHIRT</v>
          </cell>
          <cell r="L531" t="str">
            <v>NOD</v>
          </cell>
        </row>
        <row r="532">
          <cell r="C532" t="str">
            <v>ARES1151G</v>
          </cell>
          <cell r="D532" t="str">
            <v>CORE</v>
          </cell>
          <cell r="E532" t="str">
            <v>CO26</v>
          </cell>
          <cell r="F532">
            <v>2599</v>
          </cell>
          <cell r="G532" t="str">
            <v>AR</v>
          </cell>
          <cell r="H532" t="str">
            <v>ARRARMWSH</v>
          </cell>
          <cell r="I532" t="str">
            <v>ARES1151G008</v>
          </cell>
          <cell r="J532" t="str">
            <v>48</v>
          </cell>
          <cell r="K532" t="str">
            <v>SHIRT</v>
          </cell>
          <cell r="L532" t="str">
            <v>NOD</v>
          </cell>
        </row>
        <row r="533">
          <cell r="C533" t="str">
            <v>ARES1151G</v>
          </cell>
          <cell r="D533" t="str">
            <v>CORE</v>
          </cell>
          <cell r="E533" t="str">
            <v>CO26</v>
          </cell>
          <cell r="F533">
            <v>2599</v>
          </cell>
          <cell r="G533" t="str">
            <v>AR</v>
          </cell>
          <cell r="H533" t="str">
            <v>ARRARMWSH</v>
          </cell>
          <cell r="I533" t="str">
            <v>ARES1151G009</v>
          </cell>
          <cell r="J533" t="str">
            <v>50</v>
          </cell>
          <cell r="K533" t="str">
            <v>SHIRT</v>
          </cell>
          <cell r="L533" t="str">
            <v>NOD</v>
          </cell>
        </row>
        <row r="534">
          <cell r="C534" t="str">
            <v>ARES1151G</v>
          </cell>
          <cell r="D534" t="str">
            <v>CORE</v>
          </cell>
          <cell r="E534" t="str">
            <v>CO26</v>
          </cell>
          <cell r="F534">
            <v>2599</v>
          </cell>
          <cell r="G534" t="str">
            <v>AR</v>
          </cell>
          <cell r="H534" t="str">
            <v>ARRARMWSH</v>
          </cell>
          <cell r="I534" t="str">
            <v>ARES1151G010</v>
          </cell>
          <cell r="J534" t="str">
            <v>52</v>
          </cell>
          <cell r="K534" t="str">
            <v>SHIRT</v>
          </cell>
          <cell r="L534" t="str">
            <v>NOD</v>
          </cell>
        </row>
        <row r="535">
          <cell r="C535" t="str">
            <v>ARES1152</v>
          </cell>
          <cell r="D535" t="str">
            <v>CORE</v>
          </cell>
          <cell r="E535" t="str">
            <v>CO26</v>
          </cell>
          <cell r="F535">
            <v>2299</v>
          </cell>
          <cell r="G535" t="str">
            <v>AR</v>
          </cell>
          <cell r="H535" t="str">
            <v>ARRARMWSH</v>
          </cell>
          <cell r="I535" t="str">
            <v>ARES1152001</v>
          </cell>
          <cell r="J535" t="str">
            <v>36</v>
          </cell>
          <cell r="K535" t="str">
            <v>SHIRT</v>
          </cell>
          <cell r="L535" t="str">
            <v>NOD</v>
          </cell>
        </row>
        <row r="536">
          <cell r="C536" t="str">
            <v>ARES1152</v>
          </cell>
          <cell r="D536" t="str">
            <v>CORE</v>
          </cell>
          <cell r="E536" t="str">
            <v>CO26</v>
          </cell>
          <cell r="F536">
            <v>2299</v>
          </cell>
          <cell r="G536" t="str">
            <v>AR</v>
          </cell>
          <cell r="H536" t="str">
            <v>ARRARMWSH</v>
          </cell>
          <cell r="I536" t="str">
            <v>ARES1152002</v>
          </cell>
          <cell r="J536" t="str">
            <v>38</v>
          </cell>
          <cell r="K536" t="str">
            <v>SHIRT</v>
          </cell>
          <cell r="L536" t="str">
            <v>NOD</v>
          </cell>
        </row>
        <row r="537">
          <cell r="C537" t="str">
            <v>ARES1152</v>
          </cell>
          <cell r="D537" t="str">
            <v>CORE</v>
          </cell>
          <cell r="E537" t="str">
            <v>CO26</v>
          </cell>
          <cell r="F537">
            <v>2299</v>
          </cell>
          <cell r="G537" t="str">
            <v>AR</v>
          </cell>
          <cell r="H537" t="str">
            <v>ARRARMWSH</v>
          </cell>
          <cell r="I537" t="str">
            <v>ARES1152003</v>
          </cell>
          <cell r="J537" t="str">
            <v>39</v>
          </cell>
          <cell r="K537" t="str">
            <v>SHIRT</v>
          </cell>
          <cell r="L537" t="str">
            <v>NOD</v>
          </cell>
        </row>
        <row r="538">
          <cell r="C538" t="str">
            <v>ARES1152</v>
          </cell>
          <cell r="D538" t="str">
            <v>CORE</v>
          </cell>
          <cell r="E538" t="str">
            <v>CO26</v>
          </cell>
          <cell r="F538">
            <v>2299</v>
          </cell>
          <cell r="G538" t="str">
            <v>AR</v>
          </cell>
          <cell r="H538" t="str">
            <v>ARRARMWSH</v>
          </cell>
          <cell r="I538" t="str">
            <v>ARES1152004</v>
          </cell>
          <cell r="J538" t="str">
            <v>40</v>
          </cell>
          <cell r="K538" t="str">
            <v>SHIRT</v>
          </cell>
          <cell r="L538" t="str">
            <v>NOD</v>
          </cell>
        </row>
        <row r="539">
          <cell r="C539" t="str">
            <v>ARES1152</v>
          </cell>
          <cell r="D539" t="str">
            <v>CORE</v>
          </cell>
          <cell r="E539" t="str">
            <v>CO26</v>
          </cell>
          <cell r="F539">
            <v>2299</v>
          </cell>
          <cell r="G539" t="str">
            <v>AR</v>
          </cell>
          <cell r="H539" t="str">
            <v>ARRARMWSH</v>
          </cell>
          <cell r="I539" t="str">
            <v>ARES1152005</v>
          </cell>
          <cell r="J539" t="str">
            <v>42</v>
          </cell>
          <cell r="K539" t="str">
            <v>SHIRT</v>
          </cell>
          <cell r="L539" t="str">
            <v>NOD</v>
          </cell>
        </row>
        <row r="540">
          <cell r="C540" t="str">
            <v>ARES1152</v>
          </cell>
          <cell r="D540" t="str">
            <v>CORE</v>
          </cell>
          <cell r="E540" t="str">
            <v>CO26</v>
          </cell>
          <cell r="F540">
            <v>2299</v>
          </cell>
          <cell r="G540" t="str">
            <v>AR</v>
          </cell>
          <cell r="H540" t="str">
            <v>ARRARMWSH</v>
          </cell>
          <cell r="I540" t="str">
            <v>ARES1152006</v>
          </cell>
          <cell r="J540" t="str">
            <v>44</v>
          </cell>
          <cell r="K540" t="str">
            <v>SHIRT</v>
          </cell>
          <cell r="L540" t="str">
            <v>NOD</v>
          </cell>
        </row>
        <row r="541">
          <cell r="C541" t="str">
            <v>ARES1152</v>
          </cell>
          <cell r="D541" t="str">
            <v>CORE</v>
          </cell>
          <cell r="E541" t="str">
            <v>CO26</v>
          </cell>
          <cell r="F541">
            <v>2499</v>
          </cell>
          <cell r="G541" t="str">
            <v>AR</v>
          </cell>
          <cell r="H541" t="str">
            <v>ARRARMWSH</v>
          </cell>
          <cell r="I541" t="str">
            <v>ARES1152007</v>
          </cell>
          <cell r="J541" t="str">
            <v>46</v>
          </cell>
          <cell r="K541" t="str">
            <v>SHIRT</v>
          </cell>
          <cell r="L541" t="str">
            <v>NOD</v>
          </cell>
        </row>
        <row r="542">
          <cell r="C542" t="str">
            <v>ARES1152</v>
          </cell>
          <cell r="D542" t="str">
            <v>CORE</v>
          </cell>
          <cell r="E542" t="str">
            <v>CO26</v>
          </cell>
          <cell r="F542">
            <v>2499</v>
          </cell>
          <cell r="G542" t="str">
            <v>AR</v>
          </cell>
          <cell r="H542" t="str">
            <v>ARRARMWSH</v>
          </cell>
          <cell r="I542" t="str">
            <v>ARES1152008</v>
          </cell>
          <cell r="J542" t="str">
            <v>48</v>
          </cell>
          <cell r="K542" t="str">
            <v>SHIRT</v>
          </cell>
          <cell r="L542" t="str">
            <v>NOD</v>
          </cell>
        </row>
        <row r="543">
          <cell r="C543" t="str">
            <v>ARES1152</v>
          </cell>
          <cell r="D543" t="str">
            <v>CORE</v>
          </cell>
          <cell r="E543" t="str">
            <v>CO26</v>
          </cell>
          <cell r="F543">
            <v>2499</v>
          </cell>
          <cell r="G543" t="str">
            <v>AR</v>
          </cell>
          <cell r="H543" t="str">
            <v>ARRARMWSH</v>
          </cell>
          <cell r="I543" t="str">
            <v>ARES1152009</v>
          </cell>
          <cell r="J543" t="str">
            <v>50</v>
          </cell>
          <cell r="K543" t="str">
            <v>SHIRT</v>
          </cell>
          <cell r="L543" t="str">
            <v>NOD</v>
          </cell>
        </row>
        <row r="544">
          <cell r="C544" t="str">
            <v>ARES1152</v>
          </cell>
          <cell r="D544" t="str">
            <v>CORE</v>
          </cell>
          <cell r="E544" t="str">
            <v>CO26</v>
          </cell>
          <cell r="F544">
            <v>2499</v>
          </cell>
          <cell r="G544" t="str">
            <v>AR</v>
          </cell>
          <cell r="H544" t="str">
            <v>ARRARMWSH</v>
          </cell>
          <cell r="I544" t="str">
            <v>ARES1152010</v>
          </cell>
          <cell r="J544" t="str">
            <v>52</v>
          </cell>
          <cell r="K544" t="str">
            <v>SHIRT</v>
          </cell>
          <cell r="L544" t="str">
            <v>NOD</v>
          </cell>
        </row>
        <row r="545">
          <cell r="C545" t="str">
            <v>ARES1153</v>
          </cell>
          <cell r="D545" t="str">
            <v>CORE</v>
          </cell>
          <cell r="E545" t="str">
            <v>CO26</v>
          </cell>
          <cell r="F545">
            <v>2499</v>
          </cell>
          <cell r="G545" t="str">
            <v>AR</v>
          </cell>
          <cell r="H545" t="str">
            <v>ARRARMWSH</v>
          </cell>
          <cell r="I545" t="str">
            <v>ARES1153001</v>
          </cell>
          <cell r="J545" t="str">
            <v>36</v>
          </cell>
          <cell r="K545" t="str">
            <v>SHIRT</v>
          </cell>
          <cell r="L545" t="str">
            <v>NOD</v>
          </cell>
        </row>
        <row r="546">
          <cell r="C546" t="str">
            <v>ARES1153</v>
          </cell>
          <cell r="D546" t="str">
            <v>CORE</v>
          </cell>
          <cell r="E546" t="str">
            <v>CO26</v>
          </cell>
          <cell r="F546">
            <v>2499</v>
          </cell>
          <cell r="G546" t="str">
            <v>AR</v>
          </cell>
          <cell r="H546" t="str">
            <v>ARRARMWSH</v>
          </cell>
          <cell r="I546" t="str">
            <v>ARES1153002</v>
          </cell>
          <cell r="J546" t="str">
            <v>38</v>
          </cell>
          <cell r="K546" t="str">
            <v>SHIRT</v>
          </cell>
          <cell r="L546" t="str">
            <v>NOD</v>
          </cell>
        </row>
        <row r="547">
          <cell r="C547" t="str">
            <v>ARES1153</v>
          </cell>
          <cell r="D547" t="str">
            <v>CORE</v>
          </cell>
          <cell r="E547" t="str">
            <v>CO26</v>
          </cell>
          <cell r="F547">
            <v>2499</v>
          </cell>
          <cell r="G547" t="str">
            <v>AR</v>
          </cell>
          <cell r="H547" t="str">
            <v>ARRARMWSH</v>
          </cell>
          <cell r="I547" t="str">
            <v>ARES1153003</v>
          </cell>
          <cell r="J547" t="str">
            <v>39</v>
          </cell>
          <cell r="K547" t="str">
            <v>SHIRT</v>
          </cell>
          <cell r="L547" t="str">
            <v>NOD</v>
          </cell>
        </row>
        <row r="548">
          <cell r="C548" t="str">
            <v>ARES1153</v>
          </cell>
          <cell r="D548" t="str">
            <v>CORE</v>
          </cell>
          <cell r="E548" t="str">
            <v>CO26</v>
          </cell>
          <cell r="F548">
            <v>2499</v>
          </cell>
          <cell r="G548" t="str">
            <v>AR</v>
          </cell>
          <cell r="H548" t="str">
            <v>ARRARMWSH</v>
          </cell>
          <cell r="I548" t="str">
            <v>ARES1153004</v>
          </cell>
          <cell r="J548" t="str">
            <v>40</v>
          </cell>
          <cell r="K548" t="str">
            <v>SHIRT</v>
          </cell>
          <cell r="L548" t="str">
            <v>NOD</v>
          </cell>
        </row>
        <row r="549">
          <cell r="C549" t="str">
            <v>ARES1153</v>
          </cell>
          <cell r="D549" t="str">
            <v>CORE</v>
          </cell>
          <cell r="E549" t="str">
            <v>CO26</v>
          </cell>
          <cell r="F549">
            <v>2499</v>
          </cell>
          <cell r="G549" t="str">
            <v>AR</v>
          </cell>
          <cell r="H549" t="str">
            <v>ARRARMWSH</v>
          </cell>
          <cell r="I549" t="str">
            <v>ARES1153005</v>
          </cell>
          <cell r="J549" t="str">
            <v>42</v>
          </cell>
          <cell r="K549" t="str">
            <v>SHIRT</v>
          </cell>
          <cell r="L549" t="str">
            <v>NOD</v>
          </cell>
        </row>
        <row r="550">
          <cell r="C550" t="str">
            <v>ARES1153</v>
          </cell>
          <cell r="D550" t="str">
            <v>CORE</v>
          </cell>
          <cell r="E550" t="str">
            <v>CO26</v>
          </cell>
          <cell r="F550">
            <v>2499</v>
          </cell>
          <cell r="G550" t="str">
            <v>AR</v>
          </cell>
          <cell r="H550" t="str">
            <v>ARRARMWSH</v>
          </cell>
          <cell r="I550" t="str">
            <v>ARES1153006</v>
          </cell>
          <cell r="J550" t="str">
            <v>44</v>
          </cell>
          <cell r="K550" t="str">
            <v>SHIRT</v>
          </cell>
          <cell r="L550" t="str">
            <v>NOD</v>
          </cell>
        </row>
        <row r="551">
          <cell r="C551" t="str">
            <v>ARES1153</v>
          </cell>
          <cell r="D551" t="str">
            <v>CORE</v>
          </cell>
          <cell r="E551" t="str">
            <v>CO26</v>
          </cell>
          <cell r="F551">
            <v>2699</v>
          </cell>
          <cell r="G551" t="str">
            <v>AR</v>
          </cell>
          <cell r="H551" t="str">
            <v>ARRARMWSH</v>
          </cell>
          <cell r="I551" t="str">
            <v>ARES1153007</v>
          </cell>
          <cell r="J551" t="str">
            <v>46</v>
          </cell>
          <cell r="K551" t="str">
            <v>SHIRT</v>
          </cell>
          <cell r="L551" t="str">
            <v>NOD</v>
          </cell>
        </row>
        <row r="552">
          <cell r="C552" t="str">
            <v>ARES1153</v>
          </cell>
          <cell r="D552" t="str">
            <v>CORE</v>
          </cell>
          <cell r="E552" t="str">
            <v>CO26</v>
          </cell>
          <cell r="F552">
            <v>2699</v>
          </cell>
          <cell r="G552" t="str">
            <v>AR</v>
          </cell>
          <cell r="H552" t="str">
            <v>ARRARMWSH</v>
          </cell>
          <cell r="I552" t="str">
            <v>ARES1153008</v>
          </cell>
          <cell r="J552" t="str">
            <v>48</v>
          </cell>
          <cell r="K552" t="str">
            <v>SHIRT</v>
          </cell>
          <cell r="L552" t="str">
            <v>NOD</v>
          </cell>
        </row>
        <row r="553">
          <cell r="C553" t="str">
            <v>ARES1153</v>
          </cell>
          <cell r="D553" t="str">
            <v>CORE</v>
          </cell>
          <cell r="E553" t="str">
            <v>CO26</v>
          </cell>
          <cell r="F553">
            <v>2699</v>
          </cell>
          <cell r="G553" t="str">
            <v>AR</v>
          </cell>
          <cell r="H553" t="str">
            <v>ARRARMWSH</v>
          </cell>
          <cell r="I553" t="str">
            <v>ARES1153009</v>
          </cell>
          <cell r="J553" t="str">
            <v>50</v>
          </cell>
          <cell r="K553" t="str">
            <v>SHIRT</v>
          </cell>
          <cell r="L553" t="str">
            <v>NOD</v>
          </cell>
        </row>
        <row r="554">
          <cell r="C554" t="str">
            <v>ARES1153</v>
          </cell>
          <cell r="D554" t="str">
            <v>CORE</v>
          </cell>
          <cell r="E554" t="str">
            <v>CO26</v>
          </cell>
          <cell r="F554">
            <v>2699</v>
          </cell>
          <cell r="G554" t="str">
            <v>AR</v>
          </cell>
          <cell r="H554" t="str">
            <v>ARRARMWSH</v>
          </cell>
          <cell r="I554" t="str">
            <v>ARES1153010</v>
          </cell>
          <cell r="J554" t="str">
            <v>52</v>
          </cell>
          <cell r="K554" t="str">
            <v>SHIRT</v>
          </cell>
          <cell r="L554" t="str">
            <v>NOD</v>
          </cell>
        </row>
        <row r="555">
          <cell r="C555" t="str">
            <v>ARES1154</v>
          </cell>
          <cell r="D555" t="str">
            <v>CORE</v>
          </cell>
          <cell r="E555" t="str">
            <v>CO25</v>
          </cell>
          <cell r="F555">
            <v>3159</v>
          </cell>
          <cell r="G555" t="str">
            <v>AR</v>
          </cell>
          <cell r="H555" t="str">
            <v>ARRARMWSH</v>
          </cell>
          <cell r="I555" t="str">
            <v>ARES1154001</v>
          </cell>
          <cell r="J555" t="str">
            <v>36</v>
          </cell>
          <cell r="K555" t="str">
            <v>SHIRT</v>
          </cell>
          <cell r="L555" t="str">
            <v>NOD</v>
          </cell>
        </row>
        <row r="556">
          <cell r="C556" t="str">
            <v>ARES1154</v>
          </cell>
          <cell r="D556" t="str">
            <v>CORE</v>
          </cell>
          <cell r="E556" t="str">
            <v>CO25</v>
          </cell>
          <cell r="F556">
            <v>3159</v>
          </cell>
          <cell r="G556" t="str">
            <v>AR</v>
          </cell>
          <cell r="H556" t="str">
            <v>ARRARMWSH</v>
          </cell>
          <cell r="I556" t="str">
            <v>ARES1154002</v>
          </cell>
          <cell r="J556" t="str">
            <v>38</v>
          </cell>
          <cell r="K556" t="str">
            <v>SHIRT</v>
          </cell>
          <cell r="L556" t="str">
            <v>NOD</v>
          </cell>
        </row>
        <row r="557">
          <cell r="C557" t="str">
            <v>ARES1154</v>
          </cell>
          <cell r="D557" t="str">
            <v>CORE</v>
          </cell>
          <cell r="E557" t="str">
            <v>CO25</v>
          </cell>
          <cell r="F557">
            <v>3159</v>
          </cell>
          <cell r="G557" t="str">
            <v>AR</v>
          </cell>
          <cell r="H557" t="str">
            <v>ARRARMWSH</v>
          </cell>
          <cell r="I557" t="str">
            <v>ARES1154003</v>
          </cell>
          <cell r="J557" t="str">
            <v>39</v>
          </cell>
          <cell r="K557" t="str">
            <v>SHIRT</v>
          </cell>
          <cell r="L557" t="str">
            <v>NOD</v>
          </cell>
        </row>
        <row r="558">
          <cell r="C558" t="str">
            <v>ARES1154</v>
          </cell>
          <cell r="D558" t="str">
            <v>CORE</v>
          </cell>
          <cell r="E558" t="str">
            <v>CO25</v>
          </cell>
          <cell r="F558">
            <v>3159</v>
          </cell>
          <cell r="G558" t="str">
            <v>AR</v>
          </cell>
          <cell r="H558" t="str">
            <v>ARRARMWSH</v>
          </cell>
          <cell r="I558" t="str">
            <v>ARES1154004</v>
          </cell>
          <cell r="J558" t="str">
            <v>40</v>
          </cell>
          <cell r="K558" t="str">
            <v>SHIRT</v>
          </cell>
          <cell r="L558" t="str">
            <v>NOD</v>
          </cell>
        </row>
        <row r="559">
          <cell r="C559" t="str">
            <v>ARES1154</v>
          </cell>
          <cell r="D559" t="str">
            <v>CORE</v>
          </cell>
          <cell r="E559" t="str">
            <v>CO25</v>
          </cell>
          <cell r="F559">
            <v>3159</v>
          </cell>
          <cell r="G559" t="str">
            <v>AR</v>
          </cell>
          <cell r="H559" t="str">
            <v>ARRARMWSH</v>
          </cell>
          <cell r="I559" t="str">
            <v>ARES1154005</v>
          </cell>
          <cell r="J559" t="str">
            <v>42</v>
          </cell>
          <cell r="K559" t="str">
            <v>SHIRT</v>
          </cell>
          <cell r="L559" t="str">
            <v>NOD</v>
          </cell>
        </row>
        <row r="560">
          <cell r="C560" t="str">
            <v>ARES1154</v>
          </cell>
          <cell r="D560" t="str">
            <v>CORE</v>
          </cell>
          <cell r="E560" t="str">
            <v>CO25</v>
          </cell>
          <cell r="F560">
            <v>3159</v>
          </cell>
          <cell r="G560" t="str">
            <v>AR</v>
          </cell>
          <cell r="H560" t="str">
            <v>ARRARMWSH</v>
          </cell>
          <cell r="I560" t="str">
            <v>ARES1154006</v>
          </cell>
          <cell r="J560" t="str">
            <v>44</v>
          </cell>
          <cell r="K560" t="str">
            <v>SHIRT</v>
          </cell>
          <cell r="L560" t="str">
            <v>NOD</v>
          </cell>
        </row>
        <row r="561">
          <cell r="C561" t="str">
            <v>ARES1154</v>
          </cell>
          <cell r="D561" t="str">
            <v>CORE</v>
          </cell>
          <cell r="E561" t="str">
            <v>CO25</v>
          </cell>
          <cell r="F561">
            <v>3370</v>
          </cell>
          <cell r="G561" t="str">
            <v>AR</v>
          </cell>
          <cell r="H561" t="str">
            <v>ARRARMWSH</v>
          </cell>
          <cell r="I561" t="str">
            <v>ARES1154007</v>
          </cell>
          <cell r="J561" t="str">
            <v>46</v>
          </cell>
          <cell r="K561" t="str">
            <v>SHIRT</v>
          </cell>
          <cell r="L561" t="str">
            <v>NOD</v>
          </cell>
        </row>
        <row r="562">
          <cell r="C562" t="str">
            <v>ARES1154</v>
          </cell>
          <cell r="D562" t="str">
            <v>CORE</v>
          </cell>
          <cell r="E562" t="str">
            <v>CO25</v>
          </cell>
          <cell r="F562">
            <v>3370</v>
          </cell>
          <cell r="G562" t="str">
            <v>AR</v>
          </cell>
          <cell r="H562" t="str">
            <v>ARRARMWSH</v>
          </cell>
          <cell r="I562" t="str">
            <v>ARES1154008</v>
          </cell>
          <cell r="J562" t="str">
            <v>48</v>
          </cell>
          <cell r="K562" t="str">
            <v>SHIRT</v>
          </cell>
          <cell r="L562" t="str">
            <v>NOD</v>
          </cell>
        </row>
        <row r="563">
          <cell r="C563" t="str">
            <v>ARES1154</v>
          </cell>
          <cell r="D563" t="str">
            <v>CORE</v>
          </cell>
          <cell r="E563" t="str">
            <v>CO25</v>
          </cell>
          <cell r="F563">
            <v>3370</v>
          </cell>
          <cell r="G563" t="str">
            <v>AR</v>
          </cell>
          <cell r="H563" t="str">
            <v>ARRARMWSH</v>
          </cell>
          <cell r="I563" t="str">
            <v>ARES1154009</v>
          </cell>
          <cell r="J563" t="str">
            <v>50</v>
          </cell>
          <cell r="K563" t="str">
            <v>SHIRT</v>
          </cell>
          <cell r="L563" t="str">
            <v>NOD</v>
          </cell>
        </row>
        <row r="564">
          <cell r="C564" t="str">
            <v>ARES1154</v>
          </cell>
          <cell r="D564" t="str">
            <v>CORE</v>
          </cell>
          <cell r="E564" t="str">
            <v>CO25</v>
          </cell>
          <cell r="F564">
            <v>3370</v>
          </cell>
          <cell r="G564" t="str">
            <v>AR</v>
          </cell>
          <cell r="H564" t="str">
            <v>ARRARMWSH</v>
          </cell>
          <cell r="I564" t="str">
            <v>ARES1154010</v>
          </cell>
          <cell r="J564" t="str">
            <v>52</v>
          </cell>
          <cell r="K564" t="str">
            <v>SHIRT</v>
          </cell>
          <cell r="L564" t="str">
            <v>NOD</v>
          </cell>
        </row>
        <row r="565">
          <cell r="C565" t="str">
            <v>ARES1154G</v>
          </cell>
          <cell r="D565" t="str">
            <v>CORE</v>
          </cell>
          <cell r="E565" t="str">
            <v>CO26</v>
          </cell>
          <cell r="F565">
            <v>3299</v>
          </cell>
          <cell r="G565" t="str">
            <v>AR</v>
          </cell>
          <cell r="H565" t="str">
            <v>ARRARMWSH</v>
          </cell>
          <cell r="I565" t="str">
            <v>ARES1154G001</v>
          </cell>
          <cell r="J565" t="str">
            <v>36</v>
          </cell>
          <cell r="K565" t="str">
            <v>SHIRT</v>
          </cell>
          <cell r="L565" t="str">
            <v>NOD</v>
          </cell>
        </row>
        <row r="566">
          <cell r="C566" t="str">
            <v>ARES1154G</v>
          </cell>
          <cell r="D566" t="str">
            <v>CORE</v>
          </cell>
          <cell r="E566" t="str">
            <v>CO26</v>
          </cell>
          <cell r="F566">
            <v>3299</v>
          </cell>
          <cell r="G566" t="str">
            <v>AR</v>
          </cell>
          <cell r="H566" t="str">
            <v>ARRARMWSH</v>
          </cell>
          <cell r="I566" t="str">
            <v>ARES1154G002</v>
          </cell>
          <cell r="J566" t="str">
            <v>38</v>
          </cell>
          <cell r="K566" t="str">
            <v>SHIRT</v>
          </cell>
          <cell r="L566" t="str">
            <v>NOD</v>
          </cell>
        </row>
        <row r="567">
          <cell r="C567" t="str">
            <v>ARES1154G</v>
          </cell>
          <cell r="D567" t="str">
            <v>CORE</v>
          </cell>
          <cell r="E567" t="str">
            <v>CO26</v>
          </cell>
          <cell r="F567">
            <v>3299</v>
          </cell>
          <cell r="G567" t="str">
            <v>AR</v>
          </cell>
          <cell r="H567" t="str">
            <v>ARRARMWSH</v>
          </cell>
          <cell r="I567" t="str">
            <v>ARES1154G003</v>
          </cell>
          <cell r="J567" t="str">
            <v>39</v>
          </cell>
          <cell r="K567" t="str">
            <v>SHIRT</v>
          </cell>
          <cell r="L567" t="str">
            <v>NOD</v>
          </cell>
        </row>
        <row r="568">
          <cell r="C568" t="str">
            <v>ARES1154G</v>
          </cell>
          <cell r="D568" t="str">
            <v>CORE</v>
          </cell>
          <cell r="E568" t="str">
            <v>CO26</v>
          </cell>
          <cell r="F568">
            <v>3299</v>
          </cell>
          <cell r="G568" t="str">
            <v>AR</v>
          </cell>
          <cell r="H568" t="str">
            <v>ARRARMWSH</v>
          </cell>
          <cell r="I568" t="str">
            <v>ARES1154G004</v>
          </cell>
          <cell r="J568" t="str">
            <v>40</v>
          </cell>
          <cell r="K568" t="str">
            <v>SHIRT</v>
          </cell>
          <cell r="L568" t="str">
            <v>NOD</v>
          </cell>
        </row>
        <row r="569">
          <cell r="C569" t="str">
            <v>ARES1154G</v>
          </cell>
          <cell r="D569" t="str">
            <v>CORE</v>
          </cell>
          <cell r="E569" t="str">
            <v>CO26</v>
          </cell>
          <cell r="F569">
            <v>3299</v>
          </cell>
          <cell r="G569" t="str">
            <v>AR</v>
          </cell>
          <cell r="H569" t="str">
            <v>ARRARMWSH</v>
          </cell>
          <cell r="I569" t="str">
            <v>ARES1154G005</v>
          </cell>
          <cell r="J569" t="str">
            <v>42</v>
          </cell>
          <cell r="K569" t="str">
            <v>SHIRT</v>
          </cell>
          <cell r="L569" t="str">
            <v>NOD</v>
          </cell>
        </row>
        <row r="570">
          <cell r="C570" t="str">
            <v>ARES1154G</v>
          </cell>
          <cell r="D570" t="str">
            <v>CORE</v>
          </cell>
          <cell r="E570" t="str">
            <v>CO26</v>
          </cell>
          <cell r="F570">
            <v>3299</v>
          </cell>
          <cell r="G570" t="str">
            <v>AR</v>
          </cell>
          <cell r="H570" t="str">
            <v>ARRARMWSH</v>
          </cell>
          <cell r="I570" t="str">
            <v>ARES1154G006</v>
          </cell>
          <cell r="J570" t="str">
            <v>44</v>
          </cell>
          <cell r="K570" t="str">
            <v>SHIRT</v>
          </cell>
          <cell r="L570" t="str">
            <v>NOD</v>
          </cell>
        </row>
        <row r="571">
          <cell r="C571" t="str">
            <v>ARES1154G</v>
          </cell>
          <cell r="D571" t="str">
            <v>CORE</v>
          </cell>
          <cell r="E571" t="str">
            <v>CO26</v>
          </cell>
          <cell r="F571">
            <v>3499</v>
          </cell>
          <cell r="G571" t="str">
            <v>AR</v>
          </cell>
          <cell r="H571" t="str">
            <v>ARRARMWSH</v>
          </cell>
          <cell r="I571" t="str">
            <v>ARES1154G007</v>
          </cell>
          <cell r="J571" t="str">
            <v>46</v>
          </cell>
          <cell r="K571" t="str">
            <v>SHIRT</v>
          </cell>
          <cell r="L571" t="str">
            <v>NOD</v>
          </cell>
        </row>
        <row r="572">
          <cell r="C572" t="str">
            <v>ARES1154G</v>
          </cell>
          <cell r="D572" t="str">
            <v>CORE</v>
          </cell>
          <cell r="E572" t="str">
            <v>CO26</v>
          </cell>
          <cell r="F572">
            <v>3499</v>
          </cell>
          <cell r="G572" t="str">
            <v>AR</v>
          </cell>
          <cell r="H572" t="str">
            <v>ARRARMWSH</v>
          </cell>
          <cell r="I572" t="str">
            <v>ARES1154G008</v>
          </cell>
          <cell r="J572" t="str">
            <v>48</v>
          </cell>
          <cell r="K572" t="str">
            <v>SHIRT</v>
          </cell>
          <cell r="L572" t="str">
            <v>NOD</v>
          </cell>
        </row>
        <row r="573">
          <cell r="C573" t="str">
            <v>ARES1154G</v>
          </cell>
          <cell r="D573" t="str">
            <v>CORE</v>
          </cell>
          <cell r="E573" t="str">
            <v>CO26</v>
          </cell>
          <cell r="F573">
            <v>3499</v>
          </cell>
          <cell r="G573" t="str">
            <v>AR</v>
          </cell>
          <cell r="H573" t="str">
            <v>ARRARMWSH</v>
          </cell>
          <cell r="I573" t="str">
            <v>ARES1154G009</v>
          </cell>
          <cell r="J573" t="str">
            <v>50</v>
          </cell>
          <cell r="K573" t="str">
            <v>SHIRT</v>
          </cell>
          <cell r="L573" t="str">
            <v>NOD</v>
          </cell>
        </row>
        <row r="574">
          <cell r="C574" t="str">
            <v>ARES1154G</v>
          </cell>
          <cell r="D574" t="str">
            <v>CORE</v>
          </cell>
          <cell r="E574" t="str">
            <v>CO26</v>
          </cell>
          <cell r="F574">
            <v>3499</v>
          </cell>
          <cell r="G574" t="str">
            <v>AR</v>
          </cell>
          <cell r="H574" t="str">
            <v>ARRARMWSH</v>
          </cell>
          <cell r="I574" t="str">
            <v>ARES1154G010</v>
          </cell>
          <cell r="J574" t="str">
            <v>52</v>
          </cell>
          <cell r="K574" t="str">
            <v>SHIRT</v>
          </cell>
          <cell r="L574" t="str">
            <v>NOD</v>
          </cell>
        </row>
        <row r="575">
          <cell r="C575" t="str">
            <v>ARES1155</v>
          </cell>
          <cell r="D575" t="str">
            <v>CORE</v>
          </cell>
          <cell r="E575" t="str">
            <v>CO25</v>
          </cell>
          <cell r="F575">
            <v>3159</v>
          </cell>
          <cell r="G575" t="str">
            <v>AR</v>
          </cell>
          <cell r="H575" t="str">
            <v>ARRARMWSH</v>
          </cell>
          <cell r="I575" t="str">
            <v>ARES1155001</v>
          </cell>
          <cell r="J575" t="str">
            <v>36</v>
          </cell>
          <cell r="K575" t="str">
            <v>SHIRT</v>
          </cell>
          <cell r="L575" t="str">
            <v>NOD</v>
          </cell>
        </row>
        <row r="576">
          <cell r="C576" t="str">
            <v>ARES1155</v>
          </cell>
          <cell r="D576" t="str">
            <v>CORE</v>
          </cell>
          <cell r="E576" t="str">
            <v>CO25</v>
          </cell>
          <cell r="F576">
            <v>3159</v>
          </cell>
          <cell r="G576" t="str">
            <v>AR</v>
          </cell>
          <cell r="H576" t="str">
            <v>ARRARMWSH</v>
          </cell>
          <cell r="I576" t="str">
            <v>ARES1155002</v>
          </cell>
          <cell r="J576" t="str">
            <v>38</v>
          </cell>
          <cell r="K576" t="str">
            <v>SHIRT</v>
          </cell>
          <cell r="L576" t="str">
            <v>NOD</v>
          </cell>
        </row>
        <row r="577">
          <cell r="C577" t="str">
            <v>ARES1155</v>
          </cell>
          <cell r="D577" t="str">
            <v>CORE</v>
          </cell>
          <cell r="E577" t="str">
            <v>CO25</v>
          </cell>
          <cell r="F577">
            <v>3159</v>
          </cell>
          <cell r="G577" t="str">
            <v>AR</v>
          </cell>
          <cell r="H577" t="str">
            <v>ARRARMWSH</v>
          </cell>
          <cell r="I577" t="str">
            <v>ARES1155003</v>
          </cell>
          <cell r="J577" t="str">
            <v>39</v>
          </cell>
          <cell r="K577" t="str">
            <v>SHIRT</v>
          </cell>
          <cell r="L577" t="str">
            <v>NOD</v>
          </cell>
        </row>
        <row r="578">
          <cell r="C578" t="str">
            <v>ARES1155</v>
          </cell>
          <cell r="D578" t="str">
            <v>CORE</v>
          </cell>
          <cell r="E578" t="str">
            <v>CO25</v>
          </cell>
          <cell r="F578">
            <v>3159</v>
          </cell>
          <cell r="G578" t="str">
            <v>AR</v>
          </cell>
          <cell r="H578" t="str">
            <v>ARRARMWSH</v>
          </cell>
          <cell r="I578" t="str">
            <v>ARES1155004</v>
          </cell>
          <cell r="J578" t="str">
            <v>40</v>
          </cell>
          <cell r="K578" t="str">
            <v>SHIRT</v>
          </cell>
          <cell r="L578" t="str">
            <v>NOD</v>
          </cell>
        </row>
        <row r="579">
          <cell r="C579" t="str">
            <v>ARES1155</v>
          </cell>
          <cell r="D579" t="str">
            <v>CORE</v>
          </cell>
          <cell r="E579" t="str">
            <v>CO25</v>
          </cell>
          <cell r="F579">
            <v>3159</v>
          </cell>
          <cell r="G579" t="str">
            <v>AR</v>
          </cell>
          <cell r="H579" t="str">
            <v>ARRARMWSH</v>
          </cell>
          <cell r="I579" t="str">
            <v>ARES1155005</v>
          </cell>
          <cell r="J579" t="str">
            <v>42</v>
          </cell>
          <cell r="K579" t="str">
            <v>SHIRT</v>
          </cell>
          <cell r="L579" t="str">
            <v>NOD</v>
          </cell>
        </row>
        <row r="580">
          <cell r="C580" t="str">
            <v>ARES1155</v>
          </cell>
          <cell r="D580" t="str">
            <v>CORE</v>
          </cell>
          <cell r="E580" t="str">
            <v>CO25</v>
          </cell>
          <cell r="F580">
            <v>3159</v>
          </cell>
          <cell r="G580" t="str">
            <v>AR</v>
          </cell>
          <cell r="H580" t="str">
            <v>ARRARMWSH</v>
          </cell>
          <cell r="I580" t="str">
            <v>ARES1155006</v>
          </cell>
          <cell r="J580" t="str">
            <v>44</v>
          </cell>
          <cell r="K580" t="str">
            <v>SHIRT</v>
          </cell>
          <cell r="L580" t="str">
            <v>NOD</v>
          </cell>
        </row>
        <row r="581">
          <cell r="C581" t="str">
            <v>ARES1155</v>
          </cell>
          <cell r="D581" t="str">
            <v>CORE</v>
          </cell>
          <cell r="E581" t="str">
            <v>CO25</v>
          </cell>
          <cell r="F581">
            <v>3370</v>
          </cell>
          <cell r="G581" t="str">
            <v>AR</v>
          </cell>
          <cell r="H581" t="str">
            <v>ARRARMWSH</v>
          </cell>
          <cell r="I581" t="str">
            <v>ARES1155007</v>
          </cell>
          <cell r="J581" t="str">
            <v>46</v>
          </cell>
          <cell r="K581" t="str">
            <v>SHIRT</v>
          </cell>
          <cell r="L581" t="str">
            <v>NOD</v>
          </cell>
        </row>
        <row r="582">
          <cell r="C582" t="str">
            <v>ARES1155</v>
          </cell>
          <cell r="D582" t="str">
            <v>CORE</v>
          </cell>
          <cell r="E582" t="str">
            <v>CO25</v>
          </cell>
          <cell r="F582">
            <v>3370</v>
          </cell>
          <cell r="G582" t="str">
            <v>AR</v>
          </cell>
          <cell r="H582" t="str">
            <v>ARRARMWSH</v>
          </cell>
          <cell r="I582" t="str">
            <v>ARES1155008</v>
          </cell>
          <cell r="J582" t="str">
            <v>48</v>
          </cell>
          <cell r="K582" t="str">
            <v>SHIRT</v>
          </cell>
          <cell r="L582" t="str">
            <v>NOD</v>
          </cell>
        </row>
        <row r="583">
          <cell r="C583" t="str">
            <v>ARES1155</v>
          </cell>
          <cell r="D583" t="str">
            <v>CORE</v>
          </cell>
          <cell r="E583" t="str">
            <v>CO25</v>
          </cell>
          <cell r="F583">
            <v>3370</v>
          </cell>
          <cell r="G583" t="str">
            <v>AR</v>
          </cell>
          <cell r="H583" t="str">
            <v>ARRARMWSH</v>
          </cell>
          <cell r="I583" t="str">
            <v>ARES1155009</v>
          </cell>
          <cell r="J583" t="str">
            <v>50</v>
          </cell>
          <cell r="K583" t="str">
            <v>SHIRT</v>
          </cell>
          <cell r="L583" t="str">
            <v>NOD</v>
          </cell>
        </row>
        <row r="584">
          <cell r="C584" t="str">
            <v>ARES1155</v>
          </cell>
          <cell r="D584" t="str">
            <v>CORE</v>
          </cell>
          <cell r="E584" t="str">
            <v>CO25</v>
          </cell>
          <cell r="F584">
            <v>3370</v>
          </cell>
          <cell r="G584" t="str">
            <v>AR</v>
          </cell>
          <cell r="H584" t="str">
            <v>ARRARMWSH</v>
          </cell>
          <cell r="I584" t="str">
            <v>ARES1155010</v>
          </cell>
          <cell r="J584" t="str">
            <v>52</v>
          </cell>
          <cell r="K584" t="str">
            <v>SHIRT</v>
          </cell>
          <cell r="L584" t="str">
            <v>NOD</v>
          </cell>
        </row>
        <row r="585">
          <cell r="C585" t="str">
            <v>ARES1155G</v>
          </cell>
          <cell r="D585" t="str">
            <v>CORE</v>
          </cell>
          <cell r="E585" t="str">
            <v>CO26</v>
          </cell>
          <cell r="F585">
            <v>3299</v>
          </cell>
          <cell r="G585" t="str">
            <v>AR</v>
          </cell>
          <cell r="H585" t="str">
            <v>ARRARMWSH</v>
          </cell>
          <cell r="I585" t="str">
            <v>ARES1155G001</v>
          </cell>
          <cell r="J585" t="str">
            <v>36</v>
          </cell>
          <cell r="K585" t="str">
            <v>SHIRT</v>
          </cell>
          <cell r="L585" t="str">
            <v>NOD</v>
          </cell>
        </row>
        <row r="586">
          <cell r="C586" t="str">
            <v>ARES1155G</v>
          </cell>
          <cell r="D586" t="str">
            <v>CORE</v>
          </cell>
          <cell r="E586" t="str">
            <v>CO26</v>
          </cell>
          <cell r="F586">
            <v>3299</v>
          </cell>
          <cell r="G586" t="str">
            <v>AR</v>
          </cell>
          <cell r="H586" t="str">
            <v>ARRARMWSH</v>
          </cell>
          <cell r="I586" t="str">
            <v>ARES1155G002</v>
          </cell>
          <cell r="J586" t="str">
            <v>38</v>
          </cell>
          <cell r="K586" t="str">
            <v>SHIRT</v>
          </cell>
          <cell r="L586" t="str">
            <v>NOD</v>
          </cell>
        </row>
        <row r="587">
          <cell r="C587" t="str">
            <v>ARES1155G</v>
          </cell>
          <cell r="D587" t="str">
            <v>CORE</v>
          </cell>
          <cell r="E587" t="str">
            <v>CO26</v>
          </cell>
          <cell r="F587">
            <v>3299</v>
          </cell>
          <cell r="G587" t="str">
            <v>AR</v>
          </cell>
          <cell r="H587" t="str">
            <v>ARRARMWSH</v>
          </cell>
          <cell r="I587" t="str">
            <v>ARES1155G003</v>
          </cell>
          <cell r="J587" t="str">
            <v>39</v>
          </cell>
          <cell r="K587" t="str">
            <v>SHIRT</v>
          </cell>
          <cell r="L587" t="str">
            <v>NOD</v>
          </cell>
        </row>
        <row r="588">
          <cell r="C588" t="str">
            <v>ARES1155G</v>
          </cell>
          <cell r="D588" t="str">
            <v>CORE</v>
          </cell>
          <cell r="E588" t="str">
            <v>CO26</v>
          </cell>
          <cell r="F588">
            <v>3299</v>
          </cell>
          <cell r="G588" t="str">
            <v>AR</v>
          </cell>
          <cell r="H588" t="str">
            <v>ARRARMWSH</v>
          </cell>
          <cell r="I588" t="str">
            <v>ARES1155G004</v>
          </cell>
          <cell r="J588" t="str">
            <v>40</v>
          </cell>
          <cell r="K588" t="str">
            <v>SHIRT</v>
          </cell>
          <cell r="L588" t="str">
            <v>NOD</v>
          </cell>
        </row>
        <row r="589">
          <cell r="C589" t="str">
            <v>ARES1155G</v>
          </cell>
          <cell r="D589" t="str">
            <v>CORE</v>
          </cell>
          <cell r="E589" t="str">
            <v>CO26</v>
          </cell>
          <cell r="F589">
            <v>3299</v>
          </cell>
          <cell r="G589" t="str">
            <v>AR</v>
          </cell>
          <cell r="H589" t="str">
            <v>ARRARMWSH</v>
          </cell>
          <cell r="I589" t="str">
            <v>ARES1155G005</v>
          </cell>
          <cell r="J589" t="str">
            <v>42</v>
          </cell>
          <cell r="K589" t="str">
            <v>SHIRT</v>
          </cell>
          <cell r="L589" t="str">
            <v>NOD</v>
          </cell>
        </row>
        <row r="590">
          <cell r="C590" t="str">
            <v>ARES1155G</v>
          </cell>
          <cell r="D590" t="str">
            <v>CORE</v>
          </cell>
          <cell r="E590" t="str">
            <v>CO26</v>
          </cell>
          <cell r="F590">
            <v>3299</v>
          </cell>
          <cell r="G590" t="str">
            <v>AR</v>
          </cell>
          <cell r="H590" t="str">
            <v>ARRARMWSH</v>
          </cell>
          <cell r="I590" t="str">
            <v>ARES1155G006</v>
          </cell>
          <cell r="J590" t="str">
            <v>44</v>
          </cell>
          <cell r="K590" t="str">
            <v>SHIRT</v>
          </cell>
          <cell r="L590" t="str">
            <v>NOD</v>
          </cell>
        </row>
        <row r="591">
          <cell r="C591" t="str">
            <v>ARES1155G</v>
          </cell>
          <cell r="D591" t="str">
            <v>CORE</v>
          </cell>
          <cell r="E591" t="str">
            <v>CO26</v>
          </cell>
          <cell r="F591">
            <v>3499</v>
          </cell>
          <cell r="G591" t="str">
            <v>AR</v>
          </cell>
          <cell r="H591" t="str">
            <v>ARRARMWSH</v>
          </cell>
          <cell r="I591" t="str">
            <v>ARES1155G007</v>
          </cell>
          <cell r="J591" t="str">
            <v>46</v>
          </cell>
          <cell r="K591" t="str">
            <v>SHIRT</v>
          </cell>
          <cell r="L591" t="str">
            <v>NOD</v>
          </cell>
        </row>
        <row r="592">
          <cell r="C592" t="str">
            <v>ARES1155G</v>
          </cell>
          <cell r="D592" t="str">
            <v>CORE</v>
          </cell>
          <cell r="E592" t="str">
            <v>CO26</v>
          </cell>
          <cell r="F592">
            <v>3499</v>
          </cell>
          <cell r="G592" t="str">
            <v>AR</v>
          </cell>
          <cell r="H592" t="str">
            <v>ARRARMWSH</v>
          </cell>
          <cell r="I592" t="str">
            <v>ARES1155G008</v>
          </cell>
          <cell r="J592" t="str">
            <v>48</v>
          </cell>
          <cell r="K592" t="str">
            <v>SHIRT</v>
          </cell>
          <cell r="L592" t="str">
            <v>NOD</v>
          </cell>
        </row>
        <row r="593">
          <cell r="C593" t="str">
            <v>ARES1155G</v>
          </cell>
          <cell r="D593" t="str">
            <v>CORE</v>
          </cell>
          <cell r="E593" t="str">
            <v>CO26</v>
          </cell>
          <cell r="F593">
            <v>3499</v>
          </cell>
          <cell r="G593" t="str">
            <v>AR</v>
          </cell>
          <cell r="H593" t="str">
            <v>ARRARMWSH</v>
          </cell>
          <cell r="I593" t="str">
            <v>ARES1155G009</v>
          </cell>
          <cell r="J593" t="str">
            <v>50</v>
          </cell>
          <cell r="K593" t="str">
            <v>SHIRT</v>
          </cell>
          <cell r="L593" t="str">
            <v>NOD</v>
          </cell>
        </row>
        <row r="594">
          <cell r="C594" t="str">
            <v>ARES1155G</v>
          </cell>
          <cell r="D594" t="str">
            <v>CORE</v>
          </cell>
          <cell r="E594" t="str">
            <v>CO26</v>
          </cell>
          <cell r="F594">
            <v>3499</v>
          </cell>
          <cell r="G594" t="str">
            <v>AR</v>
          </cell>
          <cell r="H594" t="str">
            <v>ARRARMWSH</v>
          </cell>
          <cell r="I594" t="str">
            <v>ARES1155G010</v>
          </cell>
          <cell r="J594" t="str">
            <v>52</v>
          </cell>
          <cell r="K594" t="str">
            <v>SHIRT</v>
          </cell>
          <cell r="L594" t="str">
            <v>NOD</v>
          </cell>
        </row>
        <row r="595">
          <cell r="C595" t="str">
            <v>ARES1156</v>
          </cell>
          <cell r="D595" t="str">
            <v>CORE</v>
          </cell>
          <cell r="E595" t="str">
            <v>CO25</v>
          </cell>
          <cell r="F595">
            <v>2699</v>
          </cell>
          <cell r="G595" t="str">
            <v>AR</v>
          </cell>
          <cell r="H595" t="str">
            <v>ARRARMWSH</v>
          </cell>
          <cell r="I595" t="str">
            <v>ARES1156001</v>
          </cell>
          <cell r="J595" t="str">
            <v>36</v>
          </cell>
          <cell r="K595" t="str">
            <v>SHIRT</v>
          </cell>
          <cell r="L595" t="str">
            <v>NOD</v>
          </cell>
        </row>
        <row r="596">
          <cell r="C596" t="str">
            <v>ARES1156</v>
          </cell>
          <cell r="D596" t="str">
            <v>CORE</v>
          </cell>
          <cell r="E596" t="str">
            <v>CO25</v>
          </cell>
          <cell r="F596">
            <v>2699</v>
          </cell>
          <cell r="G596" t="str">
            <v>AR</v>
          </cell>
          <cell r="H596" t="str">
            <v>ARRARMWSH</v>
          </cell>
          <cell r="I596" t="str">
            <v>ARES1156002</v>
          </cell>
          <cell r="J596" t="str">
            <v>38</v>
          </cell>
          <cell r="K596" t="str">
            <v>SHIRT</v>
          </cell>
          <cell r="L596" t="str">
            <v>NOD</v>
          </cell>
        </row>
        <row r="597">
          <cell r="C597" t="str">
            <v>ARES1156</v>
          </cell>
          <cell r="D597" t="str">
            <v>CORE</v>
          </cell>
          <cell r="E597" t="str">
            <v>CO25</v>
          </cell>
          <cell r="F597">
            <v>2699</v>
          </cell>
          <cell r="G597" t="str">
            <v>AR</v>
          </cell>
          <cell r="H597" t="str">
            <v>ARRARMWSH</v>
          </cell>
          <cell r="I597" t="str">
            <v>ARES1156003</v>
          </cell>
          <cell r="J597" t="str">
            <v>39</v>
          </cell>
          <cell r="K597" t="str">
            <v>SHIRT</v>
          </cell>
          <cell r="L597" t="str">
            <v>NOD</v>
          </cell>
        </row>
        <row r="598">
          <cell r="C598" t="str">
            <v>ARES1156</v>
          </cell>
          <cell r="D598" t="str">
            <v>CORE</v>
          </cell>
          <cell r="E598" t="str">
            <v>CO25</v>
          </cell>
          <cell r="F598">
            <v>2699</v>
          </cell>
          <cell r="G598" t="str">
            <v>AR</v>
          </cell>
          <cell r="H598" t="str">
            <v>ARRARMWSH</v>
          </cell>
          <cell r="I598" t="str">
            <v>ARES1156004</v>
          </cell>
          <cell r="J598" t="str">
            <v>40</v>
          </cell>
          <cell r="K598" t="str">
            <v>SHIRT</v>
          </cell>
          <cell r="L598" t="str">
            <v>NOD</v>
          </cell>
        </row>
        <row r="599">
          <cell r="C599" t="str">
            <v>ARES1156</v>
          </cell>
          <cell r="D599" t="str">
            <v>CORE</v>
          </cell>
          <cell r="E599" t="str">
            <v>CO25</v>
          </cell>
          <cell r="F599">
            <v>2699</v>
          </cell>
          <cell r="G599" t="str">
            <v>AR</v>
          </cell>
          <cell r="H599" t="str">
            <v>ARRARMWSH</v>
          </cell>
          <cell r="I599" t="str">
            <v>ARES1156005</v>
          </cell>
          <cell r="J599" t="str">
            <v>42</v>
          </cell>
          <cell r="K599" t="str">
            <v>SHIRT</v>
          </cell>
          <cell r="L599" t="str">
            <v>NOD</v>
          </cell>
        </row>
        <row r="600">
          <cell r="C600" t="str">
            <v>ARES1156</v>
          </cell>
          <cell r="D600" t="str">
            <v>CORE</v>
          </cell>
          <cell r="E600" t="str">
            <v>CO25</v>
          </cell>
          <cell r="F600">
            <v>2699</v>
          </cell>
          <cell r="G600" t="str">
            <v>AR</v>
          </cell>
          <cell r="H600" t="str">
            <v>ARRARMWSH</v>
          </cell>
          <cell r="I600" t="str">
            <v>ARES1156006</v>
          </cell>
          <cell r="J600" t="str">
            <v>44</v>
          </cell>
          <cell r="K600" t="str">
            <v>SHIRT</v>
          </cell>
          <cell r="L600" t="str">
            <v>NOD</v>
          </cell>
        </row>
        <row r="601">
          <cell r="C601" t="str">
            <v>ARES1156</v>
          </cell>
          <cell r="D601" t="str">
            <v>CORE</v>
          </cell>
          <cell r="E601" t="str">
            <v>CO25</v>
          </cell>
          <cell r="F601">
            <v>3054.3</v>
          </cell>
          <cell r="G601" t="str">
            <v>AR</v>
          </cell>
          <cell r="H601" t="str">
            <v>ARRARMWSH</v>
          </cell>
          <cell r="I601" t="str">
            <v>ARES1156007</v>
          </cell>
          <cell r="J601" t="str">
            <v>46</v>
          </cell>
          <cell r="K601" t="str">
            <v>SHIRT</v>
          </cell>
          <cell r="L601" t="str">
            <v>NOD</v>
          </cell>
        </row>
        <row r="602">
          <cell r="C602" t="str">
            <v>ARES1156</v>
          </cell>
          <cell r="D602" t="str">
            <v>CORE</v>
          </cell>
          <cell r="E602" t="str">
            <v>CO25</v>
          </cell>
          <cell r="F602">
            <v>3054.3</v>
          </cell>
          <cell r="G602" t="str">
            <v>AR</v>
          </cell>
          <cell r="H602" t="str">
            <v>ARRARMWSH</v>
          </cell>
          <cell r="I602" t="str">
            <v>ARES1156008</v>
          </cell>
          <cell r="J602" t="str">
            <v>48</v>
          </cell>
          <cell r="K602" t="str">
            <v>SHIRT</v>
          </cell>
          <cell r="L602" t="str">
            <v>NOD</v>
          </cell>
        </row>
        <row r="603">
          <cell r="C603" t="str">
            <v>ARES1156</v>
          </cell>
          <cell r="D603" t="str">
            <v>CORE</v>
          </cell>
          <cell r="E603" t="str">
            <v>CO25</v>
          </cell>
          <cell r="F603">
            <v>3054.3</v>
          </cell>
          <cell r="G603" t="str">
            <v>AR</v>
          </cell>
          <cell r="H603" t="str">
            <v>ARRARMWSH</v>
          </cell>
          <cell r="I603" t="str">
            <v>ARES1156009</v>
          </cell>
          <cell r="J603" t="str">
            <v>50</v>
          </cell>
          <cell r="K603" t="str">
            <v>SHIRT</v>
          </cell>
          <cell r="L603" t="str">
            <v>NOD</v>
          </cell>
        </row>
        <row r="604">
          <cell r="C604" t="str">
            <v>ARES1156</v>
          </cell>
          <cell r="D604" t="str">
            <v>CORE</v>
          </cell>
          <cell r="E604" t="str">
            <v>CO25</v>
          </cell>
          <cell r="F604">
            <v>3054.3</v>
          </cell>
          <cell r="G604" t="str">
            <v>AR</v>
          </cell>
          <cell r="H604" t="str">
            <v>ARRARMWSH</v>
          </cell>
          <cell r="I604" t="str">
            <v>ARES1156010</v>
          </cell>
          <cell r="J604" t="str">
            <v>52</v>
          </cell>
          <cell r="K604" t="str">
            <v>SHIRT</v>
          </cell>
          <cell r="L604" t="str">
            <v>NOD</v>
          </cell>
        </row>
        <row r="605">
          <cell r="C605" t="str">
            <v>ARES1156G</v>
          </cell>
          <cell r="D605" t="str">
            <v>CORE</v>
          </cell>
          <cell r="E605" t="str">
            <v>CO26</v>
          </cell>
          <cell r="F605">
            <v>2599</v>
          </cell>
          <cell r="G605" t="str">
            <v>AR</v>
          </cell>
          <cell r="H605" t="str">
            <v>ARRARMWSH</v>
          </cell>
          <cell r="I605" t="str">
            <v>ARES1156G001</v>
          </cell>
          <cell r="J605" t="str">
            <v>36</v>
          </cell>
          <cell r="K605" t="str">
            <v>SHIRT</v>
          </cell>
          <cell r="L605" t="str">
            <v>NOD</v>
          </cell>
        </row>
        <row r="606">
          <cell r="C606" t="str">
            <v>ARES1156G</v>
          </cell>
          <cell r="D606" t="str">
            <v>CORE</v>
          </cell>
          <cell r="E606" t="str">
            <v>CO26</v>
          </cell>
          <cell r="F606">
            <v>2599</v>
          </cell>
          <cell r="G606" t="str">
            <v>AR</v>
          </cell>
          <cell r="H606" t="str">
            <v>ARRARMWSH</v>
          </cell>
          <cell r="I606" t="str">
            <v>ARES1156G002</v>
          </cell>
          <cell r="J606" t="str">
            <v>38</v>
          </cell>
          <cell r="K606" t="str">
            <v>SHIRT</v>
          </cell>
          <cell r="L606" t="str">
            <v>NOD</v>
          </cell>
        </row>
        <row r="607">
          <cell r="C607" t="str">
            <v>ARES1156G</v>
          </cell>
          <cell r="D607" t="str">
            <v>CORE</v>
          </cell>
          <cell r="E607" t="str">
            <v>CO26</v>
          </cell>
          <cell r="F607">
            <v>2599</v>
          </cell>
          <cell r="G607" t="str">
            <v>AR</v>
          </cell>
          <cell r="H607" t="str">
            <v>ARRARMWSH</v>
          </cell>
          <cell r="I607" t="str">
            <v>ARES1156G003</v>
          </cell>
          <cell r="J607" t="str">
            <v>39</v>
          </cell>
          <cell r="K607" t="str">
            <v>SHIRT</v>
          </cell>
          <cell r="L607" t="str">
            <v>NOD</v>
          </cell>
        </row>
        <row r="608">
          <cell r="C608" t="str">
            <v>ARES1156G</v>
          </cell>
          <cell r="D608" t="str">
            <v>CORE</v>
          </cell>
          <cell r="E608" t="str">
            <v>CO26</v>
          </cell>
          <cell r="F608">
            <v>2599</v>
          </cell>
          <cell r="G608" t="str">
            <v>AR</v>
          </cell>
          <cell r="H608" t="str">
            <v>ARRARMWSH</v>
          </cell>
          <cell r="I608" t="str">
            <v>ARES1156G004</v>
          </cell>
          <cell r="J608" t="str">
            <v>40</v>
          </cell>
          <cell r="K608" t="str">
            <v>SHIRT</v>
          </cell>
          <cell r="L608" t="str">
            <v>NOD</v>
          </cell>
        </row>
        <row r="609">
          <cell r="C609" t="str">
            <v>ARES1156G</v>
          </cell>
          <cell r="D609" t="str">
            <v>CORE</v>
          </cell>
          <cell r="E609" t="str">
            <v>CO26</v>
          </cell>
          <cell r="F609">
            <v>2599</v>
          </cell>
          <cell r="G609" t="str">
            <v>AR</v>
          </cell>
          <cell r="H609" t="str">
            <v>ARRARMWSH</v>
          </cell>
          <cell r="I609" t="str">
            <v>ARES1156G005</v>
          </cell>
          <cell r="J609" t="str">
            <v>42</v>
          </cell>
          <cell r="K609" t="str">
            <v>SHIRT</v>
          </cell>
          <cell r="L609" t="str">
            <v>NOD</v>
          </cell>
        </row>
        <row r="610">
          <cell r="C610" t="str">
            <v>ARES1156G</v>
          </cell>
          <cell r="D610" t="str">
            <v>CORE</v>
          </cell>
          <cell r="E610" t="str">
            <v>CO26</v>
          </cell>
          <cell r="F610">
            <v>2599</v>
          </cell>
          <cell r="G610" t="str">
            <v>AR</v>
          </cell>
          <cell r="H610" t="str">
            <v>ARRARMWSH</v>
          </cell>
          <cell r="I610" t="str">
            <v>ARES1156G006</v>
          </cell>
          <cell r="J610" t="str">
            <v>44</v>
          </cell>
          <cell r="K610" t="str">
            <v>SHIRT</v>
          </cell>
          <cell r="L610" t="str">
            <v>NOD</v>
          </cell>
        </row>
        <row r="611">
          <cell r="C611" t="str">
            <v>ARES1156G</v>
          </cell>
          <cell r="D611" t="str">
            <v>CORE</v>
          </cell>
          <cell r="E611" t="str">
            <v>CO26</v>
          </cell>
          <cell r="F611">
            <v>2599</v>
          </cell>
          <cell r="G611" t="str">
            <v>AR</v>
          </cell>
          <cell r="H611" t="str">
            <v>ARRARMWSH</v>
          </cell>
          <cell r="I611" t="str">
            <v>ARES1156G007</v>
          </cell>
          <cell r="J611" t="str">
            <v>46</v>
          </cell>
          <cell r="K611" t="str">
            <v>SHIRT</v>
          </cell>
          <cell r="L611" t="str">
            <v>NOD</v>
          </cell>
        </row>
        <row r="612">
          <cell r="C612" t="str">
            <v>ARES1156G</v>
          </cell>
          <cell r="D612" t="str">
            <v>CORE</v>
          </cell>
          <cell r="E612" t="str">
            <v>CO26</v>
          </cell>
          <cell r="F612">
            <v>2599</v>
          </cell>
          <cell r="G612" t="str">
            <v>AR</v>
          </cell>
          <cell r="H612" t="str">
            <v>ARRARMWSH</v>
          </cell>
          <cell r="I612" t="str">
            <v>ARES1156G008</v>
          </cell>
          <cell r="J612" t="str">
            <v>48</v>
          </cell>
          <cell r="K612" t="str">
            <v>SHIRT</v>
          </cell>
          <cell r="L612" t="str">
            <v>NOD</v>
          </cell>
        </row>
        <row r="613">
          <cell r="C613" t="str">
            <v>ARES1156G</v>
          </cell>
          <cell r="D613" t="str">
            <v>CORE</v>
          </cell>
          <cell r="E613" t="str">
            <v>CO26</v>
          </cell>
          <cell r="F613">
            <v>2599</v>
          </cell>
          <cell r="G613" t="str">
            <v>AR</v>
          </cell>
          <cell r="H613" t="str">
            <v>ARRARMWSH</v>
          </cell>
          <cell r="I613" t="str">
            <v>ARES1156G009</v>
          </cell>
          <cell r="J613" t="str">
            <v>50</v>
          </cell>
          <cell r="K613" t="str">
            <v>SHIRT</v>
          </cell>
          <cell r="L613" t="str">
            <v>NOD</v>
          </cell>
        </row>
        <row r="614">
          <cell r="C614" t="str">
            <v>ARES1156G</v>
          </cell>
          <cell r="D614" t="str">
            <v>CORE</v>
          </cell>
          <cell r="E614" t="str">
            <v>CO26</v>
          </cell>
          <cell r="F614">
            <v>2599</v>
          </cell>
          <cell r="G614" t="str">
            <v>AR</v>
          </cell>
          <cell r="H614" t="str">
            <v>ARRARMWSH</v>
          </cell>
          <cell r="I614" t="str">
            <v>ARES1156G010</v>
          </cell>
          <cell r="J614" t="str">
            <v>52</v>
          </cell>
          <cell r="K614" t="str">
            <v>SHIRT</v>
          </cell>
          <cell r="L614" t="str">
            <v>NOD</v>
          </cell>
        </row>
        <row r="615">
          <cell r="C615" t="str">
            <v>ARES1157</v>
          </cell>
          <cell r="D615" t="str">
            <v>CORE</v>
          </cell>
          <cell r="E615" t="str">
            <v>CO25</v>
          </cell>
          <cell r="F615">
            <v>2699</v>
          </cell>
          <cell r="G615" t="str">
            <v>AR</v>
          </cell>
          <cell r="H615" t="str">
            <v>ARRARMWSH</v>
          </cell>
          <cell r="I615" t="str">
            <v>ARES1157001</v>
          </cell>
          <cell r="J615" t="str">
            <v>36</v>
          </cell>
          <cell r="K615" t="str">
            <v>SHIRT</v>
          </cell>
          <cell r="L615" t="str">
            <v>NOD</v>
          </cell>
        </row>
        <row r="616">
          <cell r="C616" t="str">
            <v>ARES1157</v>
          </cell>
          <cell r="D616" t="str">
            <v>CORE</v>
          </cell>
          <cell r="E616" t="str">
            <v>CO25</v>
          </cell>
          <cell r="F616">
            <v>2699</v>
          </cell>
          <cell r="G616" t="str">
            <v>AR</v>
          </cell>
          <cell r="H616" t="str">
            <v>ARRARMWSH</v>
          </cell>
          <cell r="I616" t="str">
            <v>ARES1157002</v>
          </cell>
          <cell r="J616" t="str">
            <v>38</v>
          </cell>
          <cell r="K616" t="str">
            <v>SHIRT</v>
          </cell>
          <cell r="L616" t="str">
            <v>NOD</v>
          </cell>
        </row>
        <row r="617">
          <cell r="C617" t="str">
            <v>ARES1157</v>
          </cell>
          <cell r="D617" t="str">
            <v>CORE</v>
          </cell>
          <cell r="E617" t="str">
            <v>CO25</v>
          </cell>
          <cell r="F617">
            <v>2699</v>
          </cell>
          <cell r="G617" t="str">
            <v>AR</v>
          </cell>
          <cell r="H617" t="str">
            <v>ARRARMWSH</v>
          </cell>
          <cell r="I617" t="str">
            <v>ARES1157003</v>
          </cell>
          <cell r="J617" t="str">
            <v>39</v>
          </cell>
          <cell r="K617" t="str">
            <v>SHIRT</v>
          </cell>
          <cell r="L617" t="str">
            <v>NOD</v>
          </cell>
        </row>
        <row r="618">
          <cell r="C618" t="str">
            <v>ARES1157</v>
          </cell>
          <cell r="D618" t="str">
            <v>CORE</v>
          </cell>
          <cell r="E618" t="str">
            <v>CO25</v>
          </cell>
          <cell r="F618">
            <v>2699</v>
          </cell>
          <cell r="G618" t="str">
            <v>AR</v>
          </cell>
          <cell r="H618" t="str">
            <v>ARRARMWSH</v>
          </cell>
          <cell r="I618" t="str">
            <v>ARES1157004</v>
          </cell>
          <cell r="J618" t="str">
            <v>40</v>
          </cell>
          <cell r="K618" t="str">
            <v>SHIRT</v>
          </cell>
          <cell r="L618" t="str">
            <v>NOD</v>
          </cell>
        </row>
        <row r="619">
          <cell r="C619" t="str">
            <v>ARES1157</v>
          </cell>
          <cell r="D619" t="str">
            <v>CORE</v>
          </cell>
          <cell r="E619" t="str">
            <v>CO25</v>
          </cell>
          <cell r="F619">
            <v>2699</v>
          </cell>
          <cell r="G619" t="str">
            <v>AR</v>
          </cell>
          <cell r="H619" t="str">
            <v>ARRARMWSH</v>
          </cell>
          <cell r="I619" t="str">
            <v>ARES1157005</v>
          </cell>
          <cell r="J619" t="str">
            <v>42</v>
          </cell>
          <cell r="K619" t="str">
            <v>SHIRT</v>
          </cell>
          <cell r="L619" t="str">
            <v>NOD</v>
          </cell>
        </row>
        <row r="620">
          <cell r="C620" t="str">
            <v>ARES1157</v>
          </cell>
          <cell r="D620" t="str">
            <v>CORE</v>
          </cell>
          <cell r="E620" t="str">
            <v>CO25</v>
          </cell>
          <cell r="F620">
            <v>2699</v>
          </cell>
          <cell r="G620" t="str">
            <v>AR</v>
          </cell>
          <cell r="H620" t="str">
            <v>ARRARMWSH</v>
          </cell>
          <cell r="I620" t="str">
            <v>ARES1157006</v>
          </cell>
          <cell r="J620" t="str">
            <v>44</v>
          </cell>
          <cell r="K620" t="str">
            <v>SHIRT</v>
          </cell>
          <cell r="L620" t="str">
            <v>NOD</v>
          </cell>
        </row>
        <row r="621">
          <cell r="C621" t="str">
            <v>ARES1157</v>
          </cell>
          <cell r="D621" t="str">
            <v>CORE</v>
          </cell>
          <cell r="E621" t="str">
            <v>CO25</v>
          </cell>
          <cell r="F621">
            <v>3054</v>
          </cell>
          <cell r="G621" t="str">
            <v>AR</v>
          </cell>
          <cell r="H621" t="str">
            <v>ARRARMWSH</v>
          </cell>
          <cell r="I621" t="str">
            <v>ARES1157007</v>
          </cell>
          <cell r="J621" t="str">
            <v>46</v>
          </cell>
          <cell r="K621" t="str">
            <v>SHIRT</v>
          </cell>
          <cell r="L621" t="str">
            <v>NOD</v>
          </cell>
        </row>
        <row r="622">
          <cell r="C622" t="str">
            <v>ARES1157</v>
          </cell>
          <cell r="D622" t="str">
            <v>CORE</v>
          </cell>
          <cell r="E622" t="str">
            <v>CO25</v>
          </cell>
          <cell r="F622">
            <v>3054</v>
          </cell>
          <cell r="G622" t="str">
            <v>AR</v>
          </cell>
          <cell r="H622" t="str">
            <v>ARRARMWSH</v>
          </cell>
          <cell r="I622" t="str">
            <v>ARES1157008</v>
          </cell>
          <cell r="J622" t="str">
            <v>48</v>
          </cell>
          <cell r="K622" t="str">
            <v>SHIRT</v>
          </cell>
          <cell r="L622" t="str">
            <v>NOD</v>
          </cell>
        </row>
        <row r="623">
          <cell r="C623" t="str">
            <v>ARES1157</v>
          </cell>
          <cell r="D623" t="str">
            <v>CORE</v>
          </cell>
          <cell r="E623" t="str">
            <v>CO25</v>
          </cell>
          <cell r="F623">
            <v>3054</v>
          </cell>
          <cell r="G623" t="str">
            <v>AR</v>
          </cell>
          <cell r="H623" t="str">
            <v>ARRARMWSH</v>
          </cell>
          <cell r="I623" t="str">
            <v>ARES1157009</v>
          </cell>
          <cell r="J623" t="str">
            <v>50</v>
          </cell>
          <cell r="K623" t="str">
            <v>SHIRT</v>
          </cell>
          <cell r="L623" t="str">
            <v>NOD</v>
          </cell>
        </row>
        <row r="624">
          <cell r="C624" t="str">
            <v>ARES1157</v>
          </cell>
          <cell r="D624" t="str">
            <v>CORE</v>
          </cell>
          <cell r="E624" t="str">
            <v>CO25</v>
          </cell>
          <cell r="F624">
            <v>3054</v>
          </cell>
          <cell r="G624" t="str">
            <v>AR</v>
          </cell>
          <cell r="H624" t="str">
            <v>ARRARMWSH</v>
          </cell>
          <cell r="I624" t="str">
            <v>ARES1157010</v>
          </cell>
          <cell r="J624" t="str">
            <v>52</v>
          </cell>
          <cell r="K624" t="str">
            <v>SHIRT</v>
          </cell>
          <cell r="L624" t="str">
            <v>NOD</v>
          </cell>
        </row>
        <row r="625">
          <cell r="C625" t="str">
            <v>ARES1157G</v>
          </cell>
          <cell r="D625" t="str">
            <v>CORE</v>
          </cell>
          <cell r="E625" t="str">
            <v>CO26</v>
          </cell>
          <cell r="F625">
            <v>2599</v>
          </cell>
          <cell r="G625" t="str">
            <v>AR</v>
          </cell>
          <cell r="H625" t="str">
            <v>ARRARMWSH</v>
          </cell>
          <cell r="I625" t="str">
            <v>ARES1157G001</v>
          </cell>
          <cell r="J625" t="str">
            <v>36</v>
          </cell>
          <cell r="K625" t="str">
            <v>SHIRT</v>
          </cell>
          <cell r="L625" t="str">
            <v>NOD</v>
          </cell>
        </row>
        <row r="626">
          <cell r="C626" t="str">
            <v>ARES1157G</v>
          </cell>
          <cell r="D626" t="str">
            <v>CORE</v>
          </cell>
          <cell r="E626" t="str">
            <v>CO26</v>
          </cell>
          <cell r="F626">
            <v>2599</v>
          </cell>
          <cell r="G626" t="str">
            <v>AR</v>
          </cell>
          <cell r="H626" t="str">
            <v>ARRARMWSH</v>
          </cell>
          <cell r="I626" t="str">
            <v>ARES1157G002</v>
          </cell>
          <cell r="J626" t="str">
            <v>38</v>
          </cell>
          <cell r="K626" t="str">
            <v>SHIRT</v>
          </cell>
          <cell r="L626" t="str">
            <v>NOD</v>
          </cell>
        </row>
        <row r="627">
          <cell r="C627" t="str">
            <v>ARES1157G</v>
          </cell>
          <cell r="D627" t="str">
            <v>CORE</v>
          </cell>
          <cell r="E627" t="str">
            <v>CO26</v>
          </cell>
          <cell r="F627">
            <v>2599</v>
          </cell>
          <cell r="G627" t="str">
            <v>AR</v>
          </cell>
          <cell r="H627" t="str">
            <v>ARRARMWSH</v>
          </cell>
          <cell r="I627" t="str">
            <v>ARES1157G003</v>
          </cell>
          <cell r="J627" t="str">
            <v>39</v>
          </cell>
          <cell r="K627" t="str">
            <v>SHIRT</v>
          </cell>
          <cell r="L627" t="str">
            <v>NOD</v>
          </cell>
        </row>
        <row r="628">
          <cell r="C628" t="str">
            <v>ARES1157G</v>
          </cell>
          <cell r="D628" t="str">
            <v>CORE</v>
          </cell>
          <cell r="E628" t="str">
            <v>CO26</v>
          </cell>
          <cell r="F628">
            <v>2599</v>
          </cell>
          <cell r="G628" t="str">
            <v>AR</v>
          </cell>
          <cell r="H628" t="str">
            <v>ARRARMWSH</v>
          </cell>
          <cell r="I628" t="str">
            <v>ARES1157G004</v>
          </cell>
          <cell r="J628" t="str">
            <v>40</v>
          </cell>
          <cell r="K628" t="str">
            <v>SHIRT</v>
          </cell>
          <cell r="L628" t="str">
            <v>NOD</v>
          </cell>
        </row>
        <row r="629">
          <cell r="C629" t="str">
            <v>ARES1157G</v>
          </cell>
          <cell r="D629" t="str">
            <v>CORE</v>
          </cell>
          <cell r="E629" t="str">
            <v>CO26</v>
          </cell>
          <cell r="F629">
            <v>2599</v>
          </cell>
          <cell r="G629" t="str">
            <v>AR</v>
          </cell>
          <cell r="H629" t="str">
            <v>ARRARMWSH</v>
          </cell>
          <cell r="I629" t="str">
            <v>ARES1157G005</v>
          </cell>
          <cell r="J629" t="str">
            <v>42</v>
          </cell>
          <cell r="K629" t="str">
            <v>SHIRT</v>
          </cell>
          <cell r="L629" t="str">
            <v>NOD</v>
          </cell>
        </row>
        <row r="630">
          <cell r="C630" t="str">
            <v>ARES1157G</v>
          </cell>
          <cell r="D630" t="str">
            <v>CORE</v>
          </cell>
          <cell r="E630" t="str">
            <v>CO26</v>
          </cell>
          <cell r="F630">
            <v>2599</v>
          </cell>
          <cell r="G630" t="str">
            <v>AR</v>
          </cell>
          <cell r="H630" t="str">
            <v>ARRARMWSH</v>
          </cell>
          <cell r="I630" t="str">
            <v>ARES1157G006</v>
          </cell>
          <cell r="J630" t="str">
            <v>44</v>
          </cell>
          <cell r="K630" t="str">
            <v>SHIRT</v>
          </cell>
          <cell r="L630" t="str">
            <v>NOD</v>
          </cell>
        </row>
        <row r="631">
          <cell r="C631" t="str">
            <v>ARES1157G</v>
          </cell>
          <cell r="D631" t="str">
            <v>CORE</v>
          </cell>
          <cell r="E631" t="str">
            <v>CO26</v>
          </cell>
          <cell r="F631">
            <v>2599</v>
          </cell>
          <cell r="G631" t="str">
            <v>AR</v>
          </cell>
          <cell r="H631" t="str">
            <v>ARRARMWSH</v>
          </cell>
          <cell r="I631" t="str">
            <v>ARES1157G007</v>
          </cell>
          <cell r="J631" t="str">
            <v>46</v>
          </cell>
          <cell r="K631" t="str">
            <v>SHIRT</v>
          </cell>
          <cell r="L631" t="str">
            <v>NOD</v>
          </cell>
        </row>
        <row r="632">
          <cell r="C632" t="str">
            <v>ARES1157G</v>
          </cell>
          <cell r="D632" t="str">
            <v>CORE</v>
          </cell>
          <cell r="E632" t="str">
            <v>CO26</v>
          </cell>
          <cell r="F632">
            <v>2599</v>
          </cell>
          <cell r="G632" t="str">
            <v>AR</v>
          </cell>
          <cell r="H632" t="str">
            <v>ARRARMWSH</v>
          </cell>
          <cell r="I632" t="str">
            <v>ARES1157G008</v>
          </cell>
          <cell r="J632" t="str">
            <v>48</v>
          </cell>
          <cell r="K632" t="str">
            <v>SHIRT</v>
          </cell>
          <cell r="L632" t="str">
            <v>NOD</v>
          </cell>
        </row>
        <row r="633">
          <cell r="C633" t="str">
            <v>ARES1157G</v>
          </cell>
          <cell r="D633" t="str">
            <v>CORE</v>
          </cell>
          <cell r="E633" t="str">
            <v>CO26</v>
          </cell>
          <cell r="F633">
            <v>2599</v>
          </cell>
          <cell r="G633" t="str">
            <v>AR</v>
          </cell>
          <cell r="H633" t="str">
            <v>ARRARMWSH</v>
          </cell>
          <cell r="I633" t="str">
            <v>ARES1157G009</v>
          </cell>
          <cell r="J633" t="str">
            <v>50</v>
          </cell>
          <cell r="K633" t="str">
            <v>SHIRT</v>
          </cell>
          <cell r="L633" t="str">
            <v>NOD</v>
          </cell>
        </row>
        <row r="634">
          <cell r="C634" t="str">
            <v>ARES1157G</v>
          </cell>
          <cell r="D634" t="str">
            <v>CORE</v>
          </cell>
          <cell r="E634" t="str">
            <v>CO26</v>
          </cell>
          <cell r="F634">
            <v>2599</v>
          </cell>
          <cell r="G634" t="str">
            <v>AR</v>
          </cell>
          <cell r="H634" t="str">
            <v>ARRARMWSH</v>
          </cell>
          <cell r="I634" t="str">
            <v>ARES1157G010</v>
          </cell>
          <cell r="J634" t="str">
            <v>52</v>
          </cell>
          <cell r="K634" t="str">
            <v>SHIRT</v>
          </cell>
          <cell r="L634" t="str">
            <v>NOD</v>
          </cell>
        </row>
        <row r="635">
          <cell r="C635" t="str">
            <v>ARES1158</v>
          </cell>
          <cell r="D635" t="str">
            <v>CORE</v>
          </cell>
          <cell r="E635" t="str">
            <v>CO25</v>
          </cell>
          <cell r="F635">
            <v>2699</v>
          </cell>
          <cell r="G635" t="str">
            <v>AR</v>
          </cell>
          <cell r="H635" t="str">
            <v>ARRARMWSH</v>
          </cell>
          <cell r="I635" t="str">
            <v>ARES1158001</v>
          </cell>
          <cell r="J635" t="str">
            <v>36</v>
          </cell>
          <cell r="K635" t="str">
            <v>SHIRT</v>
          </cell>
          <cell r="L635" t="str">
            <v>NOD</v>
          </cell>
        </row>
        <row r="636">
          <cell r="C636" t="str">
            <v>ARES1158</v>
          </cell>
          <cell r="D636" t="str">
            <v>CORE</v>
          </cell>
          <cell r="E636" t="str">
            <v>CO25</v>
          </cell>
          <cell r="F636">
            <v>2699</v>
          </cell>
          <cell r="G636" t="str">
            <v>AR</v>
          </cell>
          <cell r="H636" t="str">
            <v>ARRARMWSH</v>
          </cell>
          <cell r="I636" t="str">
            <v>ARES1158002</v>
          </cell>
          <cell r="J636" t="str">
            <v>38</v>
          </cell>
          <cell r="K636" t="str">
            <v>SHIRT</v>
          </cell>
          <cell r="L636" t="str">
            <v>NOD</v>
          </cell>
        </row>
        <row r="637">
          <cell r="C637" t="str">
            <v>ARES1158</v>
          </cell>
          <cell r="D637" t="str">
            <v>CORE</v>
          </cell>
          <cell r="E637" t="str">
            <v>CO25</v>
          </cell>
          <cell r="F637">
            <v>2699</v>
          </cell>
          <cell r="G637" t="str">
            <v>AR</v>
          </cell>
          <cell r="H637" t="str">
            <v>ARRARMWSH</v>
          </cell>
          <cell r="I637" t="str">
            <v>ARES1158003</v>
          </cell>
          <cell r="J637" t="str">
            <v>39</v>
          </cell>
          <cell r="K637" t="str">
            <v>SHIRT</v>
          </cell>
          <cell r="L637" t="str">
            <v>NOD</v>
          </cell>
        </row>
        <row r="638">
          <cell r="C638" t="str">
            <v>ARES1158</v>
          </cell>
          <cell r="D638" t="str">
            <v>CORE</v>
          </cell>
          <cell r="E638" t="str">
            <v>CO25</v>
          </cell>
          <cell r="F638">
            <v>2699</v>
          </cell>
          <cell r="G638" t="str">
            <v>AR</v>
          </cell>
          <cell r="H638" t="str">
            <v>ARRARMWSH</v>
          </cell>
          <cell r="I638" t="str">
            <v>ARES1158004</v>
          </cell>
          <cell r="J638" t="str">
            <v>40</v>
          </cell>
          <cell r="K638" t="str">
            <v>SHIRT</v>
          </cell>
          <cell r="L638" t="str">
            <v>NOD</v>
          </cell>
        </row>
        <row r="639">
          <cell r="C639" t="str">
            <v>ARES1158</v>
          </cell>
          <cell r="D639" t="str">
            <v>CORE</v>
          </cell>
          <cell r="E639" t="str">
            <v>CO25</v>
          </cell>
          <cell r="F639">
            <v>2699</v>
          </cell>
          <cell r="G639" t="str">
            <v>AR</v>
          </cell>
          <cell r="H639" t="str">
            <v>ARRARMWSH</v>
          </cell>
          <cell r="I639" t="str">
            <v>ARES1158005</v>
          </cell>
          <cell r="J639" t="str">
            <v>42</v>
          </cell>
          <cell r="K639" t="str">
            <v>SHIRT</v>
          </cell>
          <cell r="L639" t="str">
            <v>NOD</v>
          </cell>
        </row>
        <row r="640">
          <cell r="C640" t="str">
            <v>ARES1158</v>
          </cell>
          <cell r="D640" t="str">
            <v>CORE</v>
          </cell>
          <cell r="E640" t="str">
            <v>CO25</v>
          </cell>
          <cell r="F640">
            <v>2699</v>
          </cell>
          <cell r="G640" t="str">
            <v>AR</v>
          </cell>
          <cell r="H640" t="str">
            <v>ARRARMWSH</v>
          </cell>
          <cell r="I640" t="str">
            <v>ARES1158006</v>
          </cell>
          <cell r="J640" t="str">
            <v>44</v>
          </cell>
          <cell r="K640" t="str">
            <v>SHIRT</v>
          </cell>
          <cell r="L640" t="str">
            <v>NOD</v>
          </cell>
        </row>
        <row r="641">
          <cell r="C641" t="str">
            <v>ARES1158</v>
          </cell>
          <cell r="D641" t="str">
            <v>CORE</v>
          </cell>
          <cell r="E641" t="str">
            <v>CO25</v>
          </cell>
          <cell r="F641">
            <v>3054</v>
          </cell>
          <cell r="G641" t="str">
            <v>AR</v>
          </cell>
          <cell r="H641" t="str">
            <v>ARRARMWSH</v>
          </cell>
          <cell r="I641" t="str">
            <v>ARES1158007</v>
          </cell>
          <cell r="J641" t="str">
            <v>46</v>
          </cell>
          <cell r="K641" t="str">
            <v>SHIRT</v>
          </cell>
          <cell r="L641" t="str">
            <v>NOD</v>
          </cell>
        </row>
        <row r="642">
          <cell r="C642" t="str">
            <v>ARES1158</v>
          </cell>
          <cell r="D642" t="str">
            <v>CORE</v>
          </cell>
          <cell r="E642" t="str">
            <v>CO25</v>
          </cell>
          <cell r="F642">
            <v>3054</v>
          </cell>
          <cell r="G642" t="str">
            <v>AR</v>
          </cell>
          <cell r="H642" t="str">
            <v>ARRARMWSH</v>
          </cell>
          <cell r="I642" t="str">
            <v>ARES1158008</v>
          </cell>
          <cell r="J642" t="str">
            <v>48</v>
          </cell>
          <cell r="K642" t="str">
            <v>SHIRT</v>
          </cell>
          <cell r="L642" t="str">
            <v>NOD</v>
          </cell>
        </row>
        <row r="643">
          <cell r="C643" t="str">
            <v>ARES1158</v>
          </cell>
          <cell r="D643" t="str">
            <v>CORE</v>
          </cell>
          <cell r="E643" t="str">
            <v>CO25</v>
          </cell>
          <cell r="F643">
            <v>3054</v>
          </cell>
          <cell r="G643" t="str">
            <v>AR</v>
          </cell>
          <cell r="H643" t="str">
            <v>ARRARMWSH</v>
          </cell>
          <cell r="I643" t="str">
            <v>ARES1158009</v>
          </cell>
          <cell r="J643" t="str">
            <v>50</v>
          </cell>
          <cell r="K643" t="str">
            <v>SHIRT</v>
          </cell>
          <cell r="L643" t="str">
            <v>NOD</v>
          </cell>
        </row>
        <row r="644">
          <cell r="C644" t="str">
            <v>ARES1158</v>
          </cell>
          <cell r="D644" t="str">
            <v>CORE</v>
          </cell>
          <cell r="E644" t="str">
            <v>CO25</v>
          </cell>
          <cell r="F644">
            <v>3054</v>
          </cell>
          <cell r="G644" t="str">
            <v>AR</v>
          </cell>
          <cell r="H644" t="str">
            <v>ARRARMWSH</v>
          </cell>
          <cell r="I644" t="str">
            <v>ARES1158010</v>
          </cell>
          <cell r="J644" t="str">
            <v>52</v>
          </cell>
          <cell r="K644" t="str">
            <v>SHIRT</v>
          </cell>
          <cell r="L644" t="str">
            <v>NOD</v>
          </cell>
        </row>
        <row r="645">
          <cell r="C645" t="str">
            <v>ARES1158G</v>
          </cell>
          <cell r="D645" t="str">
            <v>CORE</v>
          </cell>
          <cell r="E645" t="str">
            <v>CO26</v>
          </cell>
          <cell r="F645">
            <v>2599</v>
          </cell>
          <cell r="G645" t="str">
            <v>AR</v>
          </cell>
          <cell r="H645" t="str">
            <v>ARRARMWSH</v>
          </cell>
          <cell r="I645" t="str">
            <v>ARES1158G001</v>
          </cell>
          <cell r="J645" t="str">
            <v>36</v>
          </cell>
          <cell r="K645" t="str">
            <v>SHIRT</v>
          </cell>
          <cell r="L645" t="str">
            <v>NOD</v>
          </cell>
        </row>
        <row r="646">
          <cell r="C646" t="str">
            <v>ARES1158G</v>
          </cell>
          <cell r="D646" t="str">
            <v>CORE</v>
          </cell>
          <cell r="E646" t="str">
            <v>CO26</v>
          </cell>
          <cell r="F646">
            <v>2599</v>
          </cell>
          <cell r="G646" t="str">
            <v>AR</v>
          </cell>
          <cell r="H646" t="str">
            <v>ARRARMWSH</v>
          </cell>
          <cell r="I646" t="str">
            <v>ARES1158G002</v>
          </cell>
          <cell r="J646" t="str">
            <v>38</v>
          </cell>
          <cell r="K646" t="str">
            <v>SHIRT</v>
          </cell>
          <cell r="L646" t="str">
            <v>NOD</v>
          </cell>
        </row>
        <row r="647">
          <cell r="C647" t="str">
            <v>ARES1158G</v>
          </cell>
          <cell r="D647" t="str">
            <v>CORE</v>
          </cell>
          <cell r="E647" t="str">
            <v>CO26</v>
          </cell>
          <cell r="F647">
            <v>2599</v>
          </cell>
          <cell r="G647" t="str">
            <v>AR</v>
          </cell>
          <cell r="H647" t="str">
            <v>ARRARMWSH</v>
          </cell>
          <cell r="I647" t="str">
            <v>ARES1158G003</v>
          </cell>
          <cell r="J647" t="str">
            <v>39</v>
          </cell>
          <cell r="K647" t="str">
            <v>SHIRT</v>
          </cell>
          <cell r="L647" t="str">
            <v>NOD</v>
          </cell>
        </row>
        <row r="648">
          <cell r="C648" t="str">
            <v>ARES1158G</v>
          </cell>
          <cell r="D648" t="str">
            <v>CORE</v>
          </cell>
          <cell r="E648" t="str">
            <v>CO26</v>
          </cell>
          <cell r="F648">
            <v>2599</v>
          </cell>
          <cell r="G648" t="str">
            <v>AR</v>
          </cell>
          <cell r="H648" t="str">
            <v>ARRARMWSH</v>
          </cell>
          <cell r="I648" t="str">
            <v>ARES1158G004</v>
          </cell>
          <cell r="J648" t="str">
            <v>40</v>
          </cell>
          <cell r="K648" t="str">
            <v>SHIRT</v>
          </cell>
          <cell r="L648" t="str">
            <v>NOD</v>
          </cell>
        </row>
        <row r="649">
          <cell r="C649" t="str">
            <v>ARES1158G</v>
          </cell>
          <cell r="D649" t="str">
            <v>CORE</v>
          </cell>
          <cell r="E649" t="str">
            <v>CO26</v>
          </cell>
          <cell r="F649">
            <v>2599</v>
          </cell>
          <cell r="G649" t="str">
            <v>AR</v>
          </cell>
          <cell r="H649" t="str">
            <v>ARRARMWSH</v>
          </cell>
          <cell r="I649" t="str">
            <v>ARES1158G005</v>
          </cell>
          <cell r="J649" t="str">
            <v>42</v>
          </cell>
          <cell r="K649" t="str">
            <v>SHIRT</v>
          </cell>
          <cell r="L649" t="str">
            <v>NOD</v>
          </cell>
        </row>
        <row r="650">
          <cell r="C650" t="str">
            <v>ARES1158G</v>
          </cell>
          <cell r="D650" t="str">
            <v>CORE</v>
          </cell>
          <cell r="E650" t="str">
            <v>CO26</v>
          </cell>
          <cell r="F650">
            <v>2599</v>
          </cell>
          <cell r="G650" t="str">
            <v>AR</v>
          </cell>
          <cell r="H650" t="str">
            <v>ARRARMWSH</v>
          </cell>
          <cell r="I650" t="str">
            <v>ARES1158G006</v>
          </cell>
          <cell r="J650" t="str">
            <v>44</v>
          </cell>
          <cell r="K650" t="str">
            <v>SHIRT</v>
          </cell>
          <cell r="L650" t="str">
            <v>NOD</v>
          </cell>
        </row>
        <row r="651">
          <cell r="C651" t="str">
            <v>ARES1158G</v>
          </cell>
          <cell r="D651" t="str">
            <v>CORE</v>
          </cell>
          <cell r="E651" t="str">
            <v>CO26</v>
          </cell>
          <cell r="F651">
            <v>2599</v>
          </cell>
          <cell r="G651" t="str">
            <v>AR</v>
          </cell>
          <cell r="H651" t="str">
            <v>ARRARMWSH</v>
          </cell>
          <cell r="I651" t="str">
            <v>ARES1158G007</v>
          </cell>
          <cell r="J651" t="str">
            <v>46</v>
          </cell>
          <cell r="K651" t="str">
            <v>SHIRT</v>
          </cell>
          <cell r="L651" t="str">
            <v>NOD</v>
          </cell>
        </row>
        <row r="652">
          <cell r="C652" t="str">
            <v>ARES1158G</v>
          </cell>
          <cell r="D652" t="str">
            <v>CORE</v>
          </cell>
          <cell r="E652" t="str">
            <v>CO26</v>
          </cell>
          <cell r="F652">
            <v>2599</v>
          </cell>
          <cell r="G652" t="str">
            <v>AR</v>
          </cell>
          <cell r="H652" t="str">
            <v>ARRARMWSH</v>
          </cell>
          <cell r="I652" t="str">
            <v>ARES1158G008</v>
          </cell>
          <cell r="J652" t="str">
            <v>48</v>
          </cell>
          <cell r="K652" t="str">
            <v>SHIRT</v>
          </cell>
          <cell r="L652" t="str">
            <v>NOD</v>
          </cell>
        </row>
        <row r="653">
          <cell r="C653" t="str">
            <v>ARES1158G</v>
          </cell>
          <cell r="D653" t="str">
            <v>CORE</v>
          </cell>
          <cell r="E653" t="str">
            <v>CO26</v>
          </cell>
          <cell r="F653">
            <v>2599</v>
          </cell>
          <cell r="G653" t="str">
            <v>AR</v>
          </cell>
          <cell r="H653" t="str">
            <v>ARRARMWSH</v>
          </cell>
          <cell r="I653" t="str">
            <v>ARES1158G009</v>
          </cell>
          <cell r="J653" t="str">
            <v>50</v>
          </cell>
          <cell r="K653" t="str">
            <v>SHIRT</v>
          </cell>
          <cell r="L653" t="str">
            <v>NOD</v>
          </cell>
        </row>
        <row r="654">
          <cell r="C654" t="str">
            <v>ARES1158G</v>
          </cell>
          <cell r="D654" t="str">
            <v>CORE</v>
          </cell>
          <cell r="E654" t="str">
            <v>CO26</v>
          </cell>
          <cell r="F654">
            <v>2599</v>
          </cell>
          <cell r="G654" t="str">
            <v>AR</v>
          </cell>
          <cell r="H654" t="str">
            <v>ARRARMWSH</v>
          </cell>
          <cell r="I654" t="str">
            <v>ARES1158G010</v>
          </cell>
          <cell r="J654" t="str">
            <v>52</v>
          </cell>
          <cell r="K654" t="str">
            <v>SHIRT</v>
          </cell>
          <cell r="L654" t="str">
            <v>NOD</v>
          </cell>
        </row>
        <row r="655">
          <cell r="C655" t="str">
            <v>ARES1159</v>
          </cell>
          <cell r="D655" t="str">
            <v>CORE</v>
          </cell>
          <cell r="E655" t="str">
            <v>CO25</v>
          </cell>
          <cell r="F655">
            <v>2699</v>
          </cell>
          <cell r="G655" t="str">
            <v>AR</v>
          </cell>
          <cell r="H655" t="str">
            <v>ARRARMWSH</v>
          </cell>
          <cell r="I655" t="str">
            <v>ARES1159001</v>
          </cell>
          <cell r="J655" t="str">
            <v>36</v>
          </cell>
          <cell r="K655" t="str">
            <v>SHIRT</v>
          </cell>
          <cell r="L655" t="str">
            <v>NOD</v>
          </cell>
        </row>
        <row r="656">
          <cell r="C656" t="str">
            <v>ARES1159</v>
          </cell>
          <cell r="D656" t="str">
            <v>CORE</v>
          </cell>
          <cell r="E656" t="str">
            <v>CO25</v>
          </cell>
          <cell r="F656">
            <v>2699</v>
          </cell>
          <cell r="G656" t="str">
            <v>AR</v>
          </cell>
          <cell r="H656" t="str">
            <v>ARRARMWSH</v>
          </cell>
          <cell r="I656" t="str">
            <v>ARES1159002</v>
          </cell>
          <cell r="J656" t="str">
            <v>38</v>
          </cell>
          <cell r="K656" t="str">
            <v>SHIRT</v>
          </cell>
          <cell r="L656" t="str">
            <v>NOD</v>
          </cell>
        </row>
        <row r="657">
          <cell r="C657" t="str">
            <v>ARES1159</v>
          </cell>
          <cell r="D657" t="str">
            <v>CORE</v>
          </cell>
          <cell r="E657" t="str">
            <v>CO25</v>
          </cell>
          <cell r="F657">
            <v>2699</v>
          </cell>
          <cell r="G657" t="str">
            <v>AR</v>
          </cell>
          <cell r="H657" t="str">
            <v>ARRARMWSH</v>
          </cell>
          <cell r="I657" t="str">
            <v>ARES1159003</v>
          </cell>
          <cell r="J657" t="str">
            <v>39</v>
          </cell>
          <cell r="K657" t="str">
            <v>SHIRT</v>
          </cell>
          <cell r="L657" t="str">
            <v>NOD</v>
          </cell>
        </row>
        <row r="658">
          <cell r="C658" t="str">
            <v>ARES1159</v>
          </cell>
          <cell r="D658" t="str">
            <v>CORE</v>
          </cell>
          <cell r="E658" t="str">
            <v>CO25</v>
          </cell>
          <cell r="F658">
            <v>2699</v>
          </cell>
          <cell r="G658" t="str">
            <v>AR</v>
          </cell>
          <cell r="H658" t="str">
            <v>ARRARMWSH</v>
          </cell>
          <cell r="I658" t="str">
            <v>ARES1159004</v>
          </cell>
          <cell r="J658" t="str">
            <v>40</v>
          </cell>
          <cell r="K658" t="str">
            <v>SHIRT</v>
          </cell>
          <cell r="L658" t="str">
            <v>NOD</v>
          </cell>
        </row>
        <row r="659">
          <cell r="C659" t="str">
            <v>ARES1159</v>
          </cell>
          <cell r="D659" t="str">
            <v>CORE</v>
          </cell>
          <cell r="E659" t="str">
            <v>CO25</v>
          </cell>
          <cell r="F659">
            <v>2699</v>
          </cell>
          <cell r="G659" t="str">
            <v>AR</v>
          </cell>
          <cell r="H659" t="str">
            <v>ARRARMWSH</v>
          </cell>
          <cell r="I659" t="str">
            <v>ARES1159005</v>
          </cell>
          <cell r="J659" t="str">
            <v>42</v>
          </cell>
          <cell r="K659" t="str">
            <v>SHIRT</v>
          </cell>
          <cell r="L659" t="str">
            <v>NOD</v>
          </cell>
        </row>
        <row r="660">
          <cell r="C660" t="str">
            <v>ARES1159</v>
          </cell>
          <cell r="D660" t="str">
            <v>CORE</v>
          </cell>
          <cell r="E660" t="str">
            <v>CO25</v>
          </cell>
          <cell r="F660">
            <v>2699</v>
          </cell>
          <cell r="G660" t="str">
            <v>AR</v>
          </cell>
          <cell r="H660" t="str">
            <v>ARRARMWSH</v>
          </cell>
          <cell r="I660" t="str">
            <v>ARES1159006</v>
          </cell>
          <cell r="J660" t="str">
            <v>44</v>
          </cell>
          <cell r="K660" t="str">
            <v>SHIRT</v>
          </cell>
          <cell r="L660" t="str">
            <v>NOD</v>
          </cell>
        </row>
        <row r="661">
          <cell r="C661" t="str">
            <v>ARES1159</v>
          </cell>
          <cell r="D661" t="str">
            <v>CORE</v>
          </cell>
          <cell r="E661" t="str">
            <v>CO25</v>
          </cell>
          <cell r="F661">
            <v>3054.3</v>
          </cell>
          <cell r="G661" t="str">
            <v>AR</v>
          </cell>
          <cell r="H661" t="str">
            <v>ARRARMWSH</v>
          </cell>
          <cell r="I661" t="str">
            <v>ARES1159007</v>
          </cell>
          <cell r="J661" t="str">
            <v>46</v>
          </cell>
          <cell r="K661" t="str">
            <v>SHIRT</v>
          </cell>
          <cell r="L661" t="str">
            <v>NOD</v>
          </cell>
        </row>
        <row r="662">
          <cell r="C662" t="str">
            <v>ARES1159</v>
          </cell>
          <cell r="D662" t="str">
            <v>CORE</v>
          </cell>
          <cell r="E662" t="str">
            <v>CO25</v>
          </cell>
          <cell r="F662">
            <v>3054.3</v>
          </cell>
          <cell r="G662" t="str">
            <v>AR</v>
          </cell>
          <cell r="H662" t="str">
            <v>ARRARMWSH</v>
          </cell>
          <cell r="I662" t="str">
            <v>ARES1159008</v>
          </cell>
          <cell r="J662" t="str">
            <v>48</v>
          </cell>
          <cell r="K662" t="str">
            <v>SHIRT</v>
          </cell>
          <cell r="L662" t="str">
            <v>NOD</v>
          </cell>
        </row>
        <row r="663">
          <cell r="C663" t="str">
            <v>ARES1159</v>
          </cell>
          <cell r="D663" t="str">
            <v>CORE</v>
          </cell>
          <cell r="E663" t="str">
            <v>CO25</v>
          </cell>
          <cell r="F663">
            <v>3054.3</v>
          </cell>
          <cell r="G663" t="str">
            <v>AR</v>
          </cell>
          <cell r="H663" t="str">
            <v>ARRARMWSH</v>
          </cell>
          <cell r="I663" t="str">
            <v>ARES1159009</v>
          </cell>
          <cell r="J663" t="str">
            <v>50</v>
          </cell>
          <cell r="K663" t="str">
            <v>SHIRT</v>
          </cell>
          <cell r="L663" t="str">
            <v>NOD</v>
          </cell>
        </row>
        <row r="664">
          <cell r="C664" t="str">
            <v>ARES1159</v>
          </cell>
          <cell r="D664" t="str">
            <v>CORE</v>
          </cell>
          <cell r="E664" t="str">
            <v>CO25</v>
          </cell>
          <cell r="F664">
            <v>3054.3</v>
          </cell>
          <cell r="G664" t="str">
            <v>AR</v>
          </cell>
          <cell r="H664" t="str">
            <v>ARRARMWSH</v>
          </cell>
          <cell r="I664" t="str">
            <v>ARES1159010</v>
          </cell>
          <cell r="J664" t="str">
            <v>52</v>
          </cell>
          <cell r="K664" t="str">
            <v>SHIRT</v>
          </cell>
          <cell r="L664" t="str">
            <v>NOD</v>
          </cell>
        </row>
        <row r="665">
          <cell r="C665" t="str">
            <v>ARES1159G</v>
          </cell>
          <cell r="D665" t="str">
            <v>CORE</v>
          </cell>
          <cell r="E665" t="str">
            <v>CO26</v>
          </cell>
          <cell r="F665">
            <v>2599</v>
          </cell>
          <cell r="G665" t="str">
            <v>AR</v>
          </cell>
          <cell r="H665" t="str">
            <v>ARRARMWSH</v>
          </cell>
          <cell r="I665" t="str">
            <v>ARES1159G001</v>
          </cell>
          <cell r="J665" t="str">
            <v>36</v>
          </cell>
          <cell r="K665" t="str">
            <v>SHIRT</v>
          </cell>
          <cell r="L665" t="str">
            <v>NOD</v>
          </cell>
        </row>
        <row r="666">
          <cell r="C666" t="str">
            <v>ARES1159G</v>
          </cell>
          <cell r="D666" t="str">
            <v>CORE</v>
          </cell>
          <cell r="E666" t="str">
            <v>CO26</v>
          </cell>
          <cell r="F666">
            <v>2599</v>
          </cell>
          <cell r="G666" t="str">
            <v>AR</v>
          </cell>
          <cell r="H666" t="str">
            <v>ARRARMWSH</v>
          </cell>
          <cell r="I666" t="str">
            <v>ARES1159G002</v>
          </cell>
          <cell r="J666" t="str">
            <v>38</v>
          </cell>
          <cell r="K666" t="str">
            <v>SHIRT</v>
          </cell>
          <cell r="L666" t="str">
            <v>NOD</v>
          </cell>
        </row>
        <row r="667">
          <cell r="C667" t="str">
            <v>ARES1159G</v>
          </cell>
          <cell r="D667" t="str">
            <v>CORE</v>
          </cell>
          <cell r="E667" t="str">
            <v>CO26</v>
          </cell>
          <cell r="F667">
            <v>2599</v>
          </cell>
          <cell r="G667" t="str">
            <v>AR</v>
          </cell>
          <cell r="H667" t="str">
            <v>ARRARMWSH</v>
          </cell>
          <cell r="I667" t="str">
            <v>ARES1159G003</v>
          </cell>
          <cell r="J667" t="str">
            <v>39</v>
          </cell>
          <cell r="K667" t="str">
            <v>SHIRT</v>
          </cell>
          <cell r="L667" t="str">
            <v>NOD</v>
          </cell>
        </row>
        <row r="668">
          <cell r="C668" t="str">
            <v>ARES1159G</v>
          </cell>
          <cell r="D668" t="str">
            <v>CORE</v>
          </cell>
          <cell r="E668" t="str">
            <v>CO26</v>
          </cell>
          <cell r="F668">
            <v>2599</v>
          </cell>
          <cell r="G668" t="str">
            <v>AR</v>
          </cell>
          <cell r="H668" t="str">
            <v>ARRARMWSH</v>
          </cell>
          <cell r="I668" t="str">
            <v>ARES1159G004</v>
          </cell>
          <cell r="J668" t="str">
            <v>40</v>
          </cell>
          <cell r="K668" t="str">
            <v>SHIRT</v>
          </cell>
          <cell r="L668" t="str">
            <v>NOD</v>
          </cell>
        </row>
        <row r="669">
          <cell r="C669" t="str">
            <v>ARES1159G</v>
          </cell>
          <cell r="D669" t="str">
            <v>CORE</v>
          </cell>
          <cell r="E669" t="str">
            <v>CO26</v>
          </cell>
          <cell r="F669">
            <v>2599</v>
          </cell>
          <cell r="G669" t="str">
            <v>AR</v>
          </cell>
          <cell r="H669" t="str">
            <v>ARRARMWSH</v>
          </cell>
          <cell r="I669" t="str">
            <v>ARES1159G005</v>
          </cell>
          <cell r="J669" t="str">
            <v>42</v>
          </cell>
          <cell r="K669" t="str">
            <v>SHIRT</v>
          </cell>
          <cell r="L669" t="str">
            <v>NOD</v>
          </cell>
        </row>
        <row r="670">
          <cell r="C670" t="str">
            <v>ARES1159G</v>
          </cell>
          <cell r="D670" t="str">
            <v>CORE</v>
          </cell>
          <cell r="E670" t="str">
            <v>CO26</v>
          </cell>
          <cell r="F670">
            <v>2599</v>
          </cell>
          <cell r="G670" t="str">
            <v>AR</v>
          </cell>
          <cell r="H670" t="str">
            <v>ARRARMWSH</v>
          </cell>
          <cell r="I670" t="str">
            <v>ARES1159G006</v>
          </cell>
          <cell r="J670" t="str">
            <v>44</v>
          </cell>
          <cell r="K670" t="str">
            <v>SHIRT</v>
          </cell>
          <cell r="L670" t="str">
            <v>NOD</v>
          </cell>
        </row>
        <row r="671">
          <cell r="C671" t="str">
            <v>ARES1159G</v>
          </cell>
          <cell r="D671" t="str">
            <v>CORE</v>
          </cell>
          <cell r="E671" t="str">
            <v>CO26</v>
          </cell>
          <cell r="F671">
            <v>2599</v>
          </cell>
          <cell r="G671" t="str">
            <v>AR</v>
          </cell>
          <cell r="H671" t="str">
            <v>ARRARMWSH</v>
          </cell>
          <cell r="I671" t="str">
            <v>ARES1159G007</v>
          </cell>
          <cell r="J671" t="str">
            <v>46</v>
          </cell>
          <cell r="K671" t="str">
            <v>SHIRT</v>
          </cell>
          <cell r="L671" t="str">
            <v>NOD</v>
          </cell>
        </row>
        <row r="672">
          <cell r="C672" t="str">
            <v>ARES1159G</v>
          </cell>
          <cell r="D672" t="str">
            <v>CORE</v>
          </cell>
          <cell r="E672" t="str">
            <v>CO26</v>
          </cell>
          <cell r="F672">
            <v>2599</v>
          </cell>
          <cell r="G672" t="str">
            <v>AR</v>
          </cell>
          <cell r="H672" t="str">
            <v>ARRARMWSH</v>
          </cell>
          <cell r="I672" t="str">
            <v>ARES1159G008</v>
          </cell>
          <cell r="J672" t="str">
            <v>48</v>
          </cell>
          <cell r="K672" t="str">
            <v>SHIRT</v>
          </cell>
          <cell r="L672" t="str">
            <v>NOD</v>
          </cell>
        </row>
        <row r="673">
          <cell r="C673" t="str">
            <v>ARES1159G</v>
          </cell>
          <cell r="D673" t="str">
            <v>CORE</v>
          </cell>
          <cell r="E673" t="str">
            <v>CO26</v>
          </cell>
          <cell r="F673">
            <v>2599</v>
          </cell>
          <cell r="G673" t="str">
            <v>AR</v>
          </cell>
          <cell r="H673" t="str">
            <v>ARRARMWSH</v>
          </cell>
          <cell r="I673" t="str">
            <v>ARES1159G009</v>
          </cell>
          <cell r="J673" t="str">
            <v>50</v>
          </cell>
          <cell r="K673" t="str">
            <v>SHIRT</v>
          </cell>
          <cell r="L673" t="str">
            <v>NOD</v>
          </cell>
        </row>
        <row r="674">
          <cell r="C674" t="str">
            <v>ARES1159G</v>
          </cell>
          <cell r="D674" t="str">
            <v>CORE</v>
          </cell>
          <cell r="E674" t="str">
            <v>CO26</v>
          </cell>
          <cell r="F674">
            <v>2599</v>
          </cell>
          <cell r="G674" t="str">
            <v>AR</v>
          </cell>
          <cell r="H674" t="str">
            <v>ARRARMWSH</v>
          </cell>
          <cell r="I674" t="str">
            <v>ARES1159G010</v>
          </cell>
          <cell r="J674" t="str">
            <v>52</v>
          </cell>
          <cell r="K674" t="str">
            <v>SHIRT</v>
          </cell>
          <cell r="L674" t="str">
            <v>NOD</v>
          </cell>
        </row>
        <row r="675">
          <cell r="C675" t="str">
            <v>ARES1161</v>
          </cell>
          <cell r="D675" t="str">
            <v>CORE</v>
          </cell>
          <cell r="E675" t="str">
            <v>CO25</v>
          </cell>
          <cell r="F675">
            <v>2699</v>
          </cell>
          <cell r="G675" t="str">
            <v>AR</v>
          </cell>
          <cell r="H675" t="str">
            <v>ARRARMWSH</v>
          </cell>
          <cell r="I675" t="str">
            <v>ARES1161001</v>
          </cell>
          <cell r="J675" t="str">
            <v>36</v>
          </cell>
          <cell r="K675" t="str">
            <v>SHIRT</v>
          </cell>
          <cell r="L675" t="str">
            <v>NOD</v>
          </cell>
        </row>
        <row r="676">
          <cell r="C676" t="str">
            <v>ARES1161</v>
          </cell>
          <cell r="D676" t="str">
            <v>CORE</v>
          </cell>
          <cell r="E676" t="str">
            <v>CO25</v>
          </cell>
          <cell r="F676">
            <v>2699</v>
          </cell>
          <cell r="G676" t="str">
            <v>AR</v>
          </cell>
          <cell r="H676" t="str">
            <v>ARRARMWSH</v>
          </cell>
          <cell r="I676" t="str">
            <v>ARES1161002</v>
          </cell>
          <cell r="J676" t="str">
            <v>38</v>
          </cell>
          <cell r="K676" t="str">
            <v>SHIRT</v>
          </cell>
          <cell r="L676" t="str">
            <v>NOD</v>
          </cell>
        </row>
        <row r="677">
          <cell r="C677" t="str">
            <v>ARES1161</v>
          </cell>
          <cell r="D677" t="str">
            <v>CORE</v>
          </cell>
          <cell r="E677" t="str">
            <v>CO25</v>
          </cell>
          <cell r="F677">
            <v>2699</v>
          </cell>
          <cell r="G677" t="str">
            <v>AR</v>
          </cell>
          <cell r="H677" t="str">
            <v>ARRARMWSH</v>
          </cell>
          <cell r="I677" t="str">
            <v>ARES1161003</v>
          </cell>
          <cell r="J677" t="str">
            <v>39</v>
          </cell>
          <cell r="K677" t="str">
            <v>SHIRT</v>
          </cell>
          <cell r="L677" t="str">
            <v>NOD</v>
          </cell>
        </row>
        <row r="678">
          <cell r="C678" t="str">
            <v>ARES1161</v>
          </cell>
          <cell r="D678" t="str">
            <v>CORE</v>
          </cell>
          <cell r="E678" t="str">
            <v>CO25</v>
          </cell>
          <cell r="F678">
            <v>2699</v>
          </cell>
          <cell r="G678" t="str">
            <v>AR</v>
          </cell>
          <cell r="H678" t="str">
            <v>ARRARMWSH</v>
          </cell>
          <cell r="I678" t="str">
            <v>ARES1161004</v>
          </cell>
          <cell r="J678" t="str">
            <v>40</v>
          </cell>
          <cell r="K678" t="str">
            <v>SHIRT</v>
          </cell>
          <cell r="L678" t="str">
            <v>NOD</v>
          </cell>
        </row>
        <row r="679">
          <cell r="C679" t="str">
            <v>ARES1161</v>
          </cell>
          <cell r="D679" t="str">
            <v>CORE</v>
          </cell>
          <cell r="E679" t="str">
            <v>CO25</v>
          </cell>
          <cell r="F679">
            <v>2699</v>
          </cell>
          <cell r="G679" t="str">
            <v>AR</v>
          </cell>
          <cell r="H679" t="str">
            <v>ARRARMWSH</v>
          </cell>
          <cell r="I679" t="str">
            <v>ARES1161005</v>
          </cell>
          <cell r="J679" t="str">
            <v>42</v>
          </cell>
          <cell r="K679" t="str">
            <v>SHIRT</v>
          </cell>
          <cell r="L679" t="str">
            <v>NOD</v>
          </cell>
        </row>
        <row r="680">
          <cell r="C680" t="str">
            <v>ARES1161</v>
          </cell>
          <cell r="D680" t="str">
            <v>CORE</v>
          </cell>
          <cell r="E680" t="str">
            <v>CO25</v>
          </cell>
          <cell r="F680">
            <v>2699</v>
          </cell>
          <cell r="G680" t="str">
            <v>AR</v>
          </cell>
          <cell r="H680" t="str">
            <v>ARRARMWSH</v>
          </cell>
          <cell r="I680" t="str">
            <v>ARES1161006</v>
          </cell>
          <cell r="J680" t="str">
            <v>44</v>
          </cell>
          <cell r="K680" t="str">
            <v>SHIRT</v>
          </cell>
          <cell r="L680" t="str">
            <v>NOD</v>
          </cell>
        </row>
        <row r="681">
          <cell r="C681" t="str">
            <v>ARES1161</v>
          </cell>
          <cell r="D681" t="str">
            <v>CORE</v>
          </cell>
          <cell r="E681" t="str">
            <v>CO25</v>
          </cell>
          <cell r="F681">
            <v>3054</v>
          </cell>
          <cell r="G681" t="str">
            <v>AR</v>
          </cell>
          <cell r="H681" t="str">
            <v>ARRARMWSH</v>
          </cell>
          <cell r="I681" t="str">
            <v>ARES1161007</v>
          </cell>
          <cell r="J681" t="str">
            <v>46</v>
          </cell>
          <cell r="K681" t="str">
            <v>SHIRT</v>
          </cell>
          <cell r="L681" t="str">
            <v>NOD</v>
          </cell>
        </row>
        <row r="682">
          <cell r="C682" t="str">
            <v>ARES1161</v>
          </cell>
          <cell r="D682" t="str">
            <v>CORE</v>
          </cell>
          <cell r="E682" t="str">
            <v>CO25</v>
          </cell>
          <cell r="F682">
            <v>3054</v>
          </cell>
          <cell r="G682" t="str">
            <v>AR</v>
          </cell>
          <cell r="H682" t="str">
            <v>ARRARMWSH</v>
          </cell>
          <cell r="I682" t="str">
            <v>ARES1161008</v>
          </cell>
          <cell r="J682" t="str">
            <v>48</v>
          </cell>
          <cell r="K682" t="str">
            <v>SHIRT</v>
          </cell>
          <cell r="L682" t="str">
            <v>NOD</v>
          </cell>
        </row>
        <row r="683">
          <cell r="C683" t="str">
            <v>ARES1161</v>
          </cell>
          <cell r="D683" t="str">
            <v>CORE</v>
          </cell>
          <cell r="E683" t="str">
            <v>CO25</v>
          </cell>
          <cell r="F683">
            <v>3054</v>
          </cell>
          <cell r="G683" t="str">
            <v>AR</v>
          </cell>
          <cell r="H683" t="str">
            <v>ARRARMWSH</v>
          </cell>
          <cell r="I683" t="str">
            <v>ARES1161009</v>
          </cell>
          <cell r="J683" t="str">
            <v>50</v>
          </cell>
          <cell r="K683" t="str">
            <v>SHIRT</v>
          </cell>
          <cell r="L683" t="str">
            <v>NOD</v>
          </cell>
        </row>
        <row r="684">
          <cell r="C684" t="str">
            <v>ARES1161</v>
          </cell>
          <cell r="D684" t="str">
            <v>CORE</v>
          </cell>
          <cell r="E684" t="str">
            <v>CO25</v>
          </cell>
          <cell r="F684">
            <v>3054</v>
          </cell>
          <cell r="G684" t="str">
            <v>AR</v>
          </cell>
          <cell r="H684" t="str">
            <v>ARRARMWSH</v>
          </cell>
          <cell r="I684" t="str">
            <v>ARES1161010</v>
          </cell>
          <cell r="J684" t="str">
            <v>52</v>
          </cell>
          <cell r="K684" t="str">
            <v>SHIRT</v>
          </cell>
          <cell r="L684" t="str">
            <v>NOD</v>
          </cell>
        </row>
        <row r="685">
          <cell r="C685" t="str">
            <v>ARES1161G</v>
          </cell>
          <cell r="D685" t="str">
            <v>CORE</v>
          </cell>
          <cell r="E685" t="str">
            <v>CO26</v>
          </cell>
          <cell r="F685">
            <v>2599</v>
          </cell>
          <cell r="G685" t="str">
            <v>AR</v>
          </cell>
          <cell r="H685" t="str">
            <v>ARRARMWSH</v>
          </cell>
          <cell r="I685" t="str">
            <v>ARES1161G001</v>
          </cell>
          <cell r="J685" t="str">
            <v>36</v>
          </cell>
          <cell r="K685" t="str">
            <v>SHIRT</v>
          </cell>
          <cell r="L685" t="str">
            <v>NOD</v>
          </cell>
        </row>
        <row r="686">
          <cell r="C686" t="str">
            <v>ARES1161G</v>
          </cell>
          <cell r="D686" t="str">
            <v>CORE</v>
          </cell>
          <cell r="E686" t="str">
            <v>CO26</v>
          </cell>
          <cell r="F686">
            <v>2599</v>
          </cell>
          <cell r="G686" t="str">
            <v>AR</v>
          </cell>
          <cell r="H686" t="str">
            <v>ARRARMWSH</v>
          </cell>
          <cell r="I686" t="str">
            <v>ARES1161G002</v>
          </cell>
          <cell r="J686" t="str">
            <v>38</v>
          </cell>
          <cell r="K686" t="str">
            <v>SHIRT</v>
          </cell>
          <cell r="L686" t="str">
            <v>NOD</v>
          </cell>
        </row>
        <row r="687">
          <cell r="C687" t="str">
            <v>ARES1161G</v>
          </cell>
          <cell r="D687" t="str">
            <v>CORE</v>
          </cell>
          <cell r="E687" t="str">
            <v>CO26</v>
          </cell>
          <cell r="F687">
            <v>2599</v>
          </cell>
          <cell r="G687" t="str">
            <v>AR</v>
          </cell>
          <cell r="H687" t="str">
            <v>ARRARMWSH</v>
          </cell>
          <cell r="I687" t="str">
            <v>ARES1161G003</v>
          </cell>
          <cell r="J687" t="str">
            <v>39</v>
          </cell>
          <cell r="K687" t="str">
            <v>SHIRT</v>
          </cell>
          <cell r="L687" t="str">
            <v>NOD</v>
          </cell>
        </row>
        <row r="688">
          <cell r="C688" t="str">
            <v>ARES1161G</v>
          </cell>
          <cell r="D688" t="str">
            <v>CORE</v>
          </cell>
          <cell r="E688" t="str">
            <v>CO26</v>
          </cell>
          <cell r="F688">
            <v>2599</v>
          </cell>
          <cell r="G688" t="str">
            <v>AR</v>
          </cell>
          <cell r="H688" t="str">
            <v>ARRARMWSH</v>
          </cell>
          <cell r="I688" t="str">
            <v>ARES1161G004</v>
          </cell>
          <cell r="J688" t="str">
            <v>40</v>
          </cell>
          <cell r="K688" t="str">
            <v>SHIRT</v>
          </cell>
          <cell r="L688" t="str">
            <v>NOD</v>
          </cell>
        </row>
        <row r="689">
          <cell r="C689" t="str">
            <v>ARES1161G</v>
          </cell>
          <cell r="D689" t="str">
            <v>CORE</v>
          </cell>
          <cell r="E689" t="str">
            <v>CO26</v>
          </cell>
          <cell r="F689">
            <v>2599</v>
          </cell>
          <cell r="G689" t="str">
            <v>AR</v>
          </cell>
          <cell r="H689" t="str">
            <v>ARRARMWSH</v>
          </cell>
          <cell r="I689" t="str">
            <v>ARES1161G005</v>
          </cell>
          <cell r="J689" t="str">
            <v>42</v>
          </cell>
          <cell r="K689" t="str">
            <v>SHIRT</v>
          </cell>
          <cell r="L689" t="str">
            <v>NOD</v>
          </cell>
        </row>
        <row r="690">
          <cell r="C690" t="str">
            <v>ARES1161G</v>
          </cell>
          <cell r="D690" t="str">
            <v>CORE</v>
          </cell>
          <cell r="E690" t="str">
            <v>CO26</v>
          </cell>
          <cell r="F690">
            <v>2599</v>
          </cell>
          <cell r="G690" t="str">
            <v>AR</v>
          </cell>
          <cell r="H690" t="str">
            <v>ARRARMWSH</v>
          </cell>
          <cell r="I690" t="str">
            <v>ARES1161G006</v>
          </cell>
          <cell r="J690" t="str">
            <v>44</v>
          </cell>
          <cell r="K690" t="str">
            <v>SHIRT</v>
          </cell>
          <cell r="L690" t="str">
            <v>NOD</v>
          </cell>
        </row>
        <row r="691">
          <cell r="C691" t="str">
            <v>ARES1161G</v>
          </cell>
          <cell r="D691" t="str">
            <v>CORE</v>
          </cell>
          <cell r="E691" t="str">
            <v>CO26</v>
          </cell>
          <cell r="F691">
            <v>2599</v>
          </cell>
          <cell r="G691" t="str">
            <v>AR</v>
          </cell>
          <cell r="H691" t="str">
            <v>ARRARMWSH</v>
          </cell>
          <cell r="I691" t="str">
            <v>ARES1161G007</v>
          </cell>
          <cell r="J691" t="str">
            <v>46</v>
          </cell>
          <cell r="K691" t="str">
            <v>SHIRT</v>
          </cell>
          <cell r="L691" t="str">
            <v>NOD</v>
          </cell>
        </row>
        <row r="692">
          <cell r="C692" t="str">
            <v>ARES1161G</v>
          </cell>
          <cell r="D692" t="str">
            <v>CORE</v>
          </cell>
          <cell r="E692" t="str">
            <v>CO26</v>
          </cell>
          <cell r="F692">
            <v>2599</v>
          </cell>
          <cell r="G692" t="str">
            <v>AR</v>
          </cell>
          <cell r="H692" t="str">
            <v>ARRARMWSH</v>
          </cell>
          <cell r="I692" t="str">
            <v>ARES1161G008</v>
          </cell>
          <cell r="J692" t="str">
            <v>48</v>
          </cell>
          <cell r="K692" t="str">
            <v>SHIRT</v>
          </cell>
          <cell r="L692" t="str">
            <v>NOD</v>
          </cell>
        </row>
        <row r="693">
          <cell r="C693" t="str">
            <v>ARES1161G</v>
          </cell>
          <cell r="D693" t="str">
            <v>CORE</v>
          </cell>
          <cell r="E693" t="str">
            <v>CO26</v>
          </cell>
          <cell r="F693">
            <v>2599</v>
          </cell>
          <cell r="G693" t="str">
            <v>AR</v>
          </cell>
          <cell r="H693" t="str">
            <v>ARRARMWSH</v>
          </cell>
          <cell r="I693" t="str">
            <v>ARES1161G009</v>
          </cell>
          <cell r="J693" t="str">
            <v>50</v>
          </cell>
          <cell r="K693" t="str">
            <v>SHIRT</v>
          </cell>
          <cell r="L693" t="str">
            <v>NOD</v>
          </cell>
        </row>
        <row r="694">
          <cell r="C694" t="str">
            <v>ARES1161G</v>
          </cell>
          <cell r="D694" t="str">
            <v>CORE</v>
          </cell>
          <cell r="E694" t="str">
            <v>CO26</v>
          </cell>
          <cell r="F694">
            <v>2599</v>
          </cell>
          <cell r="G694" t="str">
            <v>AR</v>
          </cell>
          <cell r="H694" t="str">
            <v>ARRARMWSH</v>
          </cell>
          <cell r="I694" t="str">
            <v>ARES1161G010</v>
          </cell>
          <cell r="J694" t="str">
            <v>52</v>
          </cell>
          <cell r="K694" t="str">
            <v>SHIRT</v>
          </cell>
          <cell r="L694" t="str">
            <v>NOD</v>
          </cell>
        </row>
        <row r="695">
          <cell r="C695" t="str">
            <v>ARES1162</v>
          </cell>
          <cell r="D695" t="str">
            <v>CORE</v>
          </cell>
          <cell r="E695" t="str">
            <v>CO25</v>
          </cell>
          <cell r="F695">
            <v>2499</v>
          </cell>
          <cell r="G695" t="str">
            <v>AR</v>
          </cell>
          <cell r="H695" t="str">
            <v>ARRARMWSH</v>
          </cell>
          <cell r="I695" t="str">
            <v>ARES1162001</v>
          </cell>
          <cell r="J695" t="str">
            <v>36</v>
          </cell>
          <cell r="K695" t="str">
            <v>SHIRT</v>
          </cell>
          <cell r="L695" t="str">
            <v>NOD</v>
          </cell>
        </row>
        <row r="696">
          <cell r="C696" t="str">
            <v>ARES1162</v>
          </cell>
          <cell r="D696" t="str">
            <v>CORE</v>
          </cell>
          <cell r="E696" t="str">
            <v>CO25</v>
          </cell>
          <cell r="F696">
            <v>2499</v>
          </cell>
          <cell r="G696" t="str">
            <v>AR</v>
          </cell>
          <cell r="H696" t="str">
            <v>ARRARMWSH</v>
          </cell>
          <cell r="I696" t="str">
            <v>ARES1162002</v>
          </cell>
          <cell r="J696" t="str">
            <v>38</v>
          </cell>
          <cell r="K696" t="str">
            <v>SHIRT</v>
          </cell>
          <cell r="L696" t="str">
            <v>NOD</v>
          </cell>
        </row>
        <row r="697">
          <cell r="C697" t="str">
            <v>ARES1162</v>
          </cell>
          <cell r="D697" t="str">
            <v>CORE</v>
          </cell>
          <cell r="E697" t="str">
            <v>CO25</v>
          </cell>
          <cell r="F697">
            <v>2499</v>
          </cell>
          <cell r="G697" t="str">
            <v>AR</v>
          </cell>
          <cell r="H697" t="str">
            <v>ARRARMWSH</v>
          </cell>
          <cell r="I697" t="str">
            <v>ARES1162003</v>
          </cell>
          <cell r="J697" t="str">
            <v>39</v>
          </cell>
          <cell r="K697" t="str">
            <v>SHIRT</v>
          </cell>
          <cell r="L697" t="str">
            <v>NOD</v>
          </cell>
        </row>
        <row r="698">
          <cell r="C698" t="str">
            <v>ARES1162</v>
          </cell>
          <cell r="D698" t="str">
            <v>CORE</v>
          </cell>
          <cell r="E698" t="str">
            <v>CO25</v>
          </cell>
          <cell r="F698">
            <v>2499</v>
          </cell>
          <cell r="G698" t="str">
            <v>AR</v>
          </cell>
          <cell r="H698" t="str">
            <v>ARRARMWSH</v>
          </cell>
          <cell r="I698" t="str">
            <v>ARES1162004</v>
          </cell>
          <cell r="J698" t="str">
            <v>40</v>
          </cell>
          <cell r="K698" t="str">
            <v>SHIRT</v>
          </cell>
          <cell r="L698" t="str">
            <v>NOD</v>
          </cell>
        </row>
        <row r="699">
          <cell r="C699" t="str">
            <v>ARES1162</v>
          </cell>
          <cell r="D699" t="str">
            <v>CORE</v>
          </cell>
          <cell r="E699" t="str">
            <v>CO25</v>
          </cell>
          <cell r="F699">
            <v>2499</v>
          </cell>
          <cell r="G699" t="str">
            <v>AR</v>
          </cell>
          <cell r="H699" t="str">
            <v>ARRARMWSH</v>
          </cell>
          <cell r="I699" t="str">
            <v>ARES1162005</v>
          </cell>
          <cell r="J699" t="str">
            <v>42</v>
          </cell>
          <cell r="K699" t="str">
            <v>SHIRT</v>
          </cell>
          <cell r="L699" t="str">
            <v>NOD</v>
          </cell>
        </row>
        <row r="700">
          <cell r="C700" t="str">
            <v>ARES1162</v>
          </cell>
          <cell r="D700" t="str">
            <v>CORE</v>
          </cell>
          <cell r="E700" t="str">
            <v>CO25</v>
          </cell>
          <cell r="F700">
            <v>2499</v>
          </cell>
          <cell r="G700" t="str">
            <v>AR</v>
          </cell>
          <cell r="H700" t="str">
            <v>ARRARMWSH</v>
          </cell>
          <cell r="I700" t="str">
            <v>ARES1162006</v>
          </cell>
          <cell r="J700" t="str">
            <v>44</v>
          </cell>
          <cell r="K700" t="str">
            <v>SHIRT</v>
          </cell>
          <cell r="L700" t="str">
            <v>NOD</v>
          </cell>
        </row>
        <row r="701">
          <cell r="C701" t="str">
            <v>ARES1162</v>
          </cell>
          <cell r="D701" t="str">
            <v>CORE</v>
          </cell>
          <cell r="E701" t="str">
            <v>CO25</v>
          </cell>
          <cell r="F701">
            <v>2699</v>
          </cell>
          <cell r="G701" t="str">
            <v>AR</v>
          </cell>
          <cell r="H701" t="str">
            <v>ARRARMWSH</v>
          </cell>
          <cell r="I701" t="str">
            <v>ARES1162007</v>
          </cell>
          <cell r="J701" t="str">
            <v>46</v>
          </cell>
          <cell r="K701" t="str">
            <v>SHIRT</v>
          </cell>
          <cell r="L701" t="str">
            <v>NOD</v>
          </cell>
        </row>
        <row r="702">
          <cell r="C702" t="str">
            <v>ARES1162</v>
          </cell>
          <cell r="D702" t="str">
            <v>CORE</v>
          </cell>
          <cell r="E702" t="str">
            <v>CO25</v>
          </cell>
          <cell r="F702">
            <v>2699</v>
          </cell>
          <cell r="G702" t="str">
            <v>AR</v>
          </cell>
          <cell r="H702" t="str">
            <v>ARRARMWSH</v>
          </cell>
          <cell r="I702" t="str">
            <v>ARES1162008</v>
          </cell>
          <cell r="J702" t="str">
            <v>48</v>
          </cell>
          <cell r="K702" t="str">
            <v>SHIRT</v>
          </cell>
          <cell r="L702" t="str">
            <v>NOD</v>
          </cell>
        </row>
        <row r="703">
          <cell r="C703" t="str">
            <v>ARES1162</v>
          </cell>
          <cell r="D703" t="str">
            <v>CORE</v>
          </cell>
          <cell r="E703" t="str">
            <v>CO25</v>
          </cell>
          <cell r="F703">
            <v>2699</v>
          </cell>
          <cell r="G703" t="str">
            <v>AR</v>
          </cell>
          <cell r="H703" t="str">
            <v>ARRARMWSH</v>
          </cell>
          <cell r="I703" t="str">
            <v>ARES1162009</v>
          </cell>
          <cell r="J703" t="str">
            <v>50</v>
          </cell>
          <cell r="K703" t="str">
            <v>SHIRT</v>
          </cell>
          <cell r="L703" t="str">
            <v>NOD</v>
          </cell>
        </row>
        <row r="704">
          <cell r="C704" t="str">
            <v>ARES1162</v>
          </cell>
          <cell r="D704" t="str">
            <v>CORE</v>
          </cell>
          <cell r="E704" t="str">
            <v>CO25</v>
          </cell>
          <cell r="F704">
            <v>2699</v>
          </cell>
          <cell r="G704" t="str">
            <v>AR</v>
          </cell>
          <cell r="H704" t="str">
            <v>ARRARMWSH</v>
          </cell>
          <cell r="I704" t="str">
            <v>ARES1162010</v>
          </cell>
          <cell r="J704" t="str">
            <v>52</v>
          </cell>
          <cell r="K704" t="str">
            <v>SHIRT</v>
          </cell>
          <cell r="L704" t="str">
            <v>NOD</v>
          </cell>
        </row>
        <row r="705">
          <cell r="C705" t="str">
            <v>ARES1162G</v>
          </cell>
          <cell r="D705" t="str">
            <v>CORE</v>
          </cell>
          <cell r="E705" t="str">
            <v>CO26</v>
          </cell>
          <cell r="F705">
            <v>2599</v>
          </cell>
          <cell r="G705" t="str">
            <v>AR</v>
          </cell>
          <cell r="H705" t="str">
            <v>ARRARMWSH</v>
          </cell>
          <cell r="I705" t="str">
            <v>ARES1162G001</v>
          </cell>
          <cell r="J705" t="str">
            <v>36</v>
          </cell>
          <cell r="K705" t="str">
            <v>SHIRT</v>
          </cell>
          <cell r="L705" t="str">
            <v>NOD</v>
          </cell>
        </row>
        <row r="706">
          <cell r="C706" t="str">
            <v>ARES1162G</v>
          </cell>
          <cell r="D706" t="str">
            <v>CORE</v>
          </cell>
          <cell r="E706" t="str">
            <v>CO26</v>
          </cell>
          <cell r="F706">
            <v>2599</v>
          </cell>
          <cell r="G706" t="str">
            <v>AR</v>
          </cell>
          <cell r="H706" t="str">
            <v>ARRARMWSH</v>
          </cell>
          <cell r="I706" t="str">
            <v>ARES1162G002</v>
          </cell>
          <cell r="J706" t="str">
            <v>38</v>
          </cell>
          <cell r="K706" t="str">
            <v>SHIRT</v>
          </cell>
          <cell r="L706" t="str">
            <v>NOD</v>
          </cell>
        </row>
        <row r="707">
          <cell r="C707" t="str">
            <v>ARES1162G</v>
          </cell>
          <cell r="D707" t="str">
            <v>CORE</v>
          </cell>
          <cell r="E707" t="str">
            <v>CO26</v>
          </cell>
          <cell r="F707">
            <v>2599</v>
          </cell>
          <cell r="G707" t="str">
            <v>AR</v>
          </cell>
          <cell r="H707" t="str">
            <v>ARRARMWSH</v>
          </cell>
          <cell r="I707" t="str">
            <v>ARES1162G003</v>
          </cell>
          <cell r="J707" t="str">
            <v>39</v>
          </cell>
          <cell r="K707" t="str">
            <v>SHIRT</v>
          </cell>
          <cell r="L707" t="str">
            <v>NOD</v>
          </cell>
        </row>
        <row r="708">
          <cell r="C708" t="str">
            <v>ARES1162G</v>
          </cell>
          <cell r="D708" t="str">
            <v>CORE</v>
          </cell>
          <cell r="E708" t="str">
            <v>CO26</v>
          </cell>
          <cell r="F708">
            <v>2599</v>
          </cell>
          <cell r="G708" t="str">
            <v>AR</v>
          </cell>
          <cell r="H708" t="str">
            <v>ARRARMWSH</v>
          </cell>
          <cell r="I708" t="str">
            <v>ARES1162G004</v>
          </cell>
          <cell r="J708" t="str">
            <v>40</v>
          </cell>
          <cell r="K708" t="str">
            <v>SHIRT</v>
          </cell>
          <cell r="L708" t="str">
            <v>NOD</v>
          </cell>
        </row>
        <row r="709">
          <cell r="C709" t="str">
            <v>ARES1162G</v>
          </cell>
          <cell r="D709" t="str">
            <v>CORE</v>
          </cell>
          <cell r="E709" t="str">
            <v>CO26</v>
          </cell>
          <cell r="F709">
            <v>2599</v>
          </cell>
          <cell r="G709" t="str">
            <v>AR</v>
          </cell>
          <cell r="H709" t="str">
            <v>ARRARMWSH</v>
          </cell>
          <cell r="I709" t="str">
            <v>ARES1162G005</v>
          </cell>
          <cell r="J709" t="str">
            <v>42</v>
          </cell>
          <cell r="K709" t="str">
            <v>SHIRT</v>
          </cell>
          <cell r="L709" t="str">
            <v>NOD</v>
          </cell>
        </row>
        <row r="710">
          <cell r="C710" t="str">
            <v>ARES1162G</v>
          </cell>
          <cell r="D710" t="str">
            <v>CORE</v>
          </cell>
          <cell r="E710" t="str">
            <v>CO26</v>
          </cell>
          <cell r="F710">
            <v>2599</v>
          </cell>
          <cell r="G710" t="str">
            <v>AR</v>
          </cell>
          <cell r="H710" t="str">
            <v>ARRARMWSH</v>
          </cell>
          <cell r="I710" t="str">
            <v>ARES1162G006</v>
          </cell>
          <cell r="J710" t="str">
            <v>44</v>
          </cell>
          <cell r="K710" t="str">
            <v>SHIRT</v>
          </cell>
          <cell r="L710" t="str">
            <v>NOD</v>
          </cell>
        </row>
        <row r="711">
          <cell r="C711" t="str">
            <v>ARES1162G</v>
          </cell>
          <cell r="D711" t="str">
            <v>CORE</v>
          </cell>
          <cell r="E711" t="str">
            <v>CO26</v>
          </cell>
          <cell r="F711">
            <v>2599</v>
          </cell>
          <cell r="G711" t="str">
            <v>AR</v>
          </cell>
          <cell r="H711" t="str">
            <v>ARRARMWSH</v>
          </cell>
          <cell r="I711" t="str">
            <v>ARES1162G007</v>
          </cell>
          <cell r="J711" t="str">
            <v>46</v>
          </cell>
          <cell r="K711" t="str">
            <v>SHIRT</v>
          </cell>
          <cell r="L711" t="str">
            <v>NOD</v>
          </cell>
        </row>
        <row r="712">
          <cell r="C712" t="str">
            <v>ARES1162G</v>
          </cell>
          <cell r="D712" t="str">
            <v>CORE</v>
          </cell>
          <cell r="E712" t="str">
            <v>CO26</v>
          </cell>
          <cell r="F712">
            <v>2599</v>
          </cell>
          <cell r="G712" t="str">
            <v>AR</v>
          </cell>
          <cell r="H712" t="str">
            <v>ARRARMWSH</v>
          </cell>
          <cell r="I712" t="str">
            <v>ARES1162G008</v>
          </cell>
          <cell r="J712" t="str">
            <v>48</v>
          </cell>
          <cell r="K712" t="str">
            <v>SHIRT</v>
          </cell>
          <cell r="L712" t="str">
            <v>NOD</v>
          </cell>
        </row>
        <row r="713">
          <cell r="C713" t="str">
            <v>ARES1162G</v>
          </cell>
          <cell r="D713" t="str">
            <v>CORE</v>
          </cell>
          <cell r="E713" t="str">
            <v>CO26</v>
          </cell>
          <cell r="F713">
            <v>2599</v>
          </cell>
          <cell r="G713" t="str">
            <v>AR</v>
          </cell>
          <cell r="H713" t="str">
            <v>ARRARMWSH</v>
          </cell>
          <cell r="I713" t="str">
            <v>ARES1162G009</v>
          </cell>
          <cell r="J713" t="str">
            <v>50</v>
          </cell>
          <cell r="K713" t="str">
            <v>SHIRT</v>
          </cell>
          <cell r="L713" t="str">
            <v>NOD</v>
          </cell>
        </row>
        <row r="714">
          <cell r="C714" t="str">
            <v>ARES1162G</v>
          </cell>
          <cell r="D714" t="str">
            <v>CORE</v>
          </cell>
          <cell r="E714" t="str">
            <v>CO26</v>
          </cell>
          <cell r="F714">
            <v>2599</v>
          </cell>
          <cell r="G714" t="str">
            <v>AR</v>
          </cell>
          <cell r="H714" t="str">
            <v>ARRARMWSH</v>
          </cell>
          <cell r="I714" t="str">
            <v>ARES1162G010</v>
          </cell>
          <cell r="J714" t="str">
            <v>52</v>
          </cell>
          <cell r="K714" t="str">
            <v>SHIRT</v>
          </cell>
          <cell r="L714" t="str">
            <v>NOD</v>
          </cell>
        </row>
        <row r="715">
          <cell r="C715" t="str">
            <v>ARES1163</v>
          </cell>
          <cell r="D715" t="str">
            <v>CORE</v>
          </cell>
          <cell r="E715" t="str">
            <v>CO25</v>
          </cell>
          <cell r="F715">
            <v>2499</v>
          </cell>
          <cell r="G715" t="str">
            <v>AR</v>
          </cell>
          <cell r="H715" t="str">
            <v>ARRARMWSH</v>
          </cell>
          <cell r="I715" t="str">
            <v>ARES1163001</v>
          </cell>
          <cell r="J715" t="str">
            <v>36</v>
          </cell>
          <cell r="K715" t="str">
            <v>SHIRT</v>
          </cell>
          <cell r="L715" t="str">
            <v>NOD</v>
          </cell>
        </row>
        <row r="716">
          <cell r="C716" t="str">
            <v>ARES1163</v>
          </cell>
          <cell r="D716" t="str">
            <v>CORE</v>
          </cell>
          <cell r="E716" t="str">
            <v>CO25</v>
          </cell>
          <cell r="F716">
            <v>2499</v>
          </cell>
          <cell r="G716" t="str">
            <v>AR</v>
          </cell>
          <cell r="H716" t="str">
            <v>ARRARMWSH</v>
          </cell>
          <cell r="I716" t="str">
            <v>ARES1163002</v>
          </cell>
          <cell r="J716" t="str">
            <v>38</v>
          </cell>
          <cell r="K716" t="str">
            <v>SHIRT</v>
          </cell>
          <cell r="L716" t="str">
            <v>NOD</v>
          </cell>
        </row>
        <row r="717">
          <cell r="C717" t="str">
            <v>ARES1163</v>
          </cell>
          <cell r="D717" t="str">
            <v>CORE</v>
          </cell>
          <cell r="E717" t="str">
            <v>CO25</v>
          </cell>
          <cell r="F717">
            <v>2499</v>
          </cell>
          <cell r="G717" t="str">
            <v>AR</v>
          </cell>
          <cell r="H717" t="str">
            <v>ARRARMWSH</v>
          </cell>
          <cell r="I717" t="str">
            <v>ARES1163003</v>
          </cell>
          <cell r="J717" t="str">
            <v>39</v>
          </cell>
          <cell r="K717" t="str">
            <v>SHIRT</v>
          </cell>
          <cell r="L717" t="str">
            <v>NOD</v>
          </cell>
        </row>
        <row r="718">
          <cell r="C718" t="str">
            <v>ARES1163</v>
          </cell>
          <cell r="D718" t="str">
            <v>CORE</v>
          </cell>
          <cell r="E718" t="str">
            <v>CO25</v>
          </cell>
          <cell r="F718">
            <v>2499</v>
          </cell>
          <cell r="G718" t="str">
            <v>AR</v>
          </cell>
          <cell r="H718" t="str">
            <v>ARRARMWSH</v>
          </cell>
          <cell r="I718" t="str">
            <v>ARES1163004</v>
          </cell>
          <cell r="J718" t="str">
            <v>40</v>
          </cell>
          <cell r="K718" t="str">
            <v>SHIRT</v>
          </cell>
          <cell r="L718" t="str">
            <v>NOD</v>
          </cell>
        </row>
        <row r="719">
          <cell r="C719" t="str">
            <v>ARES1163</v>
          </cell>
          <cell r="D719" t="str">
            <v>CORE</v>
          </cell>
          <cell r="E719" t="str">
            <v>CO25</v>
          </cell>
          <cell r="F719">
            <v>2499</v>
          </cell>
          <cell r="G719" t="str">
            <v>AR</v>
          </cell>
          <cell r="H719" t="str">
            <v>ARRARMWSH</v>
          </cell>
          <cell r="I719" t="str">
            <v>ARES1163005</v>
          </cell>
          <cell r="J719" t="str">
            <v>42</v>
          </cell>
          <cell r="K719" t="str">
            <v>SHIRT</v>
          </cell>
          <cell r="L719" t="str">
            <v>NOD</v>
          </cell>
        </row>
        <row r="720">
          <cell r="C720" t="str">
            <v>ARES1163</v>
          </cell>
          <cell r="D720" t="str">
            <v>CORE</v>
          </cell>
          <cell r="E720" t="str">
            <v>CO25</v>
          </cell>
          <cell r="F720">
            <v>2499</v>
          </cell>
          <cell r="G720" t="str">
            <v>AR</v>
          </cell>
          <cell r="H720" t="str">
            <v>ARRARMWSH</v>
          </cell>
          <cell r="I720" t="str">
            <v>ARES1163006</v>
          </cell>
          <cell r="J720" t="str">
            <v>44</v>
          </cell>
          <cell r="K720" t="str">
            <v>SHIRT</v>
          </cell>
          <cell r="L720" t="str">
            <v>NOD</v>
          </cell>
        </row>
        <row r="721">
          <cell r="C721" t="str">
            <v>ARES1163</v>
          </cell>
          <cell r="D721" t="str">
            <v>CORE</v>
          </cell>
          <cell r="E721" t="str">
            <v>CO25</v>
          </cell>
          <cell r="F721">
            <v>2699</v>
          </cell>
          <cell r="G721" t="str">
            <v>AR</v>
          </cell>
          <cell r="H721" t="str">
            <v>ARRARMWSH</v>
          </cell>
          <cell r="I721" t="str">
            <v>ARES1163007</v>
          </cell>
          <cell r="J721" t="str">
            <v>46</v>
          </cell>
          <cell r="K721" t="str">
            <v>SHIRT</v>
          </cell>
          <cell r="L721" t="str">
            <v>NOD</v>
          </cell>
        </row>
        <row r="722">
          <cell r="C722" t="str">
            <v>ARES1163</v>
          </cell>
          <cell r="D722" t="str">
            <v>CORE</v>
          </cell>
          <cell r="E722" t="str">
            <v>CO25</v>
          </cell>
          <cell r="F722">
            <v>2699</v>
          </cell>
          <cell r="G722" t="str">
            <v>AR</v>
          </cell>
          <cell r="H722" t="str">
            <v>ARRARMWSH</v>
          </cell>
          <cell r="I722" t="str">
            <v>ARES1163008</v>
          </cell>
          <cell r="J722" t="str">
            <v>48</v>
          </cell>
          <cell r="K722" t="str">
            <v>SHIRT</v>
          </cell>
          <cell r="L722" t="str">
            <v>NOD</v>
          </cell>
        </row>
        <row r="723">
          <cell r="C723" t="str">
            <v>ARES1163</v>
          </cell>
          <cell r="D723" t="str">
            <v>CORE</v>
          </cell>
          <cell r="E723" t="str">
            <v>CO25</v>
          </cell>
          <cell r="F723">
            <v>2699</v>
          </cell>
          <cell r="G723" t="str">
            <v>AR</v>
          </cell>
          <cell r="H723" t="str">
            <v>ARRARMWSH</v>
          </cell>
          <cell r="I723" t="str">
            <v>ARES1163009</v>
          </cell>
          <cell r="J723" t="str">
            <v>50</v>
          </cell>
          <cell r="K723" t="str">
            <v>SHIRT</v>
          </cell>
          <cell r="L723" t="str">
            <v>NOD</v>
          </cell>
        </row>
        <row r="724">
          <cell r="C724" t="str">
            <v>ARES1163</v>
          </cell>
          <cell r="D724" t="str">
            <v>CORE</v>
          </cell>
          <cell r="E724" t="str">
            <v>CO25</v>
          </cell>
          <cell r="F724">
            <v>2699</v>
          </cell>
          <cell r="G724" t="str">
            <v>AR</v>
          </cell>
          <cell r="H724" t="str">
            <v>ARRARMWSH</v>
          </cell>
          <cell r="I724" t="str">
            <v>ARES1163010</v>
          </cell>
          <cell r="J724" t="str">
            <v>52</v>
          </cell>
          <cell r="K724" t="str">
            <v>SHIRT</v>
          </cell>
          <cell r="L724" t="str">
            <v>NOD</v>
          </cell>
        </row>
        <row r="725">
          <cell r="C725" t="str">
            <v>ARES1163G</v>
          </cell>
          <cell r="D725" t="str">
            <v>CORE</v>
          </cell>
          <cell r="E725" t="str">
            <v>CO26</v>
          </cell>
          <cell r="F725">
            <v>2599</v>
          </cell>
          <cell r="G725" t="str">
            <v>AR</v>
          </cell>
          <cell r="H725" t="str">
            <v>ARRARMWSH</v>
          </cell>
          <cell r="I725" t="str">
            <v>ARES1163G001</v>
          </cell>
          <cell r="J725" t="str">
            <v>36</v>
          </cell>
          <cell r="K725" t="str">
            <v>SHIRT</v>
          </cell>
          <cell r="L725" t="str">
            <v>NOD</v>
          </cell>
        </row>
        <row r="726">
          <cell r="C726" t="str">
            <v>ARES1163G</v>
          </cell>
          <cell r="D726" t="str">
            <v>CORE</v>
          </cell>
          <cell r="E726" t="str">
            <v>CO26</v>
          </cell>
          <cell r="F726">
            <v>2599</v>
          </cell>
          <cell r="G726" t="str">
            <v>AR</v>
          </cell>
          <cell r="H726" t="str">
            <v>ARRARMWSH</v>
          </cell>
          <cell r="I726" t="str">
            <v>ARES1163G002</v>
          </cell>
          <cell r="J726" t="str">
            <v>38</v>
          </cell>
          <cell r="K726" t="str">
            <v>SHIRT</v>
          </cell>
          <cell r="L726" t="str">
            <v>NOD</v>
          </cell>
        </row>
        <row r="727">
          <cell r="C727" t="str">
            <v>ARES1163G</v>
          </cell>
          <cell r="D727" t="str">
            <v>CORE</v>
          </cell>
          <cell r="E727" t="str">
            <v>CO26</v>
          </cell>
          <cell r="F727">
            <v>2599</v>
          </cell>
          <cell r="G727" t="str">
            <v>AR</v>
          </cell>
          <cell r="H727" t="str">
            <v>ARRARMWSH</v>
          </cell>
          <cell r="I727" t="str">
            <v>ARES1163G003</v>
          </cell>
          <cell r="J727" t="str">
            <v>39</v>
          </cell>
          <cell r="K727" t="str">
            <v>SHIRT</v>
          </cell>
          <cell r="L727" t="str">
            <v>NOD</v>
          </cell>
        </row>
        <row r="728">
          <cell r="C728" t="str">
            <v>ARES1163G</v>
          </cell>
          <cell r="D728" t="str">
            <v>CORE</v>
          </cell>
          <cell r="E728" t="str">
            <v>CO26</v>
          </cell>
          <cell r="F728">
            <v>2599</v>
          </cell>
          <cell r="G728" t="str">
            <v>AR</v>
          </cell>
          <cell r="H728" t="str">
            <v>ARRARMWSH</v>
          </cell>
          <cell r="I728" t="str">
            <v>ARES1163G004</v>
          </cell>
          <cell r="J728" t="str">
            <v>40</v>
          </cell>
          <cell r="K728" t="str">
            <v>SHIRT</v>
          </cell>
          <cell r="L728" t="str">
            <v>NOD</v>
          </cell>
        </row>
        <row r="729">
          <cell r="C729" t="str">
            <v>ARES1163G</v>
          </cell>
          <cell r="D729" t="str">
            <v>CORE</v>
          </cell>
          <cell r="E729" t="str">
            <v>CO26</v>
          </cell>
          <cell r="F729">
            <v>2599</v>
          </cell>
          <cell r="G729" t="str">
            <v>AR</v>
          </cell>
          <cell r="H729" t="str">
            <v>ARRARMWSH</v>
          </cell>
          <cell r="I729" t="str">
            <v>ARES1163G005</v>
          </cell>
          <cell r="J729" t="str">
            <v>42</v>
          </cell>
          <cell r="K729" t="str">
            <v>SHIRT</v>
          </cell>
          <cell r="L729" t="str">
            <v>NOD</v>
          </cell>
        </row>
        <row r="730">
          <cell r="C730" t="str">
            <v>ARES1163G</v>
          </cell>
          <cell r="D730" t="str">
            <v>CORE</v>
          </cell>
          <cell r="E730" t="str">
            <v>CO26</v>
          </cell>
          <cell r="F730">
            <v>2599</v>
          </cell>
          <cell r="G730" t="str">
            <v>AR</v>
          </cell>
          <cell r="H730" t="str">
            <v>ARRARMWSH</v>
          </cell>
          <cell r="I730" t="str">
            <v>ARES1163G006</v>
          </cell>
          <cell r="J730" t="str">
            <v>44</v>
          </cell>
          <cell r="K730" t="str">
            <v>SHIRT</v>
          </cell>
          <cell r="L730" t="str">
            <v>NOD</v>
          </cell>
        </row>
        <row r="731">
          <cell r="C731" t="str">
            <v>ARES1163G</v>
          </cell>
          <cell r="D731" t="str">
            <v>CORE</v>
          </cell>
          <cell r="E731" t="str">
            <v>CO26</v>
          </cell>
          <cell r="F731">
            <v>2599</v>
          </cell>
          <cell r="G731" t="str">
            <v>AR</v>
          </cell>
          <cell r="H731" t="str">
            <v>ARRARMWSH</v>
          </cell>
          <cell r="I731" t="str">
            <v>ARES1163G007</v>
          </cell>
          <cell r="J731" t="str">
            <v>46</v>
          </cell>
          <cell r="K731" t="str">
            <v>SHIRT</v>
          </cell>
          <cell r="L731" t="str">
            <v>NOD</v>
          </cell>
        </row>
        <row r="732">
          <cell r="C732" t="str">
            <v>ARES1163G</v>
          </cell>
          <cell r="D732" t="str">
            <v>CORE</v>
          </cell>
          <cell r="E732" t="str">
            <v>CO26</v>
          </cell>
          <cell r="F732">
            <v>2599</v>
          </cell>
          <cell r="G732" t="str">
            <v>AR</v>
          </cell>
          <cell r="H732" t="str">
            <v>ARRARMWSH</v>
          </cell>
          <cell r="I732" t="str">
            <v>ARES1163G008</v>
          </cell>
          <cell r="J732" t="str">
            <v>48</v>
          </cell>
          <cell r="K732" t="str">
            <v>SHIRT</v>
          </cell>
          <cell r="L732" t="str">
            <v>NOD</v>
          </cell>
        </row>
        <row r="733">
          <cell r="C733" t="str">
            <v>ARES1163G</v>
          </cell>
          <cell r="D733" t="str">
            <v>CORE</v>
          </cell>
          <cell r="E733" t="str">
            <v>CO26</v>
          </cell>
          <cell r="F733">
            <v>2599</v>
          </cell>
          <cell r="G733" t="str">
            <v>AR</v>
          </cell>
          <cell r="H733" t="str">
            <v>ARRARMWSH</v>
          </cell>
          <cell r="I733" t="str">
            <v>ARES1163G009</v>
          </cell>
          <cell r="J733" t="str">
            <v>50</v>
          </cell>
          <cell r="K733" t="str">
            <v>SHIRT</v>
          </cell>
          <cell r="L733" t="str">
            <v>NOD</v>
          </cell>
        </row>
        <row r="734">
          <cell r="C734" t="str">
            <v>ARES1163G</v>
          </cell>
          <cell r="D734" t="str">
            <v>CORE</v>
          </cell>
          <cell r="E734" t="str">
            <v>CO26</v>
          </cell>
          <cell r="F734">
            <v>2599</v>
          </cell>
          <cell r="G734" t="str">
            <v>AR</v>
          </cell>
          <cell r="H734" t="str">
            <v>ARRARMWSH</v>
          </cell>
          <cell r="I734" t="str">
            <v>ARES1163G010</v>
          </cell>
          <cell r="J734" t="str">
            <v>52</v>
          </cell>
          <cell r="K734" t="str">
            <v>SHIRT</v>
          </cell>
          <cell r="L734" t="str">
            <v>NOD</v>
          </cell>
        </row>
        <row r="735">
          <cell r="C735" t="str">
            <v>ARES1164</v>
          </cell>
          <cell r="D735" t="str">
            <v>CORE</v>
          </cell>
          <cell r="E735" t="str">
            <v>CO25</v>
          </cell>
          <cell r="F735">
            <v>2499</v>
          </cell>
          <cell r="G735" t="str">
            <v>AR</v>
          </cell>
          <cell r="H735" t="str">
            <v>ARRARMWSH</v>
          </cell>
          <cell r="I735" t="str">
            <v>ARES1164001</v>
          </cell>
          <cell r="J735" t="str">
            <v>36</v>
          </cell>
          <cell r="K735" t="str">
            <v>SHIRT</v>
          </cell>
          <cell r="L735" t="str">
            <v>NOD</v>
          </cell>
        </row>
        <row r="736">
          <cell r="C736" t="str">
            <v>ARES1164</v>
          </cell>
          <cell r="D736" t="str">
            <v>CORE</v>
          </cell>
          <cell r="E736" t="str">
            <v>CO25</v>
          </cell>
          <cell r="F736">
            <v>2499</v>
          </cell>
          <cell r="G736" t="str">
            <v>AR</v>
          </cell>
          <cell r="H736" t="str">
            <v>ARRARMWSH</v>
          </cell>
          <cell r="I736" t="str">
            <v>ARES1164002</v>
          </cell>
          <cell r="J736" t="str">
            <v>38</v>
          </cell>
          <cell r="K736" t="str">
            <v>SHIRT</v>
          </cell>
          <cell r="L736" t="str">
            <v>NOD</v>
          </cell>
        </row>
        <row r="737">
          <cell r="C737" t="str">
            <v>ARES1164</v>
          </cell>
          <cell r="D737" t="str">
            <v>CORE</v>
          </cell>
          <cell r="E737" t="str">
            <v>CO25</v>
          </cell>
          <cell r="F737">
            <v>2499</v>
          </cell>
          <cell r="G737" t="str">
            <v>AR</v>
          </cell>
          <cell r="H737" t="str">
            <v>ARRARMWSH</v>
          </cell>
          <cell r="I737" t="str">
            <v>ARES1164003</v>
          </cell>
          <cell r="J737" t="str">
            <v>39</v>
          </cell>
          <cell r="K737" t="str">
            <v>SHIRT</v>
          </cell>
          <cell r="L737" t="str">
            <v>NOD</v>
          </cell>
        </row>
        <row r="738">
          <cell r="C738" t="str">
            <v>ARES1164</v>
          </cell>
          <cell r="D738" t="str">
            <v>CORE</v>
          </cell>
          <cell r="E738" t="str">
            <v>CO25</v>
          </cell>
          <cell r="F738">
            <v>2499</v>
          </cell>
          <cell r="G738" t="str">
            <v>AR</v>
          </cell>
          <cell r="H738" t="str">
            <v>ARRARMWSH</v>
          </cell>
          <cell r="I738" t="str">
            <v>ARES1164004</v>
          </cell>
          <cell r="J738" t="str">
            <v>40</v>
          </cell>
          <cell r="K738" t="str">
            <v>SHIRT</v>
          </cell>
          <cell r="L738" t="str">
            <v>NOD</v>
          </cell>
        </row>
        <row r="739">
          <cell r="C739" t="str">
            <v>ARES1164</v>
          </cell>
          <cell r="D739" t="str">
            <v>CORE</v>
          </cell>
          <cell r="E739" t="str">
            <v>CO25</v>
          </cell>
          <cell r="F739">
            <v>2499</v>
          </cell>
          <cell r="G739" t="str">
            <v>AR</v>
          </cell>
          <cell r="H739" t="str">
            <v>ARRARMWSH</v>
          </cell>
          <cell r="I739" t="str">
            <v>ARES1164005</v>
          </cell>
          <cell r="J739" t="str">
            <v>42</v>
          </cell>
          <cell r="K739" t="str">
            <v>SHIRT</v>
          </cell>
          <cell r="L739" t="str">
            <v>NOD</v>
          </cell>
        </row>
        <row r="740">
          <cell r="C740" t="str">
            <v>ARES1164</v>
          </cell>
          <cell r="D740" t="str">
            <v>CORE</v>
          </cell>
          <cell r="E740" t="str">
            <v>CO25</v>
          </cell>
          <cell r="F740">
            <v>2499</v>
          </cell>
          <cell r="G740" t="str">
            <v>AR</v>
          </cell>
          <cell r="H740" t="str">
            <v>ARRARMWSH</v>
          </cell>
          <cell r="I740" t="str">
            <v>ARES1164006</v>
          </cell>
          <cell r="J740" t="str">
            <v>44</v>
          </cell>
          <cell r="K740" t="str">
            <v>SHIRT</v>
          </cell>
          <cell r="L740" t="str">
            <v>NOD</v>
          </cell>
        </row>
        <row r="741">
          <cell r="C741" t="str">
            <v>ARES1164</v>
          </cell>
          <cell r="D741" t="str">
            <v>CORE</v>
          </cell>
          <cell r="E741" t="str">
            <v>CO25</v>
          </cell>
          <cell r="F741">
            <v>2699</v>
          </cell>
          <cell r="G741" t="str">
            <v>AR</v>
          </cell>
          <cell r="H741" t="str">
            <v>ARRARMWSH</v>
          </cell>
          <cell r="I741" t="str">
            <v>ARES1164007</v>
          </cell>
          <cell r="J741" t="str">
            <v>46</v>
          </cell>
          <cell r="K741" t="str">
            <v>SHIRT</v>
          </cell>
          <cell r="L741" t="str">
            <v>NOD</v>
          </cell>
        </row>
        <row r="742">
          <cell r="C742" t="str">
            <v>ARES1164</v>
          </cell>
          <cell r="D742" t="str">
            <v>CORE</v>
          </cell>
          <cell r="E742" t="str">
            <v>CO25</v>
          </cell>
          <cell r="F742">
            <v>2699</v>
          </cell>
          <cell r="G742" t="str">
            <v>AR</v>
          </cell>
          <cell r="H742" t="str">
            <v>ARRARMWSH</v>
          </cell>
          <cell r="I742" t="str">
            <v>ARES1164008</v>
          </cell>
          <cell r="J742" t="str">
            <v>48</v>
          </cell>
          <cell r="K742" t="str">
            <v>SHIRT</v>
          </cell>
          <cell r="L742" t="str">
            <v>NOD</v>
          </cell>
        </row>
        <row r="743">
          <cell r="C743" t="str">
            <v>ARES1164</v>
          </cell>
          <cell r="D743" t="str">
            <v>CORE</v>
          </cell>
          <cell r="E743" t="str">
            <v>CO25</v>
          </cell>
          <cell r="F743">
            <v>2699</v>
          </cell>
          <cell r="G743" t="str">
            <v>AR</v>
          </cell>
          <cell r="H743" t="str">
            <v>ARRARMWSH</v>
          </cell>
          <cell r="I743" t="str">
            <v>ARES1164009</v>
          </cell>
          <cell r="J743" t="str">
            <v>50</v>
          </cell>
          <cell r="K743" t="str">
            <v>SHIRT</v>
          </cell>
          <cell r="L743" t="str">
            <v>NOD</v>
          </cell>
        </row>
        <row r="744">
          <cell r="C744" t="str">
            <v>ARES1164</v>
          </cell>
          <cell r="D744" t="str">
            <v>CORE</v>
          </cell>
          <cell r="E744" t="str">
            <v>CO25</v>
          </cell>
          <cell r="F744">
            <v>2699</v>
          </cell>
          <cell r="G744" t="str">
            <v>AR</v>
          </cell>
          <cell r="H744" t="str">
            <v>ARRARMWSH</v>
          </cell>
          <cell r="I744" t="str">
            <v>ARES1164010</v>
          </cell>
          <cell r="J744" t="str">
            <v>52</v>
          </cell>
          <cell r="K744" t="str">
            <v>SHIRT</v>
          </cell>
          <cell r="L744" t="str">
            <v>NOD</v>
          </cell>
        </row>
        <row r="745">
          <cell r="C745" t="str">
            <v>ARES1164G</v>
          </cell>
          <cell r="D745" t="str">
            <v>CORE</v>
          </cell>
          <cell r="E745" t="str">
            <v>CO26</v>
          </cell>
          <cell r="F745">
            <v>2599</v>
          </cell>
          <cell r="G745" t="str">
            <v>AR</v>
          </cell>
          <cell r="H745" t="str">
            <v>ARRARMWSH</v>
          </cell>
          <cell r="I745" t="str">
            <v>ARES1164G001</v>
          </cell>
          <cell r="J745" t="str">
            <v>36</v>
          </cell>
          <cell r="K745" t="str">
            <v>SHIRT</v>
          </cell>
          <cell r="L745" t="str">
            <v>NOD</v>
          </cell>
        </row>
        <row r="746">
          <cell r="C746" t="str">
            <v>ARES1164G</v>
          </cell>
          <cell r="D746" t="str">
            <v>CORE</v>
          </cell>
          <cell r="E746" t="str">
            <v>CO26</v>
          </cell>
          <cell r="F746">
            <v>2599</v>
          </cell>
          <cell r="G746" t="str">
            <v>AR</v>
          </cell>
          <cell r="H746" t="str">
            <v>ARRARMWSH</v>
          </cell>
          <cell r="I746" t="str">
            <v>ARES1164G002</v>
          </cell>
          <cell r="J746" t="str">
            <v>38</v>
          </cell>
          <cell r="K746" t="str">
            <v>SHIRT</v>
          </cell>
          <cell r="L746" t="str">
            <v>NOD</v>
          </cell>
        </row>
        <row r="747">
          <cell r="C747" t="str">
            <v>ARES1164G</v>
          </cell>
          <cell r="D747" t="str">
            <v>CORE</v>
          </cell>
          <cell r="E747" t="str">
            <v>CO26</v>
          </cell>
          <cell r="F747">
            <v>2599</v>
          </cell>
          <cell r="G747" t="str">
            <v>AR</v>
          </cell>
          <cell r="H747" t="str">
            <v>ARRARMWSH</v>
          </cell>
          <cell r="I747" t="str">
            <v>ARES1164G003</v>
          </cell>
          <cell r="J747" t="str">
            <v>39</v>
          </cell>
          <cell r="K747" t="str">
            <v>SHIRT</v>
          </cell>
          <cell r="L747" t="str">
            <v>NOD</v>
          </cell>
        </row>
        <row r="748">
          <cell r="C748" t="str">
            <v>ARES1164G</v>
          </cell>
          <cell r="D748" t="str">
            <v>CORE</v>
          </cell>
          <cell r="E748" t="str">
            <v>CO26</v>
          </cell>
          <cell r="F748">
            <v>2599</v>
          </cell>
          <cell r="G748" t="str">
            <v>AR</v>
          </cell>
          <cell r="H748" t="str">
            <v>ARRARMWSH</v>
          </cell>
          <cell r="I748" t="str">
            <v>ARES1164G004</v>
          </cell>
          <cell r="J748" t="str">
            <v>40</v>
          </cell>
          <cell r="K748" t="str">
            <v>SHIRT</v>
          </cell>
          <cell r="L748" t="str">
            <v>NOD</v>
          </cell>
        </row>
        <row r="749">
          <cell r="C749" t="str">
            <v>ARES1164G</v>
          </cell>
          <cell r="D749" t="str">
            <v>CORE</v>
          </cell>
          <cell r="E749" t="str">
            <v>CO26</v>
          </cell>
          <cell r="F749">
            <v>2599</v>
          </cell>
          <cell r="G749" t="str">
            <v>AR</v>
          </cell>
          <cell r="H749" t="str">
            <v>ARRARMWSH</v>
          </cell>
          <cell r="I749" t="str">
            <v>ARES1164G005</v>
          </cell>
          <cell r="J749" t="str">
            <v>42</v>
          </cell>
          <cell r="K749" t="str">
            <v>SHIRT</v>
          </cell>
          <cell r="L749" t="str">
            <v>NOD</v>
          </cell>
        </row>
        <row r="750">
          <cell r="C750" t="str">
            <v>ARES1164G</v>
          </cell>
          <cell r="D750" t="str">
            <v>CORE</v>
          </cell>
          <cell r="E750" t="str">
            <v>CO26</v>
          </cell>
          <cell r="F750">
            <v>2599</v>
          </cell>
          <cell r="G750" t="str">
            <v>AR</v>
          </cell>
          <cell r="H750" t="str">
            <v>ARRARMWSH</v>
          </cell>
          <cell r="I750" t="str">
            <v>ARES1164G006</v>
          </cell>
          <cell r="J750" t="str">
            <v>44</v>
          </cell>
          <cell r="K750" t="str">
            <v>SHIRT</v>
          </cell>
          <cell r="L750" t="str">
            <v>NOD</v>
          </cell>
        </row>
        <row r="751">
          <cell r="C751" t="str">
            <v>ARES1164G</v>
          </cell>
          <cell r="D751" t="str">
            <v>CORE</v>
          </cell>
          <cell r="E751" t="str">
            <v>CO26</v>
          </cell>
          <cell r="F751">
            <v>2599</v>
          </cell>
          <cell r="G751" t="str">
            <v>AR</v>
          </cell>
          <cell r="H751" t="str">
            <v>ARRARMWSH</v>
          </cell>
          <cell r="I751" t="str">
            <v>ARES1164G007</v>
          </cell>
          <cell r="J751" t="str">
            <v>46</v>
          </cell>
          <cell r="K751" t="str">
            <v>SHIRT</v>
          </cell>
          <cell r="L751" t="str">
            <v>NOD</v>
          </cell>
        </row>
        <row r="752">
          <cell r="C752" t="str">
            <v>ARES1164G</v>
          </cell>
          <cell r="D752" t="str">
            <v>CORE</v>
          </cell>
          <cell r="E752" t="str">
            <v>CO26</v>
          </cell>
          <cell r="F752">
            <v>2599</v>
          </cell>
          <cell r="G752" t="str">
            <v>AR</v>
          </cell>
          <cell r="H752" t="str">
            <v>ARRARMWSH</v>
          </cell>
          <cell r="I752" t="str">
            <v>ARES1164G008</v>
          </cell>
          <cell r="J752" t="str">
            <v>48</v>
          </cell>
          <cell r="K752" t="str">
            <v>SHIRT</v>
          </cell>
          <cell r="L752" t="str">
            <v>NOD</v>
          </cell>
        </row>
        <row r="753">
          <cell r="C753" t="str">
            <v>ARES1164G</v>
          </cell>
          <cell r="D753" t="str">
            <v>CORE</v>
          </cell>
          <cell r="E753" t="str">
            <v>CO26</v>
          </cell>
          <cell r="F753">
            <v>2599</v>
          </cell>
          <cell r="G753" t="str">
            <v>AR</v>
          </cell>
          <cell r="H753" t="str">
            <v>ARRARMWSH</v>
          </cell>
          <cell r="I753" t="str">
            <v>ARES1164G009</v>
          </cell>
          <cell r="J753" t="str">
            <v>50</v>
          </cell>
          <cell r="K753" t="str">
            <v>SHIRT</v>
          </cell>
          <cell r="L753" t="str">
            <v>NOD</v>
          </cell>
        </row>
        <row r="754">
          <cell r="C754" t="str">
            <v>ARES1164G</v>
          </cell>
          <cell r="D754" t="str">
            <v>CORE</v>
          </cell>
          <cell r="E754" t="str">
            <v>CO26</v>
          </cell>
          <cell r="F754">
            <v>2599</v>
          </cell>
          <cell r="G754" t="str">
            <v>AR</v>
          </cell>
          <cell r="H754" t="str">
            <v>ARRARMWSH</v>
          </cell>
          <cell r="I754" t="str">
            <v>ARES1164G010</v>
          </cell>
          <cell r="J754" t="str">
            <v>52</v>
          </cell>
          <cell r="K754" t="str">
            <v>SHIRT</v>
          </cell>
          <cell r="L754" t="str">
            <v>NOD</v>
          </cell>
        </row>
        <row r="755">
          <cell r="C755" t="str">
            <v>ARES1214C</v>
          </cell>
          <cell r="D755" t="str">
            <v>CORE</v>
          </cell>
          <cell r="E755" t="str">
            <v>CO25</v>
          </cell>
          <cell r="F755">
            <v>2499</v>
          </cell>
          <cell r="G755" t="str">
            <v>AN</v>
          </cell>
          <cell r="H755" t="str">
            <v>ARRANMWSH</v>
          </cell>
          <cell r="I755" t="str">
            <v>ARES1214C001</v>
          </cell>
          <cell r="J755" t="str">
            <v>36</v>
          </cell>
          <cell r="K755" t="str">
            <v>SHIRT</v>
          </cell>
          <cell r="L755" t="str">
            <v>NOD</v>
          </cell>
        </row>
        <row r="756">
          <cell r="C756" t="str">
            <v>ARES1214C</v>
          </cell>
          <cell r="D756" t="str">
            <v>CORE</v>
          </cell>
          <cell r="E756" t="str">
            <v>CO25</v>
          </cell>
          <cell r="F756">
            <v>2499</v>
          </cell>
          <cell r="G756" t="str">
            <v>AN</v>
          </cell>
          <cell r="H756" t="str">
            <v>ARRANMWSH</v>
          </cell>
          <cell r="I756" t="str">
            <v>ARES1214C002</v>
          </cell>
          <cell r="J756" t="str">
            <v>38</v>
          </cell>
          <cell r="K756" t="str">
            <v>SHIRT</v>
          </cell>
          <cell r="L756" t="str">
            <v>NOD</v>
          </cell>
        </row>
        <row r="757">
          <cell r="C757" t="str">
            <v>ARES1214C</v>
          </cell>
          <cell r="D757" t="str">
            <v>CORE</v>
          </cell>
          <cell r="E757" t="str">
            <v>CO25</v>
          </cell>
          <cell r="F757">
            <v>2499</v>
          </cell>
          <cell r="G757" t="str">
            <v>AN</v>
          </cell>
          <cell r="H757" t="str">
            <v>ARRANMWSH</v>
          </cell>
          <cell r="I757" t="str">
            <v>ARES1214C003</v>
          </cell>
          <cell r="J757" t="str">
            <v>39</v>
          </cell>
          <cell r="K757" t="str">
            <v>SHIRT</v>
          </cell>
          <cell r="L757" t="str">
            <v>NOD</v>
          </cell>
        </row>
        <row r="758">
          <cell r="C758" t="str">
            <v>ARES1214C</v>
          </cell>
          <cell r="D758" t="str">
            <v>CORE</v>
          </cell>
          <cell r="E758" t="str">
            <v>CO25</v>
          </cell>
          <cell r="F758">
            <v>2499</v>
          </cell>
          <cell r="G758" t="str">
            <v>AN</v>
          </cell>
          <cell r="H758" t="str">
            <v>ARRANMWSH</v>
          </cell>
          <cell r="I758" t="str">
            <v>ARES1214C004</v>
          </cell>
          <cell r="J758" t="str">
            <v>40</v>
          </cell>
          <cell r="K758" t="str">
            <v>SHIRT</v>
          </cell>
          <cell r="L758" t="str">
            <v>NOD</v>
          </cell>
        </row>
        <row r="759">
          <cell r="C759" t="str">
            <v>ARES1214C</v>
          </cell>
          <cell r="D759" t="str">
            <v>CORE</v>
          </cell>
          <cell r="E759" t="str">
            <v>CO25</v>
          </cell>
          <cell r="F759">
            <v>2499</v>
          </cell>
          <cell r="G759" t="str">
            <v>AN</v>
          </cell>
          <cell r="H759" t="str">
            <v>ARRANMWSH</v>
          </cell>
          <cell r="I759" t="str">
            <v>ARES1214C005</v>
          </cell>
          <cell r="J759" t="str">
            <v>42</v>
          </cell>
          <cell r="K759" t="str">
            <v>SHIRT</v>
          </cell>
          <cell r="L759" t="str">
            <v>NOD</v>
          </cell>
        </row>
        <row r="760">
          <cell r="C760" t="str">
            <v>ARES1214C</v>
          </cell>
          <cell r="D760" t="str">
            <v>CORE</v>
          </cell>
          <cell r="E760" t="str">
            <v>CO25</v>
          </cell>
          <cell r="F760">
            <v>2499</v>
          </cell>
          <cell r="G760" t="str">
            <v>AN</v>
          </cell>
          <cell r="H760" t="str">
            <v>ARRANMWSH</v>
          </cell>
          <cell r="I760" t="str">
            <v>ARES1214C006</v>
          </cell>
          <cell r="J760" t="str">
            <v>44</v>
          </cell>
          <cell r="K760" t="str">
            <v>SHIRT</v>
          </cell>
          <cell r="L760" t="str">
            <v>NOD</v>
          </cell>
        </row>
        <row r="761">
          <cell r="C761" t="str">
            <v>ARES1214C</v>
          </cell>
          <cell r="D761" t="str">
            <v>CORE</v>
          </cell>
          <cell r="E761" t="str">
            <v>CO25</v>
          </cell>
          <cell r="F761">
            <v>2699</v>
          </cell>
          <cell r="G761" t="str">
            <v>AN</v>
          </cell>
          <cell r="H761" t="str">
            <v>ARRANMWSH</v>
          </cell>
          <cell r="I761" t="str">
            <v>ARES1214C007</v>
          </cell>
          <cell r="J761" t="str">
            <v>46</v>
          </cell>
          <cell r="K761" t="str">
            <v>SHIRT</v>
          </cell>
          <cell r="L761" t="str">
            <v>NOD</v>
          </cell>
        </row>
        <row r="762">
          <cell r="C762" t="str">
            <v>ARES1214C</v>
          </cell>
          <cell r="D762" t="str">
            <v>CORE</v>
          </cell>
          <cell r="E762" t="str">
            <v>CO25</v>
          </cell>
          <cell r="F762">
            <v>2699</v>
          </cell>
          <cell r="G762" t="str">
            <v>AN</v>
          </cell>
          <cell r="H762" t="str">
            <v>ARRANMWSH</v>
          </cell>
          <cell r="I762" t="str">
            <v>ARES1214C008</v>
          </cell>
          <cell r="J762" t="str">
            <v>48</v>
          </cell>
          <cell r="K762" t="str">
            <v>SHIRT</v>
          </cell>
          <cell r="L762" t="str">
            <v>NOD</v>
          </cell>
        </row>
        <row r="763">
          <cell r="C763" t="str">
            <v>ARES1214C</v>
          </cell>
          <cell r="D763" t="str">
            <v>CORE</v>
          </cell>
          <cell r="E763" t="str">
            <v>CO25</v>
          </cell>
          <cell r="F763">
            <v>2699</v>
          </cell>
          <cell r="G763" t="str">
            <v>AN</v>
          </cell>
          <cell r="H763" t="str">
            <v>ARRANMWSH</v>
          </cell>
          <cell r="I763" t="str">
            <v>ARES1214C009</v>
          </cell>
          <cell r="J763" t="str">
            <v>50</v>
          </cell>
          <cell r="K763" t="str">
            <v>SHIRT</v>
          </cell>
          <cell r="L763" t="str">
            <v>NOD</v>
          </cell>
        </row>
        <row r="764">
          <cell r="C764" t="str">
            <v>ARES1214C</v>
          </cell>
          <cell r="D764" t="str">
            <v>CORE</v>
          </cell>
          <cell r="E764" t="str">
            <v>CO25</v>
          </cell>
          <cell r="F764">
            <v>2699</v>
          </cell>
          <cell r="G764" t="str">
            <v>AN</v>
          </cell>
          <cell r="H764" t="str">
            <v>ARRANMWSH</v>
          </cell>
          <cell r="I764" t="str">
            <v>ARES1214C010</v>
          </cell>
          <cell r="J764" t="str">
            <v>52</v>
          </cell>
          <cell r="K764" t="str">
            <v>SHIRT</v>
          </cell>
          <cell r="L764" t="str">
            <v>NOD</v>
          </cell>
        </row>
        <row r="765">
          <cell r="C765" t="str">
            <v>ARES1214G</v>
          </cell>
          <cell r="D765" t="str">
            <v>CORE</v>
          </cell>
          <cell r="E765" t="str">
            <v>CO26</v>
          </cell>
          <cell r="F765">
            <v>2599</v>
          </cell>
          <cell r="G765" t="str">
            <v>AN</v>
          </cell>
          <cell r="H765" t="str">
            <v>ARRANMWSH</v>
          </cell>
          <cell r="I765" t="str">
            <v>ARES1214G001</v>
          </cell>
          <cell r="J765" t="str">
            <v>36</v>
          </cell>
          <cell r="K765" t="str">
            <v>SHIRT</v>
          </cell>
          <cell r="L765" t="str">
            <v>NOD</v>
          </cell>
        </row>
        <row r="766">
          <cell r="C766" t="str">
            <v>ARES1214G</v>
          </cell>
          <cell r="D766" t="str">
            <v>CORE</v>
          </cell>
          <cell r="E766" t="str">
            <v>CO26</v>
          </cell>
          <cell r="F766">
            <v>2599</v>
          </cell>
          <cell r="G766" t="str">
            <v>AN</v>
          </cell>
          <cell r="H766" t="str">
            <v>ARRANMWSH</v>
          </cell>
          <cell r="I766" t="str">
            <v>ARES1214G002</v>
          </cell>
          <cell r="J766" t="str">
            <v>38</v>
          </cell>
          <cell r="K766" t="str">
            <v>SHIRT</v>
          </cell>
          <cell r="L766" t="str">
            <v>NOD</v>
          </cell>
        </row>
        <row r="767">
          <cell r="C767" t="str">
            <v>ARES1214G</v>
          </cell>
          <cell r="D767" t="str">
            <v>CORE</v>
          </cell>
          <cell r="E767" t="str">
            <v>CO26</v>
          </cell>
          <cell r="F767">
            <v>2599</v>
          </cell>
          <cell r="G767" t="str">
            <v>AN</v>
          </cell>
          <cell r="H767" t="str">
            <v>ARRANMWSH</v>
          </cell>
          <cell r="I767" t="str">
            <v>ARES1214G003</v>
          </cell>
          <cell r="J767" t="str">
            <v>39</v>
          </cell>
          <cell r="K767" t="str">
            <v>SHIRT</v>
          </cell>
          <cell r="L767" t="str">
            <v>NOD</v>
          </cell>
        </row>
        <row r="768">
          <cell r="C768" t="str">
            <v>ARES1214G</v>
          </cell>
          <cell r="D768" t="str">
            <v>CORE</v>
          </cell>
          <cell r="E768" t="str">
            <v>CO26</v>
          </cell>
          <cell r="F768">
            <v>2599</v>
          </cell>
          <cell r="G768" t="str">
            <v>AN</v>
          </cell>
          <cell r="H768" t="str">
            <v>ARRANMWSH</v>
          </cell>
          <cell r="I768" t="str">
            <v>ARES1214G004</v>
          </cell>
          <cell r="J768" t="str">
            <v>40</v>
          </cell>
          <cell r="K768" t="str">
            <v>SHIRT</v>
          </cell>
          <cell r="L768" t="str">
            <v>NOD</v>
          </cell>
        </row>
        <row r="769">
          <cell r="C769" t="str">
            <v>ARES1214G</v>
          </cell>
          <cell r="D769" t="str">
            <v>CORE</v>
          </cell>
          <cell r="E769" t="str">
            <v>CO26</v>
          </cell>
          <cell r="F769">
            <v>2599</v>
          </cell>
          <cell r="G769" t="str">
            <v>AN</v>
          </cell>
          <cell r="H769" t="str">
            <v>ARRANMWSH</v>
          </cell>
          <cell r="I769" t="str">
            <v>ARES1214G005</v>
          </cell>
          <cell r="J769" t="str">
            <v>42</v>
          </cell>
          <cell r="K769" t="str">
            <v>SHIRT</v>
          </cell>
          <cell r="L769" t="str">
            <v>NOD</v>
          </cell>
        </row>
        <row r="770">
          <cell r="C770" t="str">
            <v>ARES1214G</v>
          </cell>
          <cell r="D770" t="str">
            <v>CORE</v>
          </cell>
          <cell r="E770" t="str">
            <v>CO26</v>
          </cell>
          <cell r="F770">
            <v>2599</v>
          </cell>
          <cell r="G770" t="str">
            <v>AN</v>
          </cell>
          <cell r="H770" t="str">
            <v>ARRANMWSH</v>
          </cell>
          <cell r="I770" t="str">
            <v>ARES1214G006</v>
          </cell>
          <cell r="J770" t="str">
            <v>44</v>
          </cell>
          <cell r="K770" t="str">
            <v>SHIRT</v>
          </cell>
          <cell r="L770" t="str">
            <v>NOD</v>
          </cell>
        </row>
        <row r="771">
          <cell r="C771" t="str">
            <v>ARES1214G</v>
          </cell>
          <cell r="D771" t="str">
            <v>CORE</v>
          </cell>
          <cell r="E771" t="str">
            <v>CO26</v>
          </cell>
          <cell r="F771">
            <v>2599</v>
          </cell>
          <cell r="G771" t="str">
            <v>AN</v>
          </cell>
          <cell r="H771" t="str">
            <v>ARRANMWSH</v>
          </cell>
          <cell r="I771" t="str">
            <v>ARES1214G007</v>
          </cell>
          <cell r="J771" t="str">
            <v>46</v>
          </cell>
          <cell r="K771" t="str">
            <v>SHIRT</v>
          </cell>
          <cell r="L771" t="str">
            <v>NOD</v>
          </cell>
        </row>
        <row r="772">
          <cell r="C772" t="str">
            <v>ARES1214G</v>
          </cell>
          <cell r="D772" t="str">
            <v>CORE</v>
          </cell>
          <cell r="E772" t="str">
            <v>CO26</v>
          </cell>
          <cell r="F772">
            <v>2599</v>
          </cell>
          <cell r="G772" t="str">
            <v>AN</v>
          </cell>
          <cell r="H772" t="str">
            <v>ARRANMWSH</v>
          </cell>
          <cell r="I772" t="str">
            <v>ARES1214G008</v>
          </cell>
          <cell r="J772" t="str">
            <v>48</v>
          </cell>
          <cell r="K772" t="str">
            <v>SHIRT</v>
          </cell>
          <cell r="L772" t="str">
            <v>NOD</v>
          </cell>
        </row>
        <row r="773">
          <cell r="C773" t="str">
            <v>ARES1214G</v>
          </cell>
          <cell r="D773" t="str">
            <v>CORE</v>
          </cell>
          <cell r="E773" t="str">
            <v>CO26</v>
          </cell>
          <cell r="F773">
            <v>2599</v>
          </cell>
          <cell r="G773" t="str">
            <v>AN</v>
          </cell>
          <cell r="H773" t="str">
            <v>ARRANMWSH</v>
          </cell>
          <cell r="I773" t="str">
            <v>ARES1214G009</v>
          </cell>
          <cell r="J773" t="str">
            <v>50</v>
          </cell>
          <cell r="K773" t="str">
            <v>SHIRT</v>
          </cell>
          <cell r="L773" t="str">
            <v>NOD</v>
          </cell>
        </row>
        <row r="774">
          <cell r="C774" t="str">
            <v>ARES1214G</v>
          </cell>
          <cell r="D774" t="str">
            <v>CORE</v>
          </cell>
          <cell r="E774" t="str">
            <v>CO26</v>
          </cell>
          <cell r="F774">
            <v>2599</v>
          </cell>
          <cell r="G774" t="str">
            <v>AN</v>
          </cell>
          <cell r="H774" t="str">
            <v>ARRANMWSH</v>
          </cell>
          <cell r="I774" t="str">
            <v>ARES1214G010</v>
          </cell>
          <cell r="J774" t="str">
            <v>52</v>
          </cell>
          <cell r="K774" t="str">
            <v>SHIRT</v>
          </cell>
          <cell r="L774" t="str">
            <v>NOD</v>
          </cell>
        </row>
        <row r="775">
          <cell r="C775" t="str">
            <v>ARES1215B</v>
          </cell>
          <cell r="D775" t="str">
            <v>CORE</v>
          </cell>
          <cell r="E775" t="str">
            <v>CO25</v>
          </cell>
          <cell r="F775">
            <v>2499</v>
          </cell>
          <cell r="G775" t="str">
            <v>AN</v>
          </cell>
          <cell r="H775" t="str">
            <v>ARRANMWSH</v>
          </cell>
          <cell r="I775" t="str">
            <v>ARES1215B001</v>
          </cell>
          <cell r="J775" t="str">
            <v>36</v>
          </cell>
          <cell r="K775" t="str">
            <v>SHIRT</v>
          </cell>
          <cell r="L775" t="str">
            <v>NOD</v>
          </cell>
        </row>
        <row r="776">
          <cell r="C776" t="str">
            <v>ARES1215B</v>
          </cell>
          <cell r="D776" t="str">
            <v>CORE</v>
          </cell>
          <cell r="E776" t="str">
            <v>CO25</v>
          </cell>
          <cell r="F776">
            <v>2499</v>
          </cell>
          <cell r="G776" t="str">
            <v>AN</v>
          </cell>
          <cell r="H776" t="str">
            <v>ARRANMWSH</v>
          </cell>
          <cell r="I776" t="str">
            <v>ARES1215B002</v>
          </cell>
          <cell r="J776" t="str">
            <v>38</v>
          </cell>
          <cell r="K776" t="str">
            <v>SHIRT</v>
          </cell>
          <cell r="L776" t="str">
            <v>NOD</v>
          </cell>
        </row>
        <row r="777">
          <cell r="C777" t="str">
            <v>ARES1215B</v>
          </cell>
          <cell r="D777" t="str">
            <v>CORE</v>
          </cell>
          <cell r="E777" t="str">
            <v>CO25</v>
          </cell>
          <cell r="F777">
            <v>2499</v>
          </cell>
          <cell r="G777" t="str">
            <v>AN</v>
          </cell>
          <cell r="H777" t="str">
            <v>ARRANMWSH</v>
          </cell>
          <cell r="I777" t="str">
            <v>ARES1215B003</v>
          </cell>
          <cell r="J777" t="str">
            <v>39</v>
          </cell>
          <cell r="K777" t="str">
            <v>SHIRT</v>
          </cell>
          <cell r="L777" t="str">
            <v>NOD</v>
          </cell>
        </row>
        <row r="778">
          <cell r="C778" t="str">
            <v>ARES1215B</v>
          </cell>
          <cell r="D778" t="str">
            <v>CORE</v>
          </cell>
          <cell r="E778" t="str">
            <v>CO25</v>
          </cell>
          <cell r="F778">
            <v>2499</v>
          </cell>
          <cell r="G778" t="str">
            <v>AN</v>
          </cell>
          <cell r="H778" t="str">
            <v>ARRANMWSH</v>
          </cell>
          <cell r="I778" t="str">
            <v>ARES1215B004</v>
          </cell>
          <cell r="J778" t="str">
            <v>40</v>
          </cell>
          <cell r="K778" t="str">
            <v>SHIRT</v>
          </cell>
          <cell r="L778" t="str">
            <v>NOD</v>
          </cell>
        </row>
        <row r="779">
          <cell r="C779" t="str">
            <v>ARES1215B</v>
          </cell>
          <cell r="D779" t="str">
            <v>CORE</v>
          </cell>
          <cell r="E779" t="str">
            <v>CO25</v>
          </cell>
          <cell r="F779">
            <v>2499</v>
          </cell>
          <cell r="G779" t="str">
            <v>AN</v>
          </cell>
          <cell r="H779" t="str">
            <v>ARRANMWSH</v>
          </cell>
          <cell r="I779" t="str">
            <v>ARES1215B005</v>
          </cell>
          <cell r="J779" t="str">
            <v>42</v>
          </cell>
          <cell r="K779" t="str">
            <v>SHIRT</v>
          </cell>
          <cell r="L779" t="str">
            <v>NOD</v>
          </cell>
        </row>
        <row r="780">
          <cell r="C780" t="str">
            <v>ARES1215B</v>
          </cell>
          <cell r="D780" t="str">
            <v>CORE</v>
          </cell>
          <cell r="E780" t="str">
            <v>CO25</v>
          </cell>
          <cell r="F780">
            <v>2499</v>
          </cell>
          <cell r="G780" t="str">
            <v>AN</v>
          </cell>
          <cell r="H780" t="str">
            <v>ARRANMWSH</v>
          </cell>
          <cell r="I780" t="str">
            <v>ARES1215B006</v>
          </cell>
          <cell r="J780" t="str">
            <v>44</v>
          </cell>
          <cell r="K780" t="str">
            <v>SHIRT</v>
          </cell>
          <cell r="L780" t="str">
            <v>NOD</v>
          </cell>
        </row>
        <row r="781">
          <cell r="C781" t="str">
            <v>ARES1215B</v>
          </cell>
          <cell r="D781" t="str">
            <v>CORE</v>
          </cell>
          <cell r="E781" t="str">
            <v>CO25</v>
          </cell>
          <cell r="F781">
            <v>2699</v>
          </cell>
          <cell r="G781" t="str">
            <v>AN</v>
          </cell>
          <cell r="H781" t="str">
            <v>ARRANMWSH</v>
          </cell>
          <cell r="I781" t="str">
            <v>ARES1215B007</v>
          </cell>
          <cell r="J781" t="str">
            <v>46</v>
          </cell>
          <cell r="K781" t="str">
            <v>SHIRT</v>
          </cell>
          <cell r="L781" t="str">
            <v>NOD</v>
          </cell>
        </row>
        <row r="782">
          <cell r="C782" t="str">
            <v>ARES1215B</v>
          </cell>
          <cell r="D782" t="str">
            <v>CORE</v>
          </cell>
          <cell r="E782" t="str">
            <v>CO25</v>
          </cell>
          <cell r="F782">
            <v>2699</v>
          </cell>
          <cell r="G782" t="str">
            <v>AN</v>
          </cell>
          <cell r="H782" t="str">
            <v>ARRANMWSH</v>
          </cell>
          <cell r="I782" t="str">
            <v>ARES1215B008</v>
          </cell>
          <cell r="J782" t="str">
            <v>48</v>
          </cell>
          <cell r="K782" t="str">
            <v>SHIRT</v>
          </cell>
          <cell r="L782" t="str">
            <v>NOD</v>
          </cell>
        </row>
        <row r="783">
          <cell r="C783" t="str">
            <v>ARES1215B</v>
          </cell>
          <cell r="D783" t="str">
            <v>CORE</v>
          </cell>
          <cell r="E783" t="str">
            <v>CO25</v>
          </cell>
          <cell r="F783">
            <v>2699</v>
          </cell>
          <cell r="G783" t="str">
            <v>AN</v>
          </cell>
          <cell r="H783" t="str">
            <v>ARRANMWSH</v>
          </cell>
          <cell r="I783" t="str">
            <v>ARES1215B009</v>
          </cell>
          <cell r="J783" t="str">
            <v>50</v>
          </cell>
          <cell r="K783" t="str">
            <v>SHIRT</v>
          </cell>
          <cell r="L783" t="str">
            <v>NOD</v>
          </cell>
        </row>
        <row r="784">
          <cell r="C784" t="str">
            <v>ARES1215B</v>
          </cell>
          <cell r="D784" t="str">
            <v>CORE</v>
          </cell>
          <cell r="E784" t="str">
            <v>CO25</v>
          </cell>
          <cell r="F784">
            <v>2699</v>
          </cell>
          <cell r="G784" t="str">
            <v>AN</v>
          </cell>
          <cell r="H784" t="str">
            <v>ARRANMWSH</v>
          </cell>
          <cell r="I784" t="str">
            <v>ARES1215B010</v>
          </cell>
          <cell r="J784" t="str">
            <v>52</v>
          </cell>
          <cell r="K784" t="str">
            <v>SHIRT</v>
          </cell>
          <cell r="L784" t="str">
            <v>NOD</v>
          </cell>
        </row>
        <row r="785">
          <cell r="C785" t="str">
            <v>ARES1215G</v>
          </cell>
          <cell r="D785" t="str">
            <v>CORE</v>
          </cell>
          <cell r="E785" t="str">
            <v>CO26</v>
          </cell>
          <cell r="F785">
            <v>2599</v>
          </cell>
          <cell r="G785" t="str">
            <v>AN</v>
          </cell>
          <cell r="H785" t="str">
            <v>ARRANMWSH</v>
          </cell>
          <cell r="I785" t="str">
            <v>ARES1215G001</v>
          </cell>
          <cell r="J785" t="str">
            <v>36</v>
          </cell>
          <cell r="K785" t="str">
            <v>SHIRT</v>
          </cell>
          <cell r="L785" t="str">
            <v>NOD</v>
          </cell>
        </row>
        <row r="786">
          <cell r="C786" t="str">
            <v>ARES1215G</v>
          </cell>
          <cell r="D786" t="str">
            <v>CORE</v>
          </cell>
          <cell r="E786" t="str">
            <v>CO26</v>
          </cell>
          <cell r="F786">
            <v>2599</v>
          </cell>
          <cell r="G786" t="str">
            <v>AN</v>
          </cell>
          <cell r="H786" t="str">
            <v>ARRANMWSH</v>
          </cell>
          <cell r="I786" t="str">
            <v>ARES1215G002</v>
          </cell>
          <cell r="J786" t="str">
            <v>38</v>
          </cell>
          <cell r="K786" t="str">
            <v>SHIRT</v>
          </cell>
          <cell r="L786" t="str">
            <v>NOD</v>
          </cell>
        </row>
        <row r="787">
          <cell r="C787" t="str">
            <v>ARES1215G</v>
          </cell>
          <cell r="D787" t="str">
            <v>CORE</v>
          </cell>
          <cell r="E787" t="str">
            <v>CO26</v>
          </cell>
          <cell r="F787">
            <v>2599</v>
          </cell>
          <cell r="G787" t="str">
            <v>AN</v>
          </cell>
          <cell r="H787" t="str">
            <v>ARRANMWSH</v>
          </cell>
          <cell r="I787" t="str">
            <v>ARES1215G003</v>
          </cell>
          <cell r="J787" t="str">
            <v>39</v>
          </cell>
          <cell r="K787" t="str">
            <v>SHIRT</v>
          </cell>
          <cell r="L787" t="str">
            <v>NOD</v>
          </cell>
        </row>
        <row r="788">
          <cell r="C788" t="str">
            <v>ARES1215G</v>
          </cell>
          <cell r="D788" t="str">
            <v>CORE</v>
          </cell>
          <cell r="E788" t="str">
            <v>CO26</v>
          </cell>
          <cell r="F788">
            <v>2599</v>
          </cell>
          <cell r="G788" t="str">
            <v>AN</v>
          </cell>
          <cell r="H788" t="str">
            <v>ARRANMWSH</v>
          </cell>
          <cell r="I788" t="str">
            <v>ARES1215G004</v>
          </cell>
          <cell r="J788" t="str">
            <v>40</v>
          </cell>
          <cell r="K788" t="str">
            <v>SHIRT</v>
          </cell>
          <cell r="L788" t="str">
            <v>NOD</v>
          </cell>
        </row>
        <row r="789">
          <cell r="C789" t="str">
            <v>ARES1215G</v>
          </cell>
          <cell r="D789" t="str">
            <v>CORE</v>
          </cell>
          <cell r="E789" t="str">
            <v>CO26</v>
          </cell>
          <cell r="F789">
            <v>2599</v>
          </cell>
          <cell r="G789" t="str">
            <v>AN</v>
          </cell>
          <cell r="H789" t="str">
            <v>ARRANMWSH</v>
          </cell>
          <cell r="I789" t="str">
            <v>ARES1215G005</v>
          </cell>
          <cell r="J789" t="str">
            <v>42</v>
          </cell>
          <cell r="K789" t="str">
            <v>SHIRT</v>
          </cell>
          <cell r="L789" t="str">
            <v>NOD</v>
          </cell>
        </row>
        <row r="790">
          <cell r="C790" t="str">
            <v>ARES1215G</v>
          </cell>
          <cell r="D790" t="str">
            <v>CORE</v>
          </cell>
          <cell r="E790" t="str">
            <v>CO26</v>
          </cell>
          <cell r="F790">
            <v>2599</v>
          </cell>
          <cell r="G790" t="str">
            <v>AN</v>
          </cell>
          <cell r="H790" t="str">
            <v>ARRANMWSH</v>
          </cell>
          <cell r="I790" t="str">
            <v>ARES1215G006</v>
          </cell>
          <cell r="J790" t="str">
            <v>44</v>
          </cell>
          <cell r="K790" t="str">
            <v>SHIRT</v>
          </cell>
          <cell r="L790" t="str">
            <v>NOD</v>
          </cell>
        </row>
        <row r="791">
          <cell r="C791" t="str">
            <v>ARES1215G</v>
          </cell>
          <cell r="D791" t="str">
            <v>CORE</v>
          </cell>
          <cell r="E791" t="str">
            <v>CO26</v>
          </cell>
          <cell r="F791">
            <v>2599</v>
          </cell>
          <cell r="G791" t="str">
            <v>AN</v>
          </cell>
          <cell r="H791" t="str">
            <v>ARRANMWSH</v>
          </cell>
          <cell r="I791" t="str">
            <v>ARES1215G007</v>
          </cell>
          <cell r="J791" t="str">
            <v>46</v>
          </cell>
          <cell r="K791" t="str">
            <v>SHIRT</v>
          </cell>
          <cell r="L791" t="str">
            <v>NOD</v>
          </cell>
        </row>
        <row r="792">
          <cell r="C792" t="str">
            <v>ARES1215G</v>
          </cell>
          <cell r="D792" t="str">
            <v>CORE</v>
          </cell>
          <cell r="E792" t="str">
            <v>CO26</v>
          </cell>
          <cell r="F792">
            <v>2599</v>
          </cell>
          <cell r="G792" t="str">
            <v>AN</v>
          </cell>
          <cell r="H792" t="str">
            <v>ARRANMWSH</v>
          </cell>
          <cell r="I792" t="str">
            <v>ARES1215G008</v>
          </cell>
          <cell r="J792" t="str">
            <v>48</v>
          </cell>
          <cell r="K792" t="str">
            <v>SHIRT</v>
          </cell>
          <cell r="L792" t="str">
            <v>NOD</v>
          </cell>
        </row>
        <row r="793">
          <cell r="C793" t="str">
            <v>ARES1215G</v>
          </cell>
          <cell r="D793" t="str">
            <v>CORE</v>
          </cell>
          <cell r="E793" t="str">
            <v>CO26</v>
          </cell>
          <cell r="F793">
            <v>2599</v>
          </cell>
          <cell r="G793" t="str">
            <v>AN</v>
          </cell>
          <cell r="H793" t="str">
            <v>ARRANMWSH</v>
          </cell>
          <cell r="I793" t="str">
            <v>ARES1215G009</v>
          </cell>
          <cell r="J793" t="str">
            <v>50</v>
          </cell>
          <cell r="K793" t="str">
            <v>SHIRT</v>
          </cell>
          <cell r="L793" t="str">
            <v>NOD</v>
          </cell>
        </row>
        <row r="794">
          <cell r="C794" t="str">
            <v>ARES1215G</v>
          </cell>
          <cell r="D794" t="str">
            <v>CORE</v>
          </cell>
          <cell r="E794" t="str">
            <v>CO26</v>
          </cell>
          <cell r="F794">
            <v>2599</v>
          </cell>
          <cell r="G794" t="str">
            <v>AN</v>
          </cell>
          <cell r="H794" t="str">
            <v>ARRANMWSH</v>
          </cell>
          <cell r="I794" t="str">
            <v>ARES1215G010</v>
          </cell>
          <cell r="J794" t="str">
            <v>52</v>
          </cell>
          <cell r="K794" t="str">
            <v>SHIRT</v>
          </cell>
          <cell r="L794" t="str">
            <v>NOD</v>
          </cell>
        </row>
        <row r="795">
          <cell r="C795" t="str">
            <v>ARES1217B</v>
          </cell>
          <cell r="D795" t="str">
            <v>CORE</v>
          </cell>
          <cell r="E795" t="str">
            <v>CO25</v>
          </cell>
          <cell r="F795">
            <v>2499</v>
          </cell>
          <cell r="G795" t="str">
            <v>AN</v>
          </cell>
          <cell r="H795" t="str">
            <v>ARRANMWSH</v>
          </cell>
          <cell r="I795" t="str">
            <v>ARES1217B001</v>
          </cell>
          <cell r="J795" t="str">
            <v>36</v>
          </cell>
          <cell r="K795" t="str">
            <v>SHIRT</v>
          </cell>
          <cell r="L795" t="str">
            <v>NOD</v>
          </cell>
        </row>
        <row r="796">
          <cell r="C796" t="str">
            <v>ARES1217B</v>
          </cell>
          <cell r="D796" t="str">
            <v>CORE</v>
          </cell>
          <cell r="E796" t="str">
            <v>CO25</v>
          </cell>
          <cell r="F796">
            <v>2499</v>
          </cell>
          <cell r="G796" t="str">
            <v>AN</v>
          </cell>
          <cell r="H796" t="str">
            <v>ARRANMWSH</v>
          </cell>
          <cell r="I796" t="str">
            <v>ARES1217B002</v>
          </cell>
          <cell r="J796" t="str">
            <v>38</v>
          </cell>
          <cell r="K796" t="str">
            <v>SHIRT</v>
          </cell>
          <cell r="L796" t="str">
            <v>NOD</v>
          </cell>
        </row>
        <row r="797">
          <cell r="C797" t="str">
            <v>ARES1217B</v>
          </cell>
          <cell r="D797" t="str">
            <v>CORE</v>
          </cell>
          <cell r="E797" t="str">
            <v>CO25</v>
          </cell>
          <cell r="F797">
            <v>2499</v>
          </cell>
          <cell r="G797" t="str">
            <v>AN</v>
          </cell>
          <cell r="H797" t="str">
            <v>ARRANMWSH</v>
          </cell>
          <cell r="I797" t="str">
            <v>ARES1217B003</v>
          </cell>
          <cell r="J797" t="str">
            <v>39</v>
          </cell>
          <cell r="K797" t="str">
            <v>SHIRT</v>
          </cell>
          <cell r="L797" t="str">
            <v>NOD</v>
          </cell>
        </row>
        <row r="798">
          <cell r="C798" t="str">
            <v>ARES1217B</v>
          </cell>
          <cell r="D798" t="str">
            <v>CORE</v>
          </cell>
          <cell r="E798" t="str">
            <v>CO25</v>
          </cell>
          <cell r="F798">
            <v>2499</v>
          </cell>
          <cell r="G798" t="str">
            <v>AN</v>
          </cell>
          <cell r="H798" t="str">
            <v>ARRANMWSH</v>
          </cell>
          <cell r="I798" t="str">
            <v>ARES1217B004</v>
          </cell>
          <cell r="J798" t="str">
            <v>40</v>
          </cell>
          <cell r="K798" t="str">
            <v>SHIRT</v>
          </cell>
          <cell r="L798" t="str">
            <v>NOD</v>
          </cell>
        </row>
        <row r="799">
          <cell r="C799" t="str">
            <v>ARES1217B</v>
          </cell>
          <cell r="D799" t="str">
            <v>CORE</v>
          </cell>
          <cell r="E799" t="str">
            <v>CO25</v>
          </cell>
          <cell r="F799">
            <v>2499</v>
          </cell>
          <cell r="G799" t="str">
            <v>AN</v>
          </cell>
          <cell r="H799" t="str">
            <v>ARRANMWSH</v>
          </cell>
          <cell r="I799" t="str">
            <v>ARES1217B005</v>
          </cell>
          <cell r="J799" t="str">
            <v>42</v>
          </cell>
          <cell r="K799" t="str">
            <v>SHIRT</v>
          </cell>
          <cell r="L799" t="str">
            <v>NOD</v>
          </cell>
        </row>
        <row r="800">
          <cell r="C800" t="str">
            <v>ARES1217B</v>
          </cell>
          <cell r="D800" t="str">
            <v>CORE</v>
          </cell>
          <cell r="E800" t="str">
            <v>CO25</v>
          </cell>
          <cell r="F800">
            <v>2499</v>
          </cell>
          <cell r="G800" t="str">
            <v>AN</v>
          </cell>
          <cell r="H800" t="str">
            <v>ARRANMWSH</v>
          </cell>
          <cell r="I800" t="str">
            <v>ARES1217B006</v>
          </cell>
          <cell r="J800" t="str">
            <v>44</v>
          </cell>
          <cell r="K800" t="str">
            <v>SHIRT</v>
          </cell>
          <cell r="L800" t="str">
            <v>NOD</v>
          </cell>
        </row>
        <row r="801">
          <cell r="C801" t="str">
            <v>ARES1217B</v>
          </cell>
          <cell r="D801" t="str">
            <v>CORE</v>
          </cell>
          <cell r="E801" t="str">
            <v>CO25</v>
          </cell>
          <cell r="F801">
            <v>2699</v>
          </cell>
          <cell r="G801" t="str">
            <v>AN</v>
          </cell>
          <cell r="H801" t="str">
            <v>ARRANMWSH</v>
          </cell>
          <cell r="I801" t="str">
            <v>ARES1217B007</v>
          </cell>
          <cell r="J801" t="str">
            <v>46</v>
          </cell>
          <cell r="K801" t="str">
            <v>SHIRT</v>
          </cell>
          <cell r="L801" t="str">
            <v>NOD</v>
          </cell>
        </row>
        <row r="802">
          <cell r="C802" t="str">
            <v>ARES1217B</v>
          </cell>
          <cell r="D802" t="str">
            <v>CORE</v>
          </cell>
          <cell r="E802" t="str">
            <v>CO25</v>
          </cell>
          <cell r="F802">
            <v>2699</v>
          </cell>
          <cell r="G802" t="str">
            <v>AN</v>
          </cell>
          <cell r="H802" t="str">
            <v>ARRANMWSH</v>
          </cell>
          <cell r="I802" t="str">
            <v>ARES1217B008</v>
          </cell>
          <cell r="J802" t="str">
            <v>48</v>
          </cell>
          <cell r="K802" t="str">
            <v>SHIRT</v>
          </cell>
          <cell r="L802" t="str">
            <v>NOD</v>
          </cell>
        </row>
        <row r="803">
          <cell r="C803" t="str">
            <v>ARES1217B</v>
          </cell>
          <cell r="D803" t="str">
            <v>CORE</v>
          </cell>
          <cell r="E803" t="str">
            <v>CO25</v>
          </cell>
          <cell r="F803">
            <v>2699</v>
          </cell>
          <cell r="G803" t="str">
            <v>AN</v>
          </cell>
          <cell r="H803" t="str">
            <v>ARRANMWSH</v>
          </cell>
          <cell r="I803" t="str">
            <v>ARES1217B009</v>
          </cell>
          <cell r="J803" t="str">
            <v>50</v>
          </cell>
          <cell r="K803" t="str">
            <v>SHIRT</v>
          </cell>
          <cell r="L803" t="str">
            <v>NOD</v>
          </cell>
        </row>
        <row r="804">
          <cell r="C804" t="str">
            <v>ARES1217B</v>
          </cell>
          <cell r="D804" t="str">
            <v>CORE</v>
          </cell>
          <cell r="E804" t="str">
            <v>CO25</v>
          </cell>
          <cell r="F804">
            <v>2699</v>
          </cell>
          <cell r="G804" t="str">
            <v>AN</v>
          </cell>
          <cell r="H804" t="str">
            <v>ARRANMWSH</v>
          </cell>
          <cell r="I804" t="str">
            <v>ARES1217B010</v>
          </cell>
          <cell r="J804" t="str">
            <v>52</v>
          </cell>
          <cell r="K804" t="str">
            <v>SHIRT</v>
          </cell>
          <cell r="L804" t="str">
            <v>NOD</v>
          </cell>
        </row>
        <row r="805">
          <cell r="C805" t="str">
            <v>ARES1217G</v>
          </cell>
          <cell r="D805" t="str">
            <v>CORE</v>
          </cell>
          <cell r="E805" t="str">
            <v>CO26</v>
          </cell>
          <cell r="F805">
            <v>2599</v>
          </cell>
          <cell r="G805" t="str">
            <v>AN</v>
          </cell>
          <cell r="H805" t="str">
            <v>ARRANMWSH</v>
          </cell>
          <cell r="I805" t="str">
            <v>ARES1217G001</v>
          </cell>
          <cell r="J805" t="str">
            <v>36</v>
          </cell>
          <cell r="K805" t="str">
            <v>SHIRT</v>
          </cell>
          <cell r="L805" t="str">
            <v>NOD</v>
          </cell>
        </row>
        <row r="806">
          <cell r="C806" t="str">
            <v>ARES1217G</v>
          </cell>
          <cell r="D806" t="str">
            <v>CORE</v>
          </cell>
          <cell r="E806" t="str">
            <v>CO26</v>
          </cell>
          <cell r="F806">
            <v>2599</v>
          </cell>
          <cell r="G806" t="str">
            <v>AN</v>
          </cell>
          <cell r="H806" t="str">
            <v>ARRANMWSH</v>
          </cell>
          <cell r="I806" t="str">
            <v>ARES1217G002</v>
          </cell>
          <cell r="J806" t="str">
            <v>38</v>
          </cell>
          <cell r="K806" t="str">
            <v>SHIRT</v>
          </cell>
          <cell r="L806" t="str">
            <v>NOD</v>
          </cell>
        </row>
        <row r="807">
          <cell r="C807" t="str">
            <v>ARES1217G</v>
          </cell>
          <cell r="D807" t="str">
            <v>CORE</v>
          </cell>
          <cell r="E807" t="str">
            <v>CO26</v>
          </cell>
          <cell r="F807">
            <v>2599</v>
          </cell>
          <cell r="G807" t="str">
            <v>AN</v>
          </cell>
          <cell r="H807" t="str">
            <v>ARRANMWSH</v>
          </cell>
          <cell r="I807" t="str">
            <v>ARES1217G003</v>
          </cell>
          <cell r="J807" t="str">
            <v>39</v>
          </cell>
          <cell r="K807" t="str">
            <v>SHIRT</v>
          </cell>
          <cell r="L807" t="str">
            <v>NOD</v>
          </cell>
        </row>
        <row r="808">
          <cell r="C808" t="str">
            <v>ARES1217G</v>
          </cell>
          <cell r="D808" t="str">
            <v>CORE</v>
          </cell>
          <cell r="E808" t="str">
            <v>CO26</v>
          </cell>
          <cell r="F808">
            <v>2599</v>
          </cell>
          <cell r="G808" t="str">
            <v>AN</v>
          </cell>
          <cell r="H808" t="str">
            <v>ARRANMWSH</v>
          </cell>
          <cell r="I808" t="str">
            <v>ARES1217G004</v>
          </cell>
          <cell r="J808" t="str">
            <v>40</v>
          </cell>
          <cell r="K808" t="str">
            <v>SHIRT</v>
          </cell>
          <cell r="L808" t="str">
            <v>NOD</v>
          </cell>
        </row>
        <row r="809">
          <cell r="C809" t="str">
            <v>ARES1217G</v>
          </cell>
          <cell r="D809" t="str">
            <v>CORE</v>
          </cell>
          <cell r="E809" t="str">
            <v>CO26</v>
          </cell>
          <cell r="F809">
            <v>2599</v>
          </cell>
          <cell r="G809" t="str">
            <v>AN</v>
          </cell>
          <cell r="H809" t="str">
            <v>ARRANMWSH</v>
          </cell>
          <cell r="I809" t="str">
            <v>ARES1217G005</v>
          </cell>
          <cell r="J809" t="str">
            <v>42</v>
          </cell>
          <cell r="K809" t="str">
            <v>SHIRT</v>
          </cell>
          <cell r="L809" t="str">
            <v>NOD</v>
          </cell>
        </row>
        <row r="810">
          <cell r="C810" t="str">
            <v>ARES1217G</v>
          </cell>
          <cell r="D810" t="str">
            <v>CORE</v>
          </cell>
          <cell r="E810" t="str">
            <v>CO26</v>
          </cell>
          <cell r="F810">
            <v>2599</v>
          </cell>
          <cell r="G810" t="str">
            <v>AN</v>
          </cell>
          <cell r="H810" t="str">
            <v>ARRANMWSH</v>
          </cell>
          <cell r="I810" t="str">
            <v>ARES1217G006</v>
          </cell>
          <cell r="J810" t="str">
            <v>44</v>
          </cell>
          <cell r="K810" t="str">
            <v>SHIRT</v>
          </cell>
          <cell r="L810" t="str">
            <v>NOD</v>
          </cell>
        </row>
        <row r="811">
          <cell r="C811" t="str">
            <v>ARES1217G</v>
          </cell>
          <cell r="D811" t="str">
            <v>CORE</v>
          </cell>
          <cell r="E811" t="str">
            <v>CO26</v>
          </cell>
          <cell r="F811">
            <v>2599</v>
          </cell>
          <cell r="G811" t="str">
            <v>AN</v>
          </cell>
          <cell r="H811" t="str">
            <v>ARRANMWSH</v>
          </cell>
          <cell r="I811" t="str">
            <v>ARES1217G007</v>
          </cell>
          <cell r="J811" t="str">
            <v>46</v>
          </cell>
          <cell r="K811" t="str">
            <v>SHIRT</v>
          </cell>
          <cell r="L811" t="str">
            <v>NOD</v>
          </cell>
        </row>
        <row r="812">
          <cell r="C812" t="str">
            <v>ARES1217G</v>
          </cell>
          <cell r="D812" t="str">
            <v>CORE</v>
          </cell>
          <cell r="E812" t="str">
            <v>CO26</v>
          </cell>
          <cell r="F812">
            <v>2599</v>
          </cell>
          <cell r="G812" t="str">
            <v>AN</v>
          </cell>
          <cell r="H812" t="str">
            <v>ARRANMWSH</v>
          </cell>
          <cell r="I812" t="str">
            <v>ARES1217G008</v>
          </cell>
          <cell r="J812" t="str">
            <v>48</v>
          </cell>
          <cell r="K812" t="str">
            <v>SHIRT</v>
          </cell>
          <cell r="L812" t="str">
            <v>NOD</v>
          </cell>
        </row>
        <row r="813">
          <cell r="C813" t="str">
            <v>ARES1217G</v>
          </cell>
          <cell r="D813" t="str">
            <v>CORE</v>
          </cell>
          <cell r="E813" t="str">
            <v>CO26</v>
          </cell>
          <cell r="F813">
            <v>2599</v>
          </cell>
          <cell r="G813" t="str">
            <v>AN</v>
          </cell>
          <cell r="H813" t="str">
            <v>ARRANMWSH</v>
          </cell>
          <cell r="I813" t="str">
            <v>ARES1217G009</v>
          </cell>
          <cell r="J813" t="str">
            <v>50</v>
          </cell>
          <cell r="K813" t="str">
            <v>SHIRT</v>
          </cell>
          <cell r="L813" t="str">
            <v>NOD</v>
          </cell>
        </row>
        <row r="814">
          <cell r="C814" t="str">
            <v>ARES1217G</v>
          </cell>
          <cell r="D814" t="str">
            <v>CORE</v>
          </cell>
          <cell r="E814" t="str">
            <v>CO26</v>
          </cell>
          <cell r="F814">
            <v>2599</v>
          </cell>
          <cell r="G814" t="str">
            <v>AN</v>
          </cell>
          <cell r="H814" t="str">
            <v>ARRANMWSH</v>
          </cell>
          <cell r="I814" t="str">
            <v>ARES1217G010</v>
          </cell>
          <cell r="J814" t="str">
            <v>52</v>
          </cell>
          <cell r="K814" t="str">
            <v>SHIRT</v>
          </cell>
          <cell r="L814" t="str">
            <v>NOD</v>
          </cell>
        </row>
        <row r="815">
          <cell r="C815" t="str">
            <v>ARES1230B</v>
          </cell>
          <cell r="D815" t="str">
            <v>CORE</v>
          </cell>
          <cell r="E815" t="str">
            <v>CO24</v>
          </cell>
          <cell r="F815">
            <v>2499</v>
          </cell>
          <cell r="G815" t="str">
            <v>AN</v>
          </cell>
          <cell r="H815" t="str">
            <v>ARRANMWSH</v>
          </cell>
          <cell r="I815" t="str">
            <v>ARES1230B001</v>
          </cell>
          <cell r="J815" t="str">
            <v>36</v>
          </cell>
          <cell r="K815" t="str">
            <v>SHIRT</v>
          </cell>
          <cell r="L815" t="str">
            <v>NOD</v>
          </cell>
        </row>
        <row r="816">
          <cell r="C816" t="str">
            <v>ARES1230B</v>
          </cell>
          <cell r="D816" t="str">
            <v>CORE</v>
          </cell>
          <cell r="E816" t="str">
            <v>CO24</v>
          </cell>
          <cell r="F816">
            <v>2499</v>
          </cell>
          <cell r="G816" t="str">
            <v>AN</v>
          </cell>
          <cell r="H816" t="str">
            <v>ARRANMWSH</v>
          </cell>
          <cell r="I816" t="str">
            <v>ARES1230B002</v>
          </cell>
          <cell r="J816" t="str">
            <v>38</v>
          </cell>
          <cell r="K816" t="str">
            <v>SHIRT</v>
          </cell>
          <cell r="L816" t="str">
            <v>NOD</v>
          </cell>
        </row>
        <row r="817">
          <cell r="C817" t="str">
            <v>ARES1230B</v>
          </cell>
          <cell r="D817" t="str">
            <v>CORE</v>
          </cell>
          <cell r="E817" t="str">
            <v>CO24</v>
          </cell>
          <cell r="F817">
            <v>2499</v>
          </cell>
          <cell r="G817" t="str">
            <v>AN</v>
          </cell>
          <cell r="H817" t="str">
            <v>ARRANMWSH</v>
          </cell>
          <cell r="I817" t="str">
            <v>ARES1230B003</v>
          </cell>
          <cell r="J817" t="str">
            <v>39</v>
          </cell>
          <cell r="K817" t="str">
            <v>SHIRT</v>
          </cell>
          <cell r="L817" t="str">
            <v>NOD</v>
          </cell>
        </row>
        <row r="818">
          <cell r="C818" t="str">
            <v>ARES1230B</v>
          </cell>
          <cell r="D818" t="str">
            <v>CORE</v>
          </cell>
          <cell r="E818" t="str">
            <v>CO24</v>
          </cell>
          <cell r="F818">
            <v>2499</v>
          </cell>
          <cell r="G818" t="str">
            <v>AN</v>
          </cell>
          <cell r="H818" t="str">
            <v>ARRANMWSH</v>
          </cell>
          <cell r="I818" t="str">
            <v>ARES1230B004</v>
          </cell>
          <cell r="J818" t="str">
            <v>40</v>
          </cell>
          <cell r="K818" t="str">
            <v>SHIRT</v>
          </cell>
          <cell r="L818" t="str">
            <v>NOD</v>
          </cell>
        </row>
        <row r="819">
          <cell r="C819" t="str">
            <v>ARES1230B</v>
          </cell>
          <cell r="D819" t="str">
            <v>CORE</v>
          </cell>
          <cell r="E819" t="str">
            <v>CO24</v>
          </cell>
          <cell r="F819">
            <v>2499</v>
          </cell>
          <cell r="G819" t="str">
            <v>AN</v>
          </cell>
          <cell r="H819" t="str">
            <v>ARRANMWSH</v>
          </cell>
          <cell r="I819" t="str">
            <v>ARES1230B005</v>
          </cell>
          <cell r="J819" t="str">
            <v>42</v>
          </cell>
          <cell r="K819" t="str">
            <v>SHIRT</v>
          </cell>
          <cell r="L819" t="str">
            <v>NOD</v>
          </cell>
        </row>
        <row r="820">
          <cell r="C820" t="str">
            <v>ARES1230B</v>
          </cell>
          <cell r="D820" t="str">
            <v>CORE</v>
          </cell>
          <cell r="E820" t="str">
            <v>CO24</v>
          </cell>
          <cell r="F820">
            <v>2499</v>
          </cell>
          <cell r="G820" t="str">
            <v>AN</v>
          </cell>
          <cell r="H820" t="str">
            <v>ARRANMWSH</v>
          </cell>
          <cell r="I820" t="str">
            <v>ARES1230B006</v>
          </cell>
          <cell r="J820" t="str">
            <v>44</v>
          </cell>
          <cell r="K820" t="str">
            <v>SHIRT</v>
          </cell>
          <cell r="L820" t="str">
            <v>NOD</v>
          </cell>
        </row>
        <row r="821">
          <cell r="C821" t="str">
            <v>ARES1230B</v>
          </cell>
          <cell r="D821" t="str">
            <v>CORE</v>
          </cell>
          <cell r="E821" t="str">
            <v>CO24</v>
          </cell>
          <cell r="F821">
            <v>2699</v>
          </cell>
          <cell r="G821" t="str">
            <v>AN</v>
          </cell>
          <cell r="H821" t="str">
            <v>ARRANMWSH</v>
          </cell>
          <cell r="I821" t="str">
            <v>ARES1230B007</v>
          </cell>
          <cell r="J821" t="str">
            <v>46</v>
          </cell>
          <cell r="K821" t="str">
            <v>SHIRT</v>
          </cell>
          <cell r="L821" t="str">
            <v>NOD</v>
          </cell>
        </row>
        <row r="822">
          <cell r="C822" t="str">
            <v>ARES1230B</v>
          </cell>
          <cell r="D822" t="str">
            <v>CORE</v>
          </cell>
          <cell r="E822" t="str">
            <v>CO24</v>
          </cell>
          <cell r="F822">
            <v>2699</v>
          </cell>
          <cell r="G822" t="str">
            <v>AN</v>
          </cell>
          <cell r="H822" t="str">
            <v>ARRANMWSH</v>
          </cell>
          <cell r="I822" t="str">
            <v>ARES1230B008</v>
          </cell>
          <cell r="J822" t="str">
            <v>48</v>
          </cell>
          <cell r="K822" t="str">
            <v>SHIRT</v>
          </cell>
          <cell r="L822" t="str">
            <v>NOD</v>
          </cell>
        </row>
        <row r="823">
          <cell r="C823" t="str">
            <v>ARES1230B</v>
          </cell>
          <cell r="D823" t="str">
            <v>CORE</v>
          </cell>
          <cell r="E823" t="str">
            <v>CO24</v>
          </cell>
          <cell r="F823">
            <v>2699</v>
          </cell>
          <cell r="G823" t="str">
            <v>AN</v>
          </cell>
          <cell r="H823" t="str">
            <v>ARRANMWSH</v>
          </cell>
          <cell r="I823" t="str">
            <v>ARES1230B009</v>
          </cell>
          <cell r="J823" t="str">
            <v>50</v>
          </cell>
          <cell r="K823" t="str">
            <v>SHIRT</v>
          </cell>
          <cell r="L823" t="str">
            <v>NOD</v>
          </cell>
        </row>
        <row r="824">
          <cell r="C824" t="str">
            <v>ARES1230B</v>
          </cell>
          <cell r="D824" t="str">
            <v>CORE</v>
          </cell>
          <cell r="E824" t="str">
            <v>CO24</v>
          </cell>
          <cell r="F824">
            <v>2699</v>
          </cell>
          <cell r="G824" t="str">
            <v>AN</v>
          </cell>
          <cell r="H824" t="str">
            <v>ARRANMWSH</v>
          </cell>
          <cell r="I824" t="str">
            <v>ARES1230B010</v>
          </cell>
          <cell r="J824" t="str">
            <v>52</v>
          </cell>
          <cell r="K824" t="str">
            <v>SHIRT</v>
          </cell>
          <cell r="L824" t="str">
            <v>NOD</v>
          </cell>
        </row>
        <row r="825">
          <cell r="C825" t="str">
            <v>ARES1231B</v>
          </cell>
          <cell r="D825" t="str">
            <v>CORE</v>
          </cell>
          <cell r="E825" t="str">
            <v>CO24</v>
          </cell>
          <cell r="F825">
            <v>2499</v>
          </cell>
          <cell r="G825" t="str">
            <v>AN</v>
          </cell>
          <cell r="H825" t="str">
            <v>ARRANMWSH</v>
          </cell>
          <cell r="I825" t="str">
            <v>ARES1231B001</v>
          </cell>
          <cell r="J825" t="str">
            <v>36</v>
          </cell>
          <cell r="K825" t="str">
            <v>SHIRT</v>
          </cell>
          <cell r="L825" t="str">
            <v>NOD</v>
          </cell>
        </row>
        <row r="826">
          <cell r="C826" t="str">
            <v>ARES1231B</v>
          </cell>
          <cell r="D826" t="str">
            <v>CORE</v>
          </cell>
          <cell r="E826" t="str">
            <v>CO24</v>
          </cell>
          <cell r="F826">
            <v>2499</v>
          </cell>
          <cell r="G826" t="str">
            <v>AN</v>
          </cell>
          <cell r="H826" t="str">
            <v>ARRANMWSH</v>
          </cell>
          <cell r="I826" t="str">
            <v>ARES1231B002</v>
          </cell>
          <cell r="J826" t="str">
            <v>38</v>
          </cell>
          <cell r="K826" t="str">
            <v>SHIRT</v>
          </cell>
          <cell r="L826" t="str">
            <v>NOD</v>
          </cell>
        </row>
        <row r="827">
          <cell r="C827" t="str">
            <v>ARES1231B</v>
          </cell>
          <cell r="D827" t="str">
            <v>CORE</v>
          </cell>
          <cell r="E827" t="str">
            <v>CO24</v>
          </cell>
          <cell r="F827">
            <v>2499</v>
          </cell>
          <cell r="G827" t="str">
            <v>AN</v>
          </cell>
          <cell r="H827" t="str">
            <v>ARRANMWSH</v>
          </cell>
          <cell r="I827" t="str">
            <v>ARES1231B003</v>
          </cell>
          <cell r="J827" t="str">
            <v>39</v>
          </cell>
          <cell r="K827" t="str">
            <v>SHIRT</v>
          </cell>
          <cell r="L827" t="str">
            <v>NOD</v>
          </cell>
        </row>
        <row r="828">
          <cell r="C828" t="str">
            <v>ARES1231B</v>
          </cell>
          <cell r="D828" t="str">
            <v>CORE</v>
          </cell>
          <cell r="E828" t="str">
            <v>CO24</v>
          </cell>
          <cell r="F828">
            <v>2499</v>
          </cell>
          <cell r="G828" t="str">
            <v>AN</v>
          </cell>
          <cell r="H828" t="str">
            <v>ARRANMWSH</v>
          </cell>
          <cell r="I828" t="str">
            <v>ARES1231B004</v>
          </cell>
          <cell r="J828" t="str">
            <v>40</v>
          </cell>
          <cell r="K828" t="str">
            <v>SHIRT</v>
          </cell>
          <cell r="L828" t="str">
            <v>NOD</v>
          </cell>
        </row>
        <row r="829">
          <cell r="C829" t="str">
            <v>ARES1231B</v>
          </cell>
          <cell r="D829" t="str">
            <v>CORE</v>
          </cell>
          <cell r="E829" t="str">
            <v>CO24</v>
          </cell>
          <cell r="F829">
            <v>2499</v>
          </cell>
          <cell r="G829" t="str">
            <v>AN</v>
          </cell>
          <cell r="H829" t="str">
            <v>ARRANMWSH</v>
          </cell>
          <cell r="I829" t="str">
            <v>ARES1231B005</v>
          </cell>
          <cell r="J829" t="str">
            <v>42</v>
          </cell>
          <cell r="K829" t="str">
            <v>SHIRT</v>
          </cell>
          <cell r="L829" t="str">
            <v>NOD</v>
          </cell>
        </row>
        <row r="830">
          <cell r="C830" t="str">
            <v>ARES1231B</v>
          </cell>
          <cell r="D830" t="str">
            <v>CORE</v>
          </cell>
          <cell r="E830" t="str">
            <v>CO24</v>
          </cell>
          <cell r="F830">
            <v>2499</v>
          </cell>
          <cell r="G830" t="str">
            <v>AN</v>
          </cell>
          <cell r="H830" t="str">
            <v>ARRANMWSH</v>
          </cell>
          <cell r="I830" t="str">
            <v>ARES1231B006</v>
          </cell>
          <cell r="J830" t="str">
            <v>44</v>
          </cell>
          <cell r="K830" t="str">
            <v>SHIRT</v>
          </cell>
          <cell r="L830" t="str">
            <v>NOD</v>
          </cell>
        </row>
        <row r="831">
          <cell r="C831" t="str">
            <v>ARES1231B</v>
          </cell>
          <cell r="D831" t="str">
            <v>CORE</v>
          </cell>
          <cell r="E831" t="str">
            <v>CO24</v>
          </cell>
          <cell r="F831">
            <v>2699</v>
          </cell>
          <cell r="G831" t="str">
            <v>AN</v>
          </cell>
          <cell r="H831" t="str">
            <v>ARRANMWSH</v>
          </cell>
          <cell r="I831" t="str">
            <v>ARES1231B007</v>
          </cell>
          <cell r="J831" t="str">
            <v>46</v>
          </cell>
          <cell r="K831" t="str">
            <v>SHIRT</v>
          </cell>
          <cell r="L831" t="str">
            <v>NOD</v>
          </cell>
        </row>
        <row r="832">
          <cell r="C832" t="str">
            <v>ARES1231B</v>
          </cell>
          <cell r="D832" t="str">
            <v>CORE</v>
          </cell>
          <cell r="E832" t="str">
            <v>CO24</v>
          </cell>
          <cell r="F832">
            <v>2699</v>
          </cell>
          <cell r="G832" t="str">
            <v>AN</v>
          </cell>
          <cell r="H832" t="str">
            <v>ARRANMWSH</v>
          </cell>
          <cell r="I832" t="str">
            <v>ARES1231B008</v>
          </cell>
          <cell r="J832" t="str">
            <v>48</v>
          </cell>
          <cell r="K832" t="str">
            <v>SHIRT</v>
          </cell>
          <cell r="L832" t="str">
            <v>NOD</v>
          </cell>
        </row>
        <row r="833">
          <cell r="C833" t="str">
            <v>ARES1231B</v>
          </cell>
          <cell r="D833" t="str">
            <v>CORE</v>
          </cell>
          <cell r="E833" t="str">
            <v>CO24</v>
          </cell>
          <cell r="F833">
            <v>2699</v>
          </cell>
          <cell r="G833" t="str">
            <v>AN</v>
          </cell>
          <cell r="H833" t="str">
            <v>ARRANMWSH</v>
          </cell>
          <cell r="I833" t="str">
            <v>ARES1231B009</v>
          </cell>
          <cell r="J833" t="str">
            <v>50</v>
          </cell>
          <cell r="K833" t="str">
            <v>SHIRT</v>
          </cell>
          <cell r="L833" t="str">
            <v>NOD</v>
          </cell>
        </row>
        <row r="834">
          <cell r="C834" t="str">
            <v>ARES1231B</v>
          </cell>
          <cell r="D834" t="str">
            <v>CORE</v>
          </cell>
          <cell r="E834" t="str">
            <v>CO24</v>
          </cell>
          <cell r="F834">
            <v>2699</v>
          </cell>
          <cell r="G834" t="str">
            <v>AN</v>
          </cell>
          <cell r="H834" t="str">
            <v>ARRANMWSH</v>
          </cell>
          <cell r="I834" t="str">
            <v>ARES1231B010</v>
          </cell>
          <cell r="J834" t="str">
            <v>52</v>
          </cell>
          <cell r="K834" t="str">
            <v>SHIRT</v>
          </cell>
          <cell r="L834" t="str">
            <v>NOD</v>
          </cell>
        </row>
        <row r="835">
          <cell r="C835" t="str">
            <v>ARES1237B</v>
          </cell>
          <cell r="D835" t="str">
            <v>CORE</v>
          </cell>
          <cell r="E835" t="str">
            <v>CO25</v>
          </cell>
          <cell r="F835">
            <v>2499</v>
          </cell>
          <cell r="G835" t="str">
            <v>AN</v>
          </cell>
          <cell r="H835" t="str">
            <v>ARRANMWSH</v>
          </cell>
          <cell r="I835" t="str">
            <v>ARES1237B001</v>
          </cell>
          <cell r="J835" t="str">
            <v>36</v>
          </cell>
          <cell r="K835" t="str">
            <v>SHIRT</v>
          </cell>
          <cell r="L835" t="str">
            <v>NOD</v>
          </cell>
        </row>
        <row r="836">
          <cell r="C836" t="str">
            <v>ARES1237B</v>
          </cell>
          <cell r="D836" t="str">
            <v>CORE</v>
          </cell>
          <cell r="E836" t="str">
            <v>CO25</v>
          </cell>
          <cell r="F836">
            <v>2499</v>
          </cell>
          <cell r="G836" t="str">
            <v>AN</v>
          </cell>
          <cell r="H836" t="str">
            <v>ARRANMWSH</v>
          </cell>
          <cell r="I836" t="str">
            <v>ARES1237B002</v>
          </cell>
          <cell r="J836" t="str">
            <v>38</v>
          </cell>
          <cell r="K836" t="str">
            <v>SHIRT</v>
          </cell>
          <cell r="L836" t="str">
            <v>NOD</v>
          </cell>
        </row>
        <row r="837">
          <cell r="C837" t="str">
            <v>ARES1237B</v>
          </cell>
          <cell r="D837" t="str">
            <v>CORE</v>
          </cell>
          <cell r="E837" t="str">
            <v>CO25</v>
          </cell>
          <cell r="F837">
            <v>2499</v>
          </cell>
          <cell r="G837" t="str">
            <v>AN</v>
          </cell>
          <cell r="H837" t="str">
            <v>ARRANMWSH</v>
          </cell>
          <cell r="I837" t="str">
            <v>ARES1237B003</v>
          </cell>
          <cell r="J837" t="str">
            <v>39</v>
          </cell>
          <cell r="K837" t="str">
            <v>SHIRT</v>
          </cell>
          <cell r="L837" t="str">
            <v>NOD</v>
          </cell>
        </row>
        <row r="838">
          <cell r="C838" t="str">
            <v>ARES1237B</v>
          </cell>
          <cell r="D838" t="str">
            <v>CORE</v>
          </cell>
          <cell r="E838" t="str">
            <v>CO25</v>
          </cell>
          <cell r="F838">
            <v>2499</v>
          </cell>
          <cell r="G838" t="str">
            <v>AN</v>
          </cell>
          <cell r="H838" t="str">
            <v>ARRANMWSH</v>
          </cell>
          <cell r="I838" t="str">
            <v>ARES1237B004</v>
          </cell>
          <cell r="J838" t="str">
            <v>40</v>
          </cell>
          <cell r="K838" t="str">
            <v>SHIRT</v>
          </cell>
          <cell r="L838" t="str">
            <v>NOD</v>
          </cell>
        </row>
        <row r="839">
          <cell r="C839" t="str">
            <v>ARES1237B</v>
          </cell>
          <cell r="D839" t="str">
            <v>CORE</v>
          </cell>
          <cell r="E839" t="str">
            <v>CO25</v>
          </cell>
          <cell r="F839">
            <v>2499</v>
          </cell>
          <cell r="G839" t="str">
            <v>AN</v>
          </cell>
          <cell r="H839" t="str">
            <v>ARRANMWSH</v>
          </cell>
          <cell r="I839" t="str">
            <v>ARES1237B005</v>
          </cell>
          <cell r="J839" t="str">
            <v>42</v>
          </cell>
          <cell r="K839" t="str">
            <v>SHIRT</v>
          </cell>
          <cell r="L839" t="str">
            <v>NOD</v>
          </cell>
        </row>
        <row r="840">
          <cell r="C840" t="str">
            <v>ARES1237B</v>
          </cell>
          <cell r="D840" t="str">
            <v>CORE</v>
          </cell>
          <cell r="E840" t="str">
            <v>CO25</v>
          </cell>
          <cell r="F840">
            <v>2499</v>
          </cell>
          <cell r="G840" t="str">
            <v>AN</v>
          </cell>
          <cell r="H840" t="str">
            <v>ARRANMWSH</v>
          </cell>
          <cell r="I840" t="str">
            <v>ARES1237B006</v>
          </cell>
          <cell r="J840" t="str">
            <v>44</v>
          </cell>
          <cell r="K840" t="str">
            <v>SHIRT</v>
          </cell>
          <cell r="L840" t="str">
            <v>NOD</v>
          </cell>
        </row>
        <row r="841">
          <cell r="C841" t="str">
            <v>ARES1237B</v>
          </cell>
          <cell r="D841" t="str">
            <v>CORE</v>
          </cell>
          <cell r="E841" t="str">
            <v>CO25</v>
          </cell>
          <cell r="F841">
            <v>2699</v>
          </cell>
          <cell r="G841" t="str">
            <v>AN</v>
          </cell>
          <cell r="H841" t="str">
            <v>ARRANMWSH</v>
          </cell>
          <cell r="I841" t="str">
            <v>ARES1237B007</v>
          </cell>
          <cell r="J841" t="str">
            <v>46</v>
          </cell>
          <cell r="K841" t="str">
            <v>SHIRT</v>
          </cell>
          <cell r="L841" t="str">
            <v>NOD</v>
          </cell>
        </row>
        <row r="842">
          <cell r="C842" t="str">
            <v>ARES1237B</v>
          </cell>
          <cell r="D842" t="str">
            <v>CORE</v>
          </cell>
          <cell r="E842" t="str">
            <v>CO25</v>
          </cell>
          <cell r="F842">
            <v>2699</v>
          </cell>
          <cell r="G842" t="str">
            <v>AN</v>
          </cell>
          <cell r="H842" t="str">
            <v>ARRANMWSH</v>
          </cell>
          <cell r="I842" t="str">
            <v>ARES1237B008</v>
          </cell>
          <cell r="J842" t="str">
            <v>48</v>
          </cell>
          <cell r="K842" t="str">
            <v>SHIRT</v>
          </cell>
          <cell r="L842" t="str">
            <v>NOD</v>
          </cell>
        </row>
        <row r="843">
          <cell r="C843" t="str">
            <v>ARES1237B</v>
          </cell>
          <cell r="D843" t="str">
            <v>CORE</v>
          </cell>
          <cell r="E843" t="str">
            <v>CO25</v>
          </cell>
          <cell r="F843">
            <v>2699</v>
          </cell>
          <cell r="G843" t="str">
            <v>AN</v>
          </cell>
          <cell r="H843" t="str">
            <v>ARRANMWSH</v>
          </cell>
          <cell r="I843" t="str">
            <v>ARES1237B009</v>
          </cell>
          <cell r="J843" t="str">
            <v>50</v>
          </cell>
          <cell r="K843" t="str">
            <v>SHIRT</v>
          </cell>
          <cell r="L843" t="str">
            <v>NOD</v>
          </cell>
        </row>
        <row r="844">
          <cell r="C844" t="str">
            <v>ARES1237B</v>
          </cell>
          <cell r="D844" t="str">
            <v>CORE</v>
          </cell>
          <cell r="E844" t="str">
            <v>CO25</v>
          </cell>
          <cell r="F844">
            <v>2699</v>
          </cell>
          <cell r="G844" t="str">
            <v>AN</v>
          </cell>
          <cell r="H844" t="str">
            <v>ARRANMWSH</v>
          </cell>
          <cell r="I844" t="str">
            <v>ARES1237B010</v>
          </cell>
          <cell r="J844" t="str">
            <v>52</v>
          </cell>
          <cell r="K844" t="str">
            <v>SHIRT</v>
          </cell>
          <cell r="L844" t="str">
            <v>NOD</v>
          </cell>
        </row>
        <row r="845">
          <cell r="C845" t="str">
            <v>ARES1237G</v>
          </cell>
          <cell r="D845" t="str">
            <v>CORE</v>
          </cell>
          <cell r="E845" t="str">
            <v>CO26</v>
          </cell>
          <cell r="F845">
            <v>2599</v>
          </cell>
          <cell r="G845" t="str">
            <v>AN</v>
          </cell>
          <cell r="H845" t="str">
            <v>ARRANMWSH</v>
          </cell>
          <cell r="I845" t="str">
            <v>ARES1237G001</v>
          </cell>
          <cell r="J845" t="str">
            <v>36</v>
          </cell>
          <cell r="K845" t="str">
            <v>SHIRT</v>
          </cell>
          <cell r="L845" t="str">
            <v>NOD</v>
          </cell>
        </row>
        <row r="846">
          <cell r="C846" t="str">
            <v>ARES1237G</v>
          </cell>
          <cell r="D846" t="str">
            <v>CORE</v>
          </cell>
          <cell r="E846" t="str">
            <v>CO26</v>
          </cell>
          <cell r="F846">
            <v>2599</v>
          </cell>
          <cell r="G846" t="str">
            <v>AN</v>
          </cell>
          <cell r="H846" t="str">
            <v>ARRANMWSH</v>
          </cell>
          <cell r="I846" t="str">
            <v>ARES1237G002</v>
          </cell>
          <cell r="J846" t="str">
            <v>38</v>
          </cell>
          <cell r="K846" t="str">
            <v>SHIRT</v>
          </cell>
          <cell r="L846" t="str">
            <v>NOD</v>
          </cell>
        </row>
        <row r="847">
          <cell r="C847" t="str">
            <v>ARES1237G</v>
          </cell>
          <cell r="D847" t="str">
            <v>CORE</v>
          </cell>
          <cell r="E847" t="str">
            <v>CO26</v>
          </cell>
          <cell r="F847">
            <v>2599</v>
          </cell>
          <cell r="G847" t="str">
            <v>AN</v>
          </cell>
          <cell r="H847" t="str">
            <v>ARRANMWSH</v>
          </cell>
          <cell r="I847" t="str">
            <v>ARES1237G003</v>
          </cell>
          <cell r="J847" t="str">
            <v>39</v>
          </cell>
          <cell r="K847" t="str">
            <v>SHIRT</v>
          </cell>
          <cell r="L847" t="str">
            <v>NOD</v>
          </cell>
        </row>
        <row r="848">
          <cell r="C848" t="str">
            <v>ARES1237G</v>
          </cell>
          <cell r="D848" t="str">
            <v>CORE</v>
          </cell>
          <cell r="E848" t="str">
            <v>CO26</v>
          </cell>
          <cell r="F848">
            <v>2599</v>
          </cell>
          <cell r="G848" t="str">
            <v>AN</v>
          </cell>
          <cell r="H848" t="str">
            <v>ARRANMWSH</v>
          </cell>
          <cell r="I848" t="str">
            <v>ARES1237G004</v>
          </cell>
          <cell r="J848" t="str">
            <v>40</v>
          </cell>
          <cell r="K848" t="str">
            <v>SHIRT</v>
          </cell>
          <cell r="L848" t="str">
            <v>NOD</v>
          </cell>
        </row>
        <row r="849">
          <cell r="C849" t="str">
            <v>ARES1237G</v>
          </cell>
          <cell r="D849" t="str">
            <v>CORE</v>
          </cell>
          <cell r="E849" t="str">
            <v>CO26</v>
          </cell>
          <cell r="F849">
            <v>2599</v>
          </cell>
          <cell r="G849" t="str">
            <v>AN</v>
          </cell>
          <cell r="H849" t="str">
            <v>ARRANMWSH</v>
          </cell>
          <cell r="I849" t="str">
            <v>ARES1237G005</v>
          </cell>
          <cell r="J849" t="str">
            <v>42</v>
          </cell>
          <cell r="K849" t="str">
            <v>SHIRT</v>
          </cell>
          <cell r="L849" t="str">
            <v>NOD</v>
          </cell>
        </row>
        <row r="850">
          <cell r="C850" t="str">
            <v>ARES1237G</v>
          </cell>
          <cell r="D850" t="str">
            <v>CORE</v>
          </cell>
          <cell r="E850" t="str">
            <v>CO26</v>
          </cell>
          <cell r="F850">
            <v>2599</v>
          </cell>
          <cell r="G850" t="str">
            <v>AN</v>
          </cell>
          <cell r="H850" t="str">
            <v>ARRANMWSH</v>
          </cell>
          <cell r="I850" t="str">
            <v>ARES1237G006</v>
          </cell>
          <cell r="J850" t="str">
            <v>44</v>
          </cell>
          <cell r="K850" t="str">
            <v>SHIRT</v>
          </cell>
          <cell r="L850" t="str">
            <v>NOD</v>
          </cell>
        </row>
        <row r="851">
          <cell r="C851" t="str">
            <v>ARES1237G</v>
          </cell>
          <cell r="D851" t="str">
            <v>CORE</v>
          </cell>
          <cell r="E851" t="str">
            <v>CO26</v>
          </cell>
          <cell r="F851">
            <v>2599</v>
          </cell>
          <cell r="G851" t="str">
            <v>AN</v>
          </cell>
          <cell r="H851" t="str">
            <v>ARRANMWSH</v>
          </cell>
          <cell r="I851" t="str">
            <v>ARES1237G007</v>
          </cell>
          <cell r="J851" t="str">
            <v>46</v>
          </cell>
          <cell r="K851" t="str">
            <v>SHIRT</v>
          </cell>
          <cell r="L851" t="str">
            <v>NOD</v>
          </cell>
        </row>
        <row r="852">
          <cell r="C852" t="str">
            <v>ARES1237G</v>
          </cell>
          <cell r="D852" t="str">
            <v>CORE</v>
          </cell>
          <cell r="E852" t="str">
            <v>CO26</v>
          </cell>
          <cell r="F852">
            <v>2599</v>
          </cell>
          <cell r="G852" t="str">
            <v>AN</v>
          </cell>
          <cell r="H852" t="str">
            <v>ARRANMWSH</v>
          </cell>
          <cell r="I852" t="str">
            <v>ARES1237G008</v>
          </cell>
          <cell r="J852" t="str">
            <v>48</v>
          </cell>
          <cell r="K852" t="str">
            <v>SHIRT</v>
          </cell>
          <cell r="L852" t="str">
            <v>NOD</v>
          </cell>
        </row>
        <row r="853">
          <cell r="C853" t="str">
            <v>ARES1237G</v>
          </cell>
          <cell r="D853" t="str">
            <v>CORE</v>
          </cell>
          <cell r="E853" t="str">
            <v>CO26</v>
          </cell>
          <cell r="F853">
            <v>2599</v>
          </cell>
          <cell r="G853" t="str">
            <v>AN</v>
          </cell>
          <cell r="H853" t="str">
            <v>ARRANMWSH</v>
          </cell>
          <cell r="I853" t="str">
            <v>ARES1237G009</v>
          </cell>
          <cell r="J853" t="str">
            <v>50</v>
          </cell>
          <cell r="K853" t="str">
            <v>SHIRT</v>
          </cell>
          <cell r="L853" t="str">
            <v>NOD</v>
          </cell>
        </row>
        <row r="854">
          <cell r="C854" t="str">
            <v>ARES1237G</v>
          </cell>
          <cell r="D854" t="str">
            <v>CORE</v>
          </cell>
          <cell r="E854" t="str">
            <v>CO26</v>
          </cell>
          <cell r="F854">
            <v>2599</v>
          </cell>
          <cell r="G854" t="str">
            <v>AN</v>
          </cell>
          <cell r="H854" t="str">
            <v>ARRANMWSH</v>
          </cell>
          <cell r="I854" t="str">
            <v>ARES1237G010</v>
          </cell>
          <cell r="J854" t="str">
            <v>52</v>
          </cell>
          <cell r="K854" t="str">
            <v>SHIRT</v>
          </cell>
          <cell r="L854" t="str">
            <v>NOD</v>
          </cell>
        </row>
        <row r="855">
          <cell r="C855" t="str">
            <v>ARES1240</v>
          </cell>
          <cell r="D855" t="str">
            <v>CORE</v>
          </cell>
          <cell r="E855" t="str">
            <v>CO25</v>
          </cell>
          <cell r="F855">
            <v>2699</v>
          </cell>
          <cell r="G855" t="str">
            <v>AN</v>
          </cell>
          <cell r="H855" t="str">
            <v>ARRANMWSH</v>
          </cell>
          <cell r="I855" t="str">
            <v>ARES1240001</v>
          </cell>
          <cell r="J855" t="str">
            <v>36</v>
          </cell>
          <cell r="K855" t="str">
            <v>SHIRT</v>
          </cell>
          <cell r="L855" t="str">
            <v>NOD</v>
          </cell>
        </row>
        <row r="856">
          <cell r="C856" t="str">
            <v>ARES1240</v>
          </cell>
          <cell r="D856" t="str">
            <v>CORE</v>
          </cell>
          <cell r="E856" t="str">
            <v>CO25</v>
          </cell>
          <cell r="F856">
            <v>2699</v>
          </cell>
          <cell r="G856" t="str">
            <v>AN</v>
          </cell>
          <cell r="H856" t="str">
            <v>ARRANMWSH</v>
          </cell>
          <cell r="I856" t="str">
            <v>ARES1240002</v>
          </cell>
          <cell r="J856" t="str">
            <v>38</v>
          </cell>
          <cell r="K856" t="str">
            <v>SHIRT</v>
          </cell>
          <cell r="L856" t="str">
            <v>NOD</v>
          </cell>
        </row>
        <row r="857">
          <cell r="C857" t="str">
            <v>ARES1240</v>
          </cell>
          <cell r="D857" t="str">
            <v>CORE</v>
          </cell>
          <cell r="E857" t="str">
            <v>CO25</v>
          </cell>
          <cell r="F857">
            <v>2699</v>
          </cell>
          <cell r="G857" t="str">
            <v>AN</v>
          </cell>
          <cell r="H857" t="str">
            <v>ARRANMWSH</v>
          </cell>
          <cell r="I857" t="str">
            <v>ARES1240003</v>
          </cell>
          <cell r="J857" t="str">
            <v>39</v>
          </cell>
          <cell r="K857" t="str">
            <v>SHIRT</v>
          </cell>
          <cell r="L857" t="str">
            <v>NOD</v>
          </cell>
        </row>
        <row r="858">
          <cell r="C858" t="str">
            <v>ARES1240</v>
          </cell>
          <cell r="D858" t="str">
            <v>CORE</v>
          </cell>
          <cell r="E858" t="str">
            <v>CO25</v>
          </cell>
          <cell r="F858">
            <v>2699</v>
          </cell>
          <cell r="G858" t="str">
            <v>AN</v>
          </cell>
          <cell r="H858" t="str">
            <v>ARRANMWSH</v>
          </cell>
          <cell r="I858" t="str">
            <v>ARES1240004</v>
          </cell>
          <cell r="J858" t="str">
            <v>40</v>
          </cell>
          <cell r="K858" t="str">
            <v>SHIRT</v>
          </cell>
          <cell r="L858" t="str">
            <v>NOD</v>
          </cell>
        </row>
        <row r="859">
          <cell r="C859" t="str">
            <v>ARES1240</v>
          </cell>
          <cell r="D859" t="str">
            <v>CORE</v>
          </cell>
          <cell r="E859" t="str">
            <v>CO25</v>
          </cell>
          <cell r="F859">
            <v>2699</v>
          </cell>
          <cell r="G859" t="str">
            <v>AN</v>
          </cell>
          <cell r="H859" t="str">
            <v>ARRANMWSH</v>
          </cell>
          <cell r="I859" t="str">
            <v>ARES1240005</v>
          </cell>
          <cell r="J859" t="str">
            <v>42</v>
          </cell>
          <cell r="K859" t="str">
            <v>SHIRT</v>
          </cell>
          <cell r="L859" t="str">
            <v>NOD</v>
          </cell>
        </row>
        <row r="860">
          <cell r="C860" t="str">
            <v>ARES1240</v>
          </cell>
          <cell r="D860" t="str">
            <v>CORE</v>
          </cell>
          <cell r="E860" t="str">
            <v>CO25</v>
          </cell>
          <cell r="F860">
            <v>2699</v>
          </cell>
          <cell r="G860" t="str">
            <v>AN</v>
          </cell>
          <cell r="H860" t="str">
            <v>ARRANMWSH</v>
          </cell>
          <cell r="I860" t="str">
            <v>ARES1240006</v>
          </cell>
          <cell r="J860" t="str">
            <v>44</v>
          </cell>
          <cell r="K860" t="str">
            <v>SHIRT</v>
          </cell>
          <cell r="L860" t="str">
            <v>NOD</v>
          </cell>
        </row>
        <row r="861">
          <cell r="C861" t="str">
            <v>ARES1240</v>
          </cell>
          <cell r="D861" t="str">
            <v>CORE</v>
          </cell>
          <cell r="E861" t="str">
            <v>CO25</v>
          </cell>
          <cell r="F861">
            <v>3054</v>
          </cell>
          <cell r="G861" t="str">
            <v>AN</v>
          </cell>
          <cell r="H861" t="str">
            <v>ARRANMWSH</v>
          </cell>
          <cell r="I861" t="str">
            <v>ARES1240007</v>
          </cell>
          <cell r="J861" t="str">
            <v>46</v>
          </cell>
          <cell r="K861" t="str">
            <v>SHIRT</v>
          </cell>
          <cell r="L861" t="str">
            <v>NOD</v>
          </cell>
        </row>
        <row r="862">
          <cell r="C862" t="str">
            <v>ARES1240</v>
          </cell>
          <cell r="D862" t="str">
            <v>CORE</v>
          </cell>
          <cell r="E862" t="str">
            <v>CO25</v>
          </cell>
          <cell r="F862">
            <v>3054</v>
          </cell>
          <cell r="G862" t="str">
            <v>AN</v>
          </cell>
          <cell r="H862" t="str">
            <v>ARRANMWSH</v>
          </cell>
          <cell r="I862" t="str">
            <v>ARES1240008</v>
          </cell>
          <cell r="J862" t="str">
            <v>48</v>
          </cell>
          <cell r="K862" t="str">
            <v>SHIRT</v>
          </cell>
          <cell r="L862" t="str">
            <v>NOD</v>
          </cell>
        </row>
        <row r="863">
          <cell r="C863" t="str">
            <v>ARES1240</v>
          </cell>
          <cell r="D863" t="str">
            <v>CORE</v>
          </cell>
          <cell r="E863" t="str">
            <v>CO25</v>
          </cell>
          <cell r="F863">
            <v>3054</v>
          </cell>
          <cell r="G863" t="str">
            <v>AN</v>
          </cell>
          <cell r="H863" t="str">
            <v>ARRANMWSH</v>
          </cell>
          <cell r="I863" t="str">
            <v>ARES1240009</v>
          </cell>
          <cell r="J863" t="str">
            <v>50</v>
          </cell>
          <cell r="K863" t="str">
            <v>SHIRT</v>
          </cell>
          <cell r="L863" t="str">
            <v>NOD</v>
          </cell>
        </row>
        <row r="864">
          <cell r="C864" t="str">
            <v>ARES1240</v>
          </cell>
          <cell r="D864" t="str">
            <v>CORE</v>
          </cell>
          <cell r="E864" t="str">
            <v>CO25</v>
          </cell>
          <cell r="F864">
            <v>3054</v>
          </cell>
          <cell r="G864" t="str">
            <v>AN</v>
          </cell>
          <cell r="H864" t="str">
            <v>ARRANMWSH</v>
          </cell>
          <cell r="I864" t="str">
            <v>ARES1240010</v>
          </cell>
          <cell r="J864" t="str">
            <v>52</v>
          </cell>
          <cell r="K864" t="str">
            <v>SHIRT</v>
          </cell>
          <cell r="L864" t="str">
            <v>NOD</v>
          </cell>
        </row>
        <row r="865">
          <cell r="C865" t="str">
            <v>ARES1240G</v>
          </cell>
          <cell r="D865" t="str">
            <v>CORE</v>
          </cell>
          <cell r="E865" t="str">
            <v>CO26</v>
          </cell>
          <cell r="F865">
            <v>2599</v>
          </cell>
          <cell r="G865" t="str">
            <v>AN</v>
          </cell>
          <cell r="H865" t="str">
            <v>ARRANMWSH</v>
          </cell>
          <cell r="I865" t="str">
            <v>ARES1240G001</v>
          </cell>
          <cell r="J865" t="str">
            <v>36</v>
          </cell>
          <cell r="K865" t="str">
            <v>SHIRT</v>
          </cell>
          <cell r="L865" t="str">
            <v>NOD</v>
          </cell>
        </row>
        <row r="866">
          <cell r="C866" t="str">
            <v>ARES1240G</v>
          </cell>
          <cell r="D866" t="str">
            <v>CORE</v>
          </cell>
          <cell r="E866" t="str">
            <v>CO26</v>
          </cell>
          <cell r="F866">
            <v>2599</v>
          </cell>
          <cell r="G866" t="str">
            <v>AN</v>
          </cell>
          <cell r="H866" t="str">
            <v>ARRANMWSH</v>
          </cell>
          <cell r="I866" t="str">
            <v>ARES1240G002</v>
          </cell>
          <cell r="J866" t="str">
            <v>38</v>
          </cell>
          <cell r="K866" t="str">
            <v>SHIRT</v>
          </cell>
          <cell r="L866" t="str">
            <v>NOD</v>
          </cell>
        </row>
        <row r="867">
          <cell r="C867" t="str">
            <v>ARES1240G</v>
          </cell>
          <cell r="D867" t="str">
            <v>CORE</v>
          </cell>
          <cell r="E867" t="str">
            <v>CO26</v>
          </cell>
          <cell r="F867">
            <v>2599</v>
          </cell>
          <cell r="G867" t="str">
            <v>AN</v>
          </cell>
          <cell r="H867" t="str">
            <v>ARRANMWSH</v>
          </cell>
          <cell r="I867" t="str">
            <v>ARES1240G003</v>
          </cell>
          <cell r="J867" t="str">
            <v>39</v>
          </cell>
          <cell r="K867" t="str">
            <v>SHIRT</v>
          </cell>
          <cell r="L867" t="str">
            <v>NOD</v>
          </cell>
        </row>
        <row r="868">
          <cell r="C868" t="str">
            <v>ARES1240G</v>
          </cell>
          <cell r="D868" t="str">
            <v>CORE</v>
          </cell>
          <cell r="E868" t="str">
            <v>CO26</v>
          </cell>
          <cell r="F868">
            <v>2599</v>
          </cell>
          <cell r="G868" t="str">
            <v>AN</v>
          </cell>
          <cell r="H868" t="str">
            <v>ARRANMWSH</v>
          </cell>
          <cell r="I868" t="str">
            <v>ARES1240G004</v>
          </cell>
          <cell r="J868" t="str">
            <v>40</v>
          </cell>
          <cell r="K868" t="str">
            <v>SHIRT</v>
          </cell>
          <cell r="L868" t="str">
            <v>NOD</v>
          </cell>
        </row>
        <row r="869">
          <cell r="C869" t="str">
            <v>ARES1240G</v>
          </cell>
          <cell r="D869" t="str">
            <v>CORE</v>
          </cell>
          <cell r="E869" t="str">
            <v>CO26</v>
          </cell>
          <cell r="F869">
            <v>2599</v>
          </cell>
          <cell r="G869" t="str">
            <v>AN</v>
          </cell>
          <cell r="H869" t="str">
            <v>ARRANMWSH</v>
          </cell>
          <cell r="I869" t="str">
            <v>ARES1240G005</v>
          </cell>
          <cell r="J869" t="str">
            <v>42</v>
          </cell>
          <cell r="K869" t="str">
            <v>SHIRT</v>
          </cell>
          <cell r="L869" t="str">
            <v>NOD</v>
          </cell>
        </row>
        <row r="870">
          <cell r="C870" t="str">
            <v>ARES1240G</v>
          </cell>
          <cell r="D870" t="str">
            <v>CORE</v>
          </cell>
          <cell r="E870" t="str">
            <v>CO26</v>
          </cell>
          <cell r="F870">
            <v>2599</v>
          </cell>
          <cell r="G870" t="str">
            <v>AN</v>
          </cell>
          <cell r="H870" t="str">
            <v>ARRANMWSH</v>
          </cell>
          <cell r="I870" t="str">
            <v>ARES1240G006</v>
          </cell>
          <cell r="J870" t="str">
            <v>44</v>
          </cell>
          <cell r="K870" t="str">
            <v>SHIRT</v>
          </cell>
          <cell r="L870" t="str">
            <v>NOD</v>
          </cell>
        </row>
        <row r="871">
          <cell r="C871" t="str">
            <v>ARES1240G</v>
          </cell>
          <cell r="D871" t="str">
            <v>CORE</v>
          </cell>
          <cell r="E871" t="str">
            <v>CO26</v>
          </cell>
          <cell r="F871">
            <v>2599</v>
          </cell>
          <cell r="G871" t="str">
            <v>AN</v>
          </cell>
          <cell r="H871" t="str">
            <v>ARRANMWSH</v>
          </cell>
          <cell r="I871" t="str">
            <v>ARES1240G007</v>
          </cell>
          <cell r="J871" t="str">
            <v>46</v>
          </cell>
          <cell r="K871" t="str">
            <v>SHIRT</v>
          </cell>
          <cell r="L871" t="str">
            <v>NOD</v>
          </cell>
        </row>
        <row r="872">
          <cell r="C872" t="str">
            <v>ARES1240G</v>
          </cell>
          <cell r="D872" t="str">
            <v>CORE</v>
          </cell>
          <cell r="E872" t="str">
            <v>CO26</v>
          </cell>
          <cell r="F872">
            <v>2599</v>
          </cell>
          <cell r="G872" t="str">
            <v>AN</v>
          </cell>
          <cell r="H872" t="str">
            <v>ARRANMWSH</v>
          </cell>
          <cell r="I872" t="str">
            <v>ARES1240G008</v>
          </cell>
          <cell r="J872" t="str">
            <v>48</v>
          </cell>
          <cell r="K872" t="str">
            <v>SHIRT</v>
          </cell>
          <cell r="L872" t="str">
            <v>NOD</v>
          </cell>
        </row>
        <row r="873">
          <cell r="C873" t="str">
            <v>ARES1240G</v>
          </cell>
          <cell r="D873" t="str">
            <v>CORE</v>
          </cell>
          <cell r="E873" t="str">
            <v>CO26</v>
          </cell>
          <cell r="F873">
            <v>2599</v>
          </cell>
          <cell r="G873" t="str">
            <v>AN</v>
          </cell>
          <cell r="H873" t="str">
            <v>ARRANMWSH</v>
          </cell>
          <cell r="I873" t="str">
            <v>ARES1240G009</v>
          </cell>
          <cell r="J873" t="str">
            <v>50</v>
          </cell>
          <cell r="K873" t="str">
            <v>SHIRT</v>
          </cell>
          <cell r="L873" t="str">
            <v>NOD</v>
          </cell>
        </row>
        <row r="874">
          <cell r="C874" t="str">
            <v>ARES1240G</v>
          </cell>
          <cell r="D874" t="str">
            <v>CORE</v>
          </cell>
          <cell r="E874" t="str">
            <v>CO26</v>
          </cell>
          <cell r="F874">
            <v>2599</v>
          </cell>
          <cell r="G874" t="str">
            <v>AN</v>
          </cell>
          <cell r="H874" t="str">
            <v>ARRANMWSH</v>
          </cell>
          <cell r="I874" t="str">
            <v>ARES1240G010</v>
          </cell>
          <cell r="J874" t="str">
            <v>52</v>
          </cell>
          <cell r="K874" t="str">
            <v>SHIRT</v>
          </cell>
          <cell r="L874" t="str">
            <v>NOD</v>
          </cell>
        </row>
        <row r="875">
          <cell r="C875" t="str">
            <v>ARES1241</v>
          </cell>
          <cell r="D875" t="str">
            <v>CORE</v>
          </cell>
          <cell r="E875" t="str">
            <v>CO25</v>
          </cell>
          <cell r="F875">
            <v>2699</v>
          </cell>
          <cell r="G875" t="str">
            <v>AN</v>
          </cell>
          <cell r="H875" t="str">
            <v>ARRANMWSH</v>
          </cell>
          <cell r="I875" t="str">
            <v>ARES1241001</v>
          </cell>
          <cell r="J875" t="str">
            <v>36</v>
          </cell>
          <cell r="K875" t="str">
            <v>SHIRT</v>
          </cell>
          <cell r="L875" t="str">
            <v>NOD</v>
          </cell>
        </row>
        <row r="876">
          <cell r="C876" t="str">
            <v>ARES1241</v>
          </cell>
          <cell r="D876" t="str">
            <v>CORE</v>
          </cell>
          <cell r="E876" t="str">
            <v>CO25</v>
          </cell>
          <cell r="F876">
            <v>2699</v>
          </cell>
          <cell r="G876" t="str">
            <v>AN</v>
          </cell>
          <cell r="H876" t="str">
            <v>ARRANMWSH</v>
          </cell>
          <cell r="I876" t="str">
            <v>ARES1241002</v>
          </cell>
          <cell r="J876" t="str">
            <v>38</v>
          </cell>
          <cell r="K876" t="str">
            <v>SHIRT</v>
          </cell>
          <cell r="L876" t="str">
            <v>NOD</v>
          </cell>
        </row>
        <row r="877">
          <cell r="C877" t="str">
            <v>ARES1241</v>
          </cell>
          <cell r="D877" t="str">
            <v>CORE</v>
          </cell>
          <cell r="E877" t="str">
            <v>CO25</v>
          </cell>
          <cell r="F877">
            <v>2699</v>
          </cell>
          <cell r="G877" t="str">
            <v>AN</v>
          </cell>
          <cell r="H877" t="str">
            <v>ARRANMWSH</v>
          </cell>
          <cell r="I877" t="str">
            <v>ARES1241003</v>
          </cell>
          <cell r="J877" t="str">
            <v>39</v>
          </cell>
          <cell r="K877" t="str">
            <v>SHIRT</v>
          </cell>
          <cell r="L877" t="str">
            <v>NOD</v>
          </cell>
        </row>
        <row r="878">
          <cell r="C878" t="str">
            <v>ARES1241</v>
          </cell>
          <cell r="D878" t="str">
            <v>CORE</v>
          </cell>
          <cell r="E878" t="str">
            <v>CO25</v>
          </cell>
          <cell r="F878">
            <v>2699</v>
          </cell>
          <cell r="G878" t="str">
            <v>AN</v>
          </cell>
          <cell r="H878" t="str">
            <v>ARRANMWSH</v>
          </cell>
          <cell r="I878" t="str">
            <v>ARES1241004</v>
          </cell>
          <cell r="J878" t="str">
            <v>40</v>
          </cell>
          <cell r="K878" t="str">
            <v>SHIRT</v>
          </cell>
          <cell r="L878" t="str">
            <v>NOD</v>
          </cell>
        </row>
        <row r="879">
          <cell r="C879" t="str">
            <v>ARES1241</v>
          </cell>
          <cell r="D879" t="str">
            <v>CORE</v>
          </cell>
          <cell r="E879" t="str">
            <v>CO25</v>
          </cell>
          <cell r="F879">
            <v>2699</v>
          </cell>
          <cell r="G879" t="str">
            <v>AN</v>
          </cell>
          <cell r="H879" t="str">
            <v>ARRANMWSH</v>
          </cell>
          <cell r="I879" t="str">
            <v>ARES1241005</v>
          </cell>
          <cell r="J879" t="str">
            <v>42</v>
          </cell>
          <cell r="K879" t="str">
            <v>SHIRT</v>
          </cell>
          <cell r="L879" t="str">
            <v>NOD</v>
          </cell>
        </row>
        <row r="880">
          <cell r="C880" t="str">
            <v>ARES1241</v>
          </cell>
          <cell r="D880" t="str">
            <v>CORE</v>
          </cell>
          <cell r="E880" t="str">
            <v>CO25</v>
          </cell>
          <cell r="F880">
            <v>2699</v>
          </cell>
          <cell r="G880" t="str">
            <v>AN</v>
          </cell>
          <cell r="H880" t="str">
            <v>ARRANMWSH</v>
          </cell>
          <cell r="I880" t="str">
            <v>ARES1241006</v>
          </cell>
          <cell r="J880" t="str">
            <v>44</v>
          </cell>
          <cell r="K880" t="str">
            <v>SHIRT</v>
          </cell>
          <cell r="L880" t="str">
            <v>NOD</v>
          </cell>
        </row>
        <row r="881">
          <cell r="C881" t="str">
            <v>ARES1241</v>
          </cell>
          <cell r="D881" t="str">
            <v>CORE</v>
          </cell>
          <cell r="E881" t="str">
            <v>CO25</v>
          </cell>
          <cell r="F881">
            <v>3054</v>
          </cell>
          <cell r="G881" t="str">
            <v>AN</v>
          </cell>
          <cell r="H881" t="str">
            <v>ARRANMWSH</v>
          </cell>
          <cell r="I881" t="str">
            <v>ARES1241007</v>
          </cell>
          <cell r="J881" t="str">
            <v>46</v>
          </cell>
          <cell r="K881" t="str">
            <v>SHIRT</v>
          </cell>
          <cell r="L881" t="str">
            <v>NOD</v>
          </cell>
        </row>
        <row r="882">
          <cell r="C882" t="str">
            <v>ARES1241</v>
          </cell>
          <cell r="D882" t="str">
            <v>CORE</v>
          </cell>
          <cell r="E882" t="str">
            <v>CO25</v>
          </cell>
          <cell r="F882">
            <v>3054</v>
          </cell>
          <cell r="G882" t="str">
            <v>AN</v>
          </cell>
          <cell r="H882" t="str">
            <v>ARRANMWSH</v>
          </cell>
          <cell r="I882" t="str">
            <v>ARES1241008</v>
          </cell>
          <cell r="J882" t="str">
            <v>48</v>
          </cell>
          <cell r="K882" t="str">
            <v>SHIRT</v>
          </cell>
          <cell r="L882" t="str">
            <v>NOD</v>
          </cell>
        </row>
        <row r="883">
          <cell r="C883" t="str">
            <v>ARES1241</v>
          </cell>
          <cell r="D883" t="str">
            <v>CORE</v>
          </cell>
          <cell r="E883" t="str">
            <v>CO25</v>
          </cell>
          <cell r="F883">
            <v>3054</v>
          </cell>
          <cell r="G883" t="str">
            <v>AN</v>
          </cell>
          <cell r="H883" t="str">
            <v>ARRANMWSH</v>
          </cell>
          <cell r="I883" t="str">
            <v>ARES1241009</v>
          </cell>
          <cell r="J883" t="str">
            <v>50</v>
          </cell>
          <cell r="K883" t="str">
            <v>SHIRT</v>
          </cell>
          <cell r="L883" t="str">
            <v>NOD</v>
          </cell>
        </row>
        <row r="884">
          <cell r="C884" t="str">
            <v>ARES1241</v>
          </cell>
          <cell r="D884" t="str">
            <v>CORE</v>
          </cell>
          <cell r="E884" t="str">
            <v>CO25</v>
          </cell>
          <cell r="F884">
            <v>3054</v>
          </cell>
          <cell r="G884" t="str">
            <v>AN</v>
          </cell>
          <cell r="H884" t="str">
            <v>ARRANMWSH</v>
          </cell>
          <cell r="I884" t="str">
            <v>ARES1241010</v>
          </cell>
          <cell r="J884" t="str">
            <v>52</v>
          </cell>
          <cell r="K884" t="str">
            <v>SHIRT</v>
          </cell>
          <cell r="L884" t="str">
            <v>NOD</v>
          </cell>
        </row>
        <row r="885">
          <cell r="C885" t="str">
            <v>ARES1241G</v>
          </cell>
          <cell r="D885" t="str">
            <v>CORE</v>
          </cell>
          <cell r="E885" t="str">
            <v>CO26</v>
          </cell>
          <cell r="F885">
            <v>2599</v>
          </cell>
          <cell r="G885" t="str">
            <v>AN</v>
          </cell>
          <cell r="H885" t="str">
            <v>ARRANMWSH</v>
          </cell>
          <cell r="I885" t="str">
            <v>ARES1241G001</v>
          </cell>
          <cell r="J885" t="str">
            <v>36</v>
          </cell>
          <cell r="K885" t="str">
            <v>SHIRT</v>
          </cell>
          <cell r="L885" t="str">
            <v>NOD</v>
          </cell>
        </row>
        <row r="886">
          <cell r="C886" t="str">
            <v>ARES1241G</v>
          </cell>
          <cell r="D886" t="str">
            <v>CORE</v>
          </cell>
          <cell r="E886" t="str">
            <v>CO26</v>
          </cell>
          <cell r="F886">
            <v>2599</v>
          </cell>
          <cell r="G886" t="str">
            <v>AN</v>
          </cell>
          <cell r="H886" t="str">
            <v>ARRANMWSH</v>
          </cell>
          <cell r="I886" t="str">
            <v>ARES1241G002</v>
          </cell>
          <cell r="J886" t="str">
            <v>38</v>
          </cell>
          <cell r="K886" t="str">
            <v>SHIRT</v>
          </cell>
          <cell r="L886" t="str">
            <v>NOD</v>
          </cell>
        </row>
        <row r="887">
          <cell r="C887" t="str">
            <v>ARES1241G</v>
          </cell>
          <cell r="D887" t="str">
            <v>CORE</v>
          </cell>
          <cell r="E887" t="str">
            <v>CO26</v>
          </cell>
          <cell r="F887">
            <v>2599</v>
          </cell>
          <cell r="G887" t="str">
            <v>AN</v>
          </cell>
          <cell r="H887" t="str">
            <v>ARRANMWSH</v>
          </cell>
          <cell r="I887" t="str">
            <v>ARES1241G003</v>
          </cell>
          <cell r="J887" t="str">
            <v>39</v>
          </cell>
          <cell r="K887" t="str">
            <v>SHIRT</v>
          </cell>
          <cell r="L887" t="str">
            <v>NOD</v>
          </cell>
        </row>
        <row r="888">
          <cell r="C888" t="str">
            <v>ARES1241G</v>
          </cell>
          <cell r="D888" t="str">
            <v>CORE</v>
          </cell>
          <cell r="E888" t="str">
            <v>CO26</v>
          </cell>
          <cell r="F888">
            <v>2599</v>
          </cell>
          <cell r="G888" t="str">
            <v>AN</v>
          </cell>
          <cell r="H888" t="str">
            <v>ARRANMWSH</v>
          </cell>
          <cell r="I888" t="str">
            <v>ARES1241G004</v>
          </cell>
          <cell r="J888" t="str">
            <v>40</v>
          </cell>
          <cell r="K888" t="str">
            <v>SHIRT</v>
          </cell>
          <cell r="L888" t="str">
            <v>NOD</v>
          </cell>
        </row>
        <row r="889">
          <cell r="C889" t="str">
            <v>ARES1241G</v>
          </cell>
          <cell r="D889" t="str">
            <v>CORE</v>
          </cell>
          <cell r="E889" t="str">
            <v>CO26</v>
          </cell>
          <cell r="F889">
            <v>2599</v>
          </cell>
          <cell r="G889" t="str">
            <v>AN</v>
          </cell>
          <cell r="H889" t="str">
            <v>ARRANMWSH</v>
          </cell>
          <cell r="I889" t="str">
            <v>ARES1241G005</v>
          </cell>
          <cell r="J889" t="str">
            <v>42</v>
          </cell>
          <cell r="K889" t="str">
            <v>SHIRT</v>
          </cell>
          <cell r="L889" t="str">
            <v>NOD</v>
          </cell>
        </row>
        <row r="890">
          <cell r="C890" t="str">
            <v>ARES1241G</v>
          </cell>
          <cell r="D890" t="str">
            <v>CORE</v>
          </cell>
          <cell r="E890" t="str">
            <v>CO26</v>
          </cell>
          <cell r="F890">
            <v>2599</v>
          </cell>
          <cell r="G890" t="str">
            <v>AN</v>
          </cell>
          <cell r="H890" t="str">
            <v>ARRANMWSH</v>
          </cell>
          <cell r="I890" t="str">
            <v>ARES1241G006</v>
          </cell>
          <cell r="J890" t="str">
            <v>44</v>
          </cell>
          <cell r="K890" t="str">
            <v>SHIRT</v>
          </cell>
          <cell r="L890" t="str">
            <v>NOD</v>
          </cell>
        </row>
        <row r="891">
          <cell r="C891" t="str">
            <v>ARES1241G</v>
          </cell>
          <cell r="D891" t="str">
            <v>CORE</v>
          </cell>
          <cell r="E891" t="str">
            <v>CO26</v>
          </cell>
          <cell r="F891">
            <v>2599</v>
          </cell>
          <cell r="G891" t="str">
            <v>AN</v>
          </cell>
          <cell r="H891" t="str">
            <v>ARRANMWSH</v>
          </cell>
          <cell r="I891" t="str">
            <v>ARES1241G007</v>
          </cell>
          <cell r="J891" t="str">
            <v>46</v>
          </cell>
          <cell r="K891" t="str">
            <v>SHIRT</v>
          </cell>
          <cell r="L891" t="str">
            <v>NOD</v>
          </cell>
        </row>
        <row r="892">
          <cell r="C892" t="str">
            <v>ARES1241G</v>
          </cell>
          <cell r="D892" t="str">
            <v>CORE</v>
          </cell>
          <cell r="E892" t="str">
            <v>CO26</v>
          </cell>
          <cell r="F892">
            <v>2599</v>
          </cell>
          <cell r="G892" t="str">
            <v>AN</v>
          </cell>
          <cell r="H892" t="str">
            <v>ARRANMWSH</v>
          </cell>
          <cell r="I892" t="str">
            <v>ARES1241G008</v>
          </cell>
          <cell r="J892" t="str">
            <v>48</v>
          </cell>
          <cell r="K892" t="str">
            <v>SHIRT</v>
          </cell>
          <cell r="L892" t="str">
            <v>NOD</v>
          </cell>
        </row>
        <row r="893">
          <cell r="C893" t="str">
            <v>ARES1241G</v>
          </cell>
          <cell r="D893" t="str">
            <v>CORE</v>
          </cell>
          <cell r="E893" t="str">
            <v>CO26</v>
          </cell>
          <cell r="F893">
            <v>2599</v>
          </cell>
          <cell r="G893" t="str">
            <v>AN</v>
          </cell>
          <cell r="H893" t="str">
            <v>ARRANMWSH</v>
          </cell>
          <cell r="I893" t="str">
            <v>ARES1241G009</v>
          </cell>
          <cell r="J893" t="str">
            <v>50</v>
          </cell>
          <cell r="K893" t="str">
            <v>SHIRT</v>
          </cell>
          <cell r="L893" t="str">
            <v>NOD</v>
          </cell>
        </row>
        <row r="894">
          <cell r="C894" t="str">
            <v>ARES1241G</v>
          </cell>
          <cell r="D894" t="str">
            <v>CORE</v>
          </cell>
          <cell r="E894" t="str">
            <v>CO26</v>
          </cell>
          <cell r="F894">
            <v>2599</v>
          </cell>
          <cell r="G894" t="str">
            <v>AN</v>
          </cell>
          <cell r="H894" t="str">
            <v>ARRANMWSH</v>
          </cell>
          <cell r="I894" t="str">
            <v>ARES1241G010</v>
          </cell>
          <cell r="J894" t="str">
            <v>52</v>
          </cell>
          <cell r="K894" t="str">
            <v>SHIRT</v>
          </cell>
          <cell r="L894" t="str">
            <v>NOD</v>
          </cell>
        </row>
        <row r="895">
          <cell r="C895" t="str">
            <v>ARES1242</v>
          </cell>
          <cell r="D895" t="str">
            <v>CORE</v>
          </cell>
          <cell r="E895" t="str">
            <v>CO25</v>
          </cell>
          <cell r="F895">
            <v>2699</v>
          </cell>
          <cell r="G895" t="str">
            <v>AN</v>
          </cell>
          <cell r="H895" t="str">
            <v>ARRANMWSH</v>
          </cell>
          <cell r="I895" t="str">
            <v>ARES1242001</v>
          </cell>
          <cell r="J895" t="str">
            <v>36</v>
          </cell>
          <cell r="K895" t="str">
            <v>SHIRT</v>
          </cell>
          <cell r="L895" t="str">
            <v>NOD</v>
          </cell>
        </row>
        <row r="896">
          <cell r="C896" t="str">
            <v>ARES1242</v>
          </cell>
          <cell r="D896" t="str">
            <v>CORE</v>
          </cell>
          <cell r="E896" t="str">
            <v>CO25</v>
          </cell>
          <cell r="F896">
            <v>2699</v>
          </cell>
          <cell r="G896" t="str">
            <v>AN</v>
          </cell>
          <cell r="H896" t="str">
            <v>ARRANMWSH</v>
          </cell>
          <cell r="I896" t="str">
            <v>ARES1242002</v>
          </cell>
          <cell r="J896" t="str">
            <v>38</v>
          </cell>
          <cell r="K896" t="str">
            <v>SHIRT</v>
          </cell>
          <cell r="L896" t="str">
            <v>NOD</v>
          </cell>
        </row>
        <row r="897">
          <cell r="C897" t="str">
            <v>ARES1242</v>
          </cell>
          <cell r="D897" t="str">
            <v>CORE</v>
          </cell>
          <cell r="E897" t="str">
            <v>CO25</v>
          </cell>
          <cell r="F897">
            <v>2699</v>
          </cell>
          <cell r="G897" t="str">
            <v>AN</v>
          </cell>
          <cell r="H897" t="str">
            <v>ARRANMWSH</v>
          </cell>
          <cell r="I897" t="str">
            <v>ARES1242003</v>
          </cell>
          <cell r="J897" t="str">
            <v>39</v>
          </cell>
          <cell r="K897" t="str">
            <v>SHIRT</v>
          </cell>
          <cell r="L897" t="str">
            <v>NOD</v>
          </cell>
        </row>
        <row r="898">
          <cell r="C898" t="str">
            <v>ARES1242</v>
          </cell>
          <cell r="D898" t="str">
            <v>CORE</v>
          </cell>
          <cell r="E898" t="str">
            <v>CO25</v>
          </cell>
          <cell r="F898">
            <v>2699</v>
          </cell>
          <cell r="G898" t="str">
            <v>AN</v>
          </cell>
          <cell r="H898" t="str">
            <v>ARRANMWSH</v>
          </cell>
          <cell r="I898" t="str">
            <v>ARES1242004</v>
          </cell>
          <cell r="J898" t="str">
            <v>40</v>
          </cell>
          <cell r="K898" t="str">
            <v>SHIRT</v>
          </cell>
          <cell r="L898" t="str">
            <v>NOD</v>
          </cell>
        </row>
        <row r="899">
          <cell r="C899" t="str">
            <v>ARES1242</v>
          </cell>
          <cell r="D899" t="str">
            <v>CORE</v>
          </cell>
          <cell r="E899" t="str">
            <v>CO25</v>
          </cell>
          <cell r="F899">
            <v>2699</v>
          </cell>
          <cell r="G899" t="str">
            <v>AN</v>
          </cell>
          <cell r="H899" t="str">
            <v>ARRANMWSH</v>
          </cell>
          <cell r="I899" t="str">
            <v>ARES1242005</v>
          </cell>
          <cell r="J899" t="str">
            <v>42</v>
          </cell>
          <cell r="K899" t="str">
            <v>SHIRT</v>
          </cell>
          <cell r="L899" t="str">
            <v>NOD</v>
          </cell>
        </row>
        <row r="900">
          <cell r="C900" t="str">
            <v>ARES1242</v>
          </cell>
          <cell r="D900" t="str">
            <v>CORE</v>
          </cell>
          <cell r="E900" t="str">
            <v>CO25</v>
          </cell>
          <cell r="F900">
            <v>2699</v>
          </cell>
          <cell r="G900" t="str">
            <v>AN</v>
          </cell>
          <cell r="H900" t="str">
            <v>ARRANMWSH</v>
          </cell>
          <cell r="I900" t="str">
            <v>ARES1242006</v>
          </cell>
          <cell r="J900" t="str">
            <v>44</v>
          </cell>
          <cell r="K900" t="str">
            <v>SHIRT</v>
          </cell>
          <cell r="L900" t="str">
            <v>NOD</v>
          </cell>
        </row>
        <row r="901">
          <cell r="C901" t="str">
            <v>ARES1242</v>
          </cell>
          <cell r="D901" t="str">
            <v>CORE</v>
          </cell>
          <cell r="E901" t="str">
            <v>CO25</v>
          </cell>
          <cell r="F901">
            <v>3054</v>
          </cell>
          <cell r="G901" t="str">
            <v>AN</v>
          </cell>
          <cell r="H901" t="str">
            <v>ARRANMWSH</v>
          </cell>
          <cell r="I901" t="str">
            <v>ARES1242007</v>
          </cell>
          <cell r="J901" t="str">
            <v>46</v>
          </cell>
          <cell r="K901" t="str">
            <v>SHIRT</v>
          </cell>
          <cell r="L901" t="str">
            <v>NOD</v>
          </cell>
        </row>
        <row r="902">
          <cell r="C902" t="str">
            <v>ARES1242</v>
          </cell>
          <cell r="D902" t="str">
            <v>CORE</v>
          </cell>
          <cell r="E902" t="str">
            <v>CO25</v>
          </cell>
          <cell r="F902">
            <v>3054</v>
          </cell>
          <cell r="G902" t="str">
            <v>AN</v>
          </cell>
          <cell r="H902" t="str">
            <v>ARRANMWSH</v>
          </cell>
          <cell r="I902" t="str">
            <v>ARES1242008</v>
          </cell>
          <cell r="J902" t="str">
            <v>48</v>
          </cell>
          <cell r="K902" t="str">
            <v>SHIRT</v>
          </cell>
          <cell r="L902" t="str">
            <v>NOD</v>
          </cell>
        </row>
        <row r="903">
          <cell r="C903" t="str">
            <v>ARES1242</v>
          </cell>
          <cell r="D903" t="str">
            <v>CORE</v>
          </cell>
          <cell r="E903" t="str">
            <v>CO25</v>
          </cell>
          <cell r="F903">
            <v>3054</v>
          </cell>
          <cell r="G903" t="str">
            <v>AN</v>
          </cell>
          <cell r="H903" t="str">
            <v>ARRANMWSH</v>
          </cell>
          <cell r="I903" t="str">
            <v>ARES1242009</v>
          </cell>
          <cell r="J903" t="str">
            <v>50</v>
          </cell>
          <cell r="K903" t="str">
            <v>SHIRT</v>
          </cell>
          <cell r="L903" t="str">
            <v>NOD</v>
          </cell>
        </row>
        <row r="904">
          <cell r="C904" t="str">
            <v>ARES1242</v>
          </cell>
          <cell r="D904" t="str">
            <v>CORE</v>
          </cell>
          <cell r="E904" t="str">
            <v>CO25</v>
          </cell>
          <cell r="F904">
            <v>3054</v>
          </cell>
          <cell r="G904" t="str">
            <v>AN</v>
          </cell>
          <cell r="H904" t="str">
            <v>ARRANMWSH</v>
          </cell>
          <cell r="I904" t="str">
            <v>ARES1242010</v>
          </cell>
          <cell r="J904" t="str">
            <v>52</v>
          </cell>
          <cell r="K904" t="str">
            <v>SHIRT</v>
          </cell>
          <cell r="L904" t="str">
            <v>NOD</v>
          </cell>
        </row>
        <row r="905">
          <cell r="C905" t="str">
            <v>ARES1242G</v>
          </cell>
          <cell r="D905" t="str">
            <v>CORE</v>
          </cell>
          <cell r="E905" t="str">
            <v>CO26</v>
          </cell>
          <cell r="F905">
            <v>2599</v>
          </cell>
          <cell r="G905" t="str">
            <v>AN</v>
          </cell>
          <cell r="H905" t="str">
            <v>ARRANMWSH</v>
          </cell>
          <cell r="I905" t="str">
            <v>ARES1242G001</v>
          </cell>
          <cell r="J905" t="str">
            <v>36</v>
          </cell>
          <cell r="K905" t="str">
            <v>SHIRT</v>
          </cell>
          <cell r="L905" t="str">
            <v>NOD</v>
          </cell>
        </row>
        <row r="906">
          <cell r="C906" t="str">
            <v>ARES1242G</v>
          </cell>
          <cell r="D906" t="str">
            <v>CORE</v>
          </cell>
          <cell r="E906" t="str">
            <v>CO26</v>
          </cell>
          <cell r="F906">
            <v>2599</v>
          </cell>
          <cell r="G906" t="str">
            <v>AN</v>
          </cell>
          <cell r="H906" t="str">
            <v>ARRANMWSH</v>
          </cell>
          <cell r="I906" t="str">
            <v>ARES1242G002</v>
          </cell>
          <cell r="J906" t="str">
            <v>38</v>
          </cell>
          <cell r="K906" t="str">
            <v>SHIRT</v>
          </cell>
          <cell r="L906" t="str">
            <v>NOD</v>
          </cell>
        </row>
        <row r="907">
          <cell r="C907" t="str">
            <v>ARES1242G</v>
          </cell>
          <cell r="D907" t="str">
            <v>CORE</v>
          </cell>
          <cell r="E907" t="str">
            <v>CO26</v>
          </cell>
          <cell r="F907">
            <v>2599</v>
          </cell>
          <cell r="G907" t="str">
            <v>AN</v>
          </cell>
          <cell r="H907" t="str">
            <v>ARRANMWSH</v>
          </cell>
          <cell r="I907" t="str">
            <v>ARES1242G003</v>
          </cell>
          <cell r="J907" t="str">
            <v>39</v>
          </cell>
          <cell r="K907" t="str">
            <v>SHIRT</v>
          </cell>
          <cell r="L907" t="str">
            <v>NOD</v>
          </cell>
        </row>
        <row r="908">
          <cell r="C908" t="str">
            <v>ARES1242G</v>
          </cell>
          <cell r="D908" t="str">
            <v>CORE</v>
          </cell>
          <cell r="E908" t="str">
            <v>CO26</v>
          </cell>
          <cell r="F908">
            <v>2599</v>
          </cell>
          <cell r="G908" t="str">
            <v>AN</v>
          </cell>
          <cell r="H908" t="str">
            <v>ARRANMWSH</v>
          </cell>
          <cell r="I908" t="str">
            <v>ARES1242G004</v>
          </cell>
          <cell r="J908" t="str">
            <v>40</v>
          </cell>
          <cell r="K908" t="str">
            <v>SHIRT</v>
          </cell>
          <cell r="L908" t="str">
            <v>NOD</v>
          </cell>
        </row>
        <row r="909">
          <cell r="C909" t="str">
            <v>ARES1242G</v>
          </cell>
          <cell r="D909" t="str">
            <v>CORE</v>
          </cell>
          <cell r="E909" t="str">
            <v>CO26</v>
          </cell>
          <cell r="F909">
            <v>2599</v>
          </cell>
          <cell r="G909" t="str">
            <v>AN</v>
          </cell>
          <cell r="H909" t="str">
            <v>ARRANMWSH</v>
          </cell>
          <cell r="I909" t="str">
            <v>ARES1242G005</v>
          </cell>
          <cell r="J909" t="str">
            <v>42</v>
          </cell>
          <cell r="K909" t="str">
            <v>SHIRT</v>
          </cell>
          <cell r="L909" t="str">
            <v>NOD</v>
          </cell>
        </row>
        <row r="910">
          <cell r="C910" t="str">
            <v>ARES1242G</v>
          </cell>
          <cell r="D910" t="str">
            <v>CORE</v>
          </cell>
          <cell r="E910" t="str">
            <v>CO26</v>
          </cell>
          <cell r="F910">
            <v>2599</v>
          </cell>
          <cell r="G910" t="str">
            <v>AN</v>
          </cell>
          <cell r="H910" t="str">
            <v>ARRANMWSH</v>
          </cell>
          <cell r="I910" t="str">
            <v>ARES1242G006</v>
          </cell>
          <cell r="J910" t="str">
            <v>44</v>
          </cell>
          <cell r="K910" t="str">
            <v>SHIRT</v>
          </cell>
          <cell r="L910" t="str">
            <v>NOD</v>
          </cell>
        </row>
        <row r="911">
          <cell r="C911" t="str">
            <v>ARES1242G</v>
          </cell>
          <cell r="D911" t="str">
            <v>CORE</v>
          </cell>
          <cell r="E911" t="str">
            <v>CO26</v>
          </cell>
          <cell r="F911">
            <v>2599</v>
          </cell>
          <cell r="G911" t="str">
            <v>AN</v>
          </cell>
          <cell r="H911" t="str">
            <v>ARRANMWSH</v>
          </cell>
          <cell r="I911" t="str">
            <v>ARES1242G007</v>
          </cell>
          <cell r="J911" t="str">
            <v>46</v>
          </cell>
          <cell r="K911" t="str">
            <v>SHIRT</v>
          </cell>
          <cell r="L911" t="str">
            <v>NOD</v>
          </cell>
        </row>
        <row r="912">
          <cell r="C912" t="str">
            <v>ARES1242G</v>
          </cell>
          <cell r="D912" t="str">
            <v>CORE</v>
          </cell>
          <cell r="E912" t="str">
            <v>CO26</v>
          </cell>
          <cell r="F912">
            <v>2599</v>
          </cell>
          <cell r="G912" t="str">
            <v>AN</v>
          </cell>
          <cell r="H912" t="str">
            <v>ARRANMWSH</v>
          </cell>
          <cell r="I912" t="str">
            <v>ARES1242G008</v>
          </cell>
          <cell r="J912" t="str">
            <v>48</v>
          </cell>
          <cell r="K912" t="str">
            <v>SHIRT</v>
          </cell>
          <cell r="L912" t="str">
            <v>NOD</v>
          </cell>
        </row>
        <row r="913">
          <cell r="C913" t="str">
            <v>ARES1242G</v>
          </cell>
          <cell r="D913" t="str">
            <v>CORE</v>
          </cell>
          <cell r="E913" t="str">
            <v>CO26</v>
          </cell>
          <cell r="F913">
            <v>2599</v>
          </cell>
          <cell r="G913" t="str">
            <v>AN</v>
          </cell>
          <cell r="H913" t="str">
            <v>ARRANMWSH</v>
          </cell>
          <cell r="I913" t="str">
            <v>ARES1242G009</v>
          </cell>
          <cell r="J913" t="str">
            <v>50</v>
          </cell>
          <cell r="K913" t="str">
            <v>SHIRT</v>
          </cell>
          <cell r="L913" t="str">
            <v>NOD</v>
          </cell>
        </row>
        <row r="914">
          <cell r="C914" t="str">
            <v>ARES1242G</v>
          </cell>
          <cell r="D914" t="str">
            <v>CORE</v>
          </cell>
          <cell r="E914" t="str">
            <v>CO26</v>
          </cell>
          <cell r="F914">
            <v>2599</v>
          </cell>
          <cell r="G914" t="str">
            <v>AN</v>
          </cell>
          <cell r="H914" t="str">
            <v>ARRANMWSH</v>
          </cell>
          <cell r="I914" t="str">
            <v>ARES1242G010</v>
          </cell>
          <cell r="J914" t="str">
            <v>52</v>
          </cell>
          <cell r="K914" t="str">
            <v>SHIRT</v>
          </cell>
          <cell r="L914" t="str">
            <v>NOD</v>
          </cell>
        </row>
        <row r="915">
          <cell r="C915" t="str">
            <v>ARES1243</v>
          </cell>
          <cell r="D915" t="str">
            <v>CORE</v>
          </cell>
          <cell r="E915" t="str">
            <v>CO25</v>
          </cell>
          <cell r="F915">
            <v>2699</v>
          </cell>
          <cell r="G915" t="str">
            <v>AN</v>
          </cell>
          <cell r="H915" t="str">
            <v>ARRANMWSH</v>
          </cell>
          <cell r="I915" t="str">
            <v>ARES1243001</v>
          </cell>
          <cell r="J915" t="str">
            <v>36</v>
          </cell>
          <cell r="K915" t="str">
            <v>SHIRT</v>
          </cell>
          <cell r="L915" t="str">
            <v>NOD</v>
          </cell>
        </row>
        <row r="916">
          <cell r="C916" t="str">
            <v>ARES1243</v>
          </cell>
          <cell r="D916" t="str">
            <v>CORE</v>
          </cell>
          <cell r="E916" t="str">
            <v>CO25</v>
          </cell>
          <cell r="F916">
            <v>2699</v>
          </cell>
          <cell r="G916" t="str">
            <v>AN</v>
          </cell>
          <cell r="H916" t="str">
            <v>ARRANMWSH</v>
          </cell>
          <cell r="I916" t="str">
            <v>ARES1243002</v>
          </cell>
          <cell r="J916" t="str">
            <v>38</v>
          </cell>
          <cell r="K916" t="str">
            <v>SHIRT</v>
          </cell>
          <cell r="L916" t="str">
            <v>NOD</v>
          </cell>
        </row>
        <row r="917">
          <cell r="C917" t="str">
            <v>ARES1243</v>
          </cell>
          <cell r="D917" t="str">
            <v>CORE</v>
          </cell>
          <cell r="E917" t="str">
            <v>CO25</v>
          </cell>
          <cell r="F917">
            <v>2699</v>
          </cell>
          <cell r="G917" t="str">
            <v>AN</v>
          </cell>
          <cell r="H917" t="str">
            <v>ARRANMWSH</v>
          </cell>
          <cell r="I917" t="str">
            <v>ARES1243003</v>
          </cell>
          <cell r="J917" t="str">
            <v>39</v>
          </cell>
          <cell r="K917" t="str">
            <v>SHIRT</v>
          </cell>
          <cell r="L917" t="str">
            <v>NOD</v>
          </cell>
        </row>
        <row r="918">
          <cell r="C918" t="str">
            <v>ARES1243</v>
          </cell>
          <cell r="D918" t="str">
            <v>CORE</v>
          </cell>
          <cell r="E918" t="str">
            <v>CO25</v>
          </cell>
          <cell r="F918">
            <v>2699</v>
          </cell>
          <cell r="G918" t="str">
            <v>AN</v>
          </cell>
          <cell r="H918" t="str">
            <v>ARRANMWSH</v>
          </cell>
          <cell r="I918" t="str">
            <v>ARES1243004</v>
          </cell>
          <cell r="J918" t="str">
            <v>40</v>
          </cell>
          <cell r="K918" t="str">
            <v>SHIRT</v>
          </cell>
          <cell r="L918" t="str">
            <v>NOD</v>
          </cell>
        </row>
        <row r="919">
          <cell r="C919" t="str">
            <v>ARES1243</v>
          </cell>
          <cell r="D919" t="str">
            <v>CORE</v>
          </cell>
          <cell r="E919" t="str">
            <v>CO25</v>
          </cell>
          <cell r="F919">
            <v>2699</v>
          </cell>
          <cell r="G919" t="str">
            <v>AN</v>
          </cell>
          <cell r="H919" t="str">
            <v>ARRANMWSH</v>
          </cell>
          <cell r="I919" t="str">
            <v>ARES1243005</v>
          </cell>
          <cell r="J919" t="str">
            <v>42</v>
          </cell>
          <cell r="K919" t="str">
            <v>SHIRT</v>
          </cell>
          <cell r="L919" t="str">
            <v>NOD</v>
          </cell>
        </row>
        <row r="920">
          <cell r="C920" t="str">
            <v>ARES1243</v>
          </cell>
          <cell r="D920" t="str">
            <v>CORE</v>
          </cell>
          <cell r="E920" t="str">
            <v>CO25</v>
          </cell>
          <cell r="F920">
            <v>2699</v>
          </cell>
          <cell r="G920" t="str">
            <v>AN</v>
          </cell>
          <cell r="H920" t="str">
            <v>ARRANMWSH</v>
          </cell>
          <cell r="I920" t="str">
            <v>ARES1243006</v>
          </cell>
          <cell r="J920" t="str">
            <v>44</v>
          </cell>
          <cell r="K920" t="str">
            <v>SHIRT</v>
          </cell>
          <cell r="L920" t="str">
            <v>NOD</v>
          </cell>
        </row>
        <row r="921">
          <cell r="C921" t="str">
            <v>ARES1243</v>
          </cell>
          <cell r="D921" t="str">
            <v>CORE</v>
          </cell>
          <cell r="E921" t="str">
            <v>CO25</v>
          </cell>
          <cell r="F921">
            <v>3054.3</v>
          </cell>
          <cell r="G921" t="str">
            <v>AN</v>
          </cell>
          <cell r="H921" t="str">
            <v>ARRANMWSH</v>
          </cell>
          <cell r="I921" t="str">
            <v>ARES1243007</v>
          </cell>
          <cell r="J921" t="str">
            <v>46</v>
          </cell>
          <cell r="K921" t="str">
            <v>SHIRT</v>
          </cell>
          <cell r="L921" t="str">
            <v>NOD</v>
          </cell>
        </row>
        <row r="922">
          <cell r="C922" t="str">
            <v>ARES1243</v>
          </cell>
          <cell r="D922" t="str">
            <v>CORE</v>
          </cell>
          <cell r="E922" t="str">
            <v>CO25</v>
          </cell>
          <cell r="F922">
            <v>3054.3</v>
          </cell>
          <cell r="G922" t="str">
            <v>AN</v>
          </cell>
          <cell r="H922" t="str">
            <v>ARRANMWSH</v>
          </cell>
          <cell r="I922" t="str">
            <v>ARES1243008</v>
          </cell>
          <cell r="J922" t="str">
            <v>48</v>
          </cell>
          <cell r="K922" t="str">
            <v>SHIRT</v>
          </cell>
          <cell r="L922" t="str">
            <v>NOD</v>
          </cell>
        </row>
        <row r="923">
          <cell r="C923" t="str">
            <v>ARES1243</v>
          </cell>
          <cell r="D923" t="str">
            <v>CORE</v>
          </cell>
          <cell r="E923" t="str">
            <v>CO25</v>
          </cell>
          <cell r="F923">
            <v>3054.3</v>
          </cell>
          <cell r="G923" t="str">
            <v>AN</v>
          </cell>
          <cell r="H923" t="str">
            <v>ARRANMWSH</v>
          </cell>
          <cell r="I923" t="str">
            <v>ARES1243009</v>
          </cell>
          <cell r="J923" t="str">
            <v>50</v>
          </cell>
          <cell r="K923" t="str">
            <v>SHIRT</v>
          </cell>
          <cell r="L923" t="str">
            <v>NOD</v>
          </cell>
        </row>
        <row r="924">
          <cell r="C924" t="str">
            <v>ARES1243</v>
          </cell>
          <cell r="D924" t="str">
            <v>CORE</v>
          </cell>
          <cell r="E924" t="str">
            <v>CO25</v>
          </cell>
          <cell r="F924">
            <v>3054.3</v>
          </cell>
          <cell r="G924" t="str">
            <v>AN</v>
          </cell>
          <cell r="H924" t="str">
            <v>ARRANMWSH</v>
          </cell>
          <cell r="I924" t="str">
            <v>ARES1243010</v>
          </cell>
          <cell r="J924" t="str">
            <v>52</v>
          </cell>
          <cell r="K924" t="str">
            <v>SHIRT</v>
          </cell>
          <cell r="L924" t="str">
            <v>NOD</v>
          </cell>
        </row>
        <row r="925">
          <cell r="C925" t="str">
            <v>ARES1243G</v>
          </cell>
          <cell r="D925" t="str">
            <v>CORE</v>
          </cell>
          <cell r="E925" t="str">
            <v>CO26</v>
          </cell>
          <cell r="F925">
            <v>2599</v>
          </cell>
          <cell r="G925" t="str">
            <v>AN</v>
          </cell>
          <cell r="H925" t="str">
            <v>ARRANMWSH</v>
          </cell>
          <cell r="I925" t="str">
            <v>ARES1243G001</v>
          </cell>
          <cell r="J925" t="str">
            <v>36</v>
          </cell>
          <cell r="K925" t="str">
            <v>SHIRT</v>
          </cell>
          <cell r="L925" t="str">
            <v>NOD</v>
          </cell>
        </row>
        <row r="926">
          <cell r="C926" t="str">
            <v>ARES1243G</v>
          </cell>
          <cell r="D926" t="str">
            <v>CORE</v>
          </cell>
          <cell r="E926" t="str">
            <v>CO26</v>
          </cell>
          <cell r="F926">
            <v>2599</v>
          </cell>
          <cell r="G926" t="str">
            <v>AN</v>
          </cell>
          <cell r="H926" t="str">
            <v>ARRANMWSH</v>
          </cell>
          <cell r="I926" t="str">
            <v>ARES1243G002</v>
          </cell>
          <cell r="J926" t="str">
            <v>38</v>
          </cell>
          <cell r="K926" t="str">
            <v>SHIRT</v>
          </cell>
          <cell r="L926" t="str">
            <v>NOD</v>
          </cell>
        </row>
        <row r="927">
          <cell r="C927" t="str">
            <v>ARES1243G</v>
          </cell>
          <cell r="D927" t="str">
            <v>CORE</v>
          </cell>
          <cell r="E927" t="str">
            <v>CO26</v>
          </cell>
          <cell r="F927">
            <v>2599</v>
          </cell>
          <cell r="G927" t="str">
            <v>AN</v>
          </cell>
          <cell r="H927" t="str">
            <v>ARRANMWSH</v>
          </cell>
          <cell r="I927" t="str">
            <v>ARES1243G003</v>
          </cell>
          <cell r="J927" t="str">
            <v>39</v>
          </cell>
          <cell r="K927" t="str">
            <v>SHIRT</v>
          </cell>
          <cell r="L927" t="str">
            <v>NOD</v>
          </cell>
        </row>
        <row r="928">
          <cell r="C928" t="str">
            <v>ARES1243G</v>
          </cell>
          <cell r="D928" t="str">
            <v>CORE</v>
          </cell>
          <cell r="E928" t="str">
            <v>CO26</v>
          </cell>
          <cell r="F928">
            <v>2599</v>
          </cell>
          <cell r="G928" t="str">
            <v>AN</v>
          </cell>
          <cell r="H928" t="str">
            <v>ARRANMWSH</v>
          </cell>
          <cell r="I928" t="str">
            <v>ARES1243G004</v>
          </cell>
          <cell r="J928" t="str">
            <v>40</v>
          </cell>
          <cell r="K928" t="str">
            <v>SHIRT</v>
          </cell>
          <cell r="L928" t="str">
            <v>NOD</v>
          </cell>
        </row>
        <row r="929">
          <cell r="C929" t="str">
            <v>ARES1243G</v>
          </cell>
          <cell r="D929" t="str">
            <v>CORE</v>
          </cell>
          <cell r="E929" t="str">
            <v>CO26</v>
          </cell>
          <cell r="F929">
            <v>2599</v>
          </cell>
          <cell r="G929" t="str">
            <v>AN</v>
          </cell>
          <cell r="H929" t="str">
            <v>ARRANMWSH</v>
          </cell>
          <cell r="I929" t="str">
            <v>ARES1243G005</v>
          </cell>
          <cell r="J929" t="str">
            <v>42</v>
          </cell>
          <cell r="K929" t="str">
            <v>SHIRT</v>
          </cell>
          <cell r="L929" t="str">
            <v>NOD</v>
          </cell>
        </row>
        <row r="930">
          <cell r="C930" t="str">
            <v>ARES1243G</v>
          </cell>
          <cell r="D930" t="str">
            <v>CORE</v>
          </cell>
          <cell r="E930" t="str">
            <v>CO26</v>
          </cell>
          <cell r="F930">
            <v>2599</v>
          </cell>
          <cell r="G930" t="str">
            <v>AN</v>
          </cell>
          <cell r="H930" t="str">
            <v>ARRANMWSH</v>
          </cell>
          <cell r="I930" t="str">
            <v>ARES1243G006</v>
          </cell>
          <cell r="J930" t="str">
            <v>44</v>
          </cell>
          <cell r="K930" t="str">
            <v>SHIRT</v>
          </cell>
          <cell r="L930" t="str">
            <v>NOD</v>
          </cell>
        </row>
        <row r="931">
          <cell r="C931" t="str">
            <v>ARES1243G</v>
          </cell>
          <cell r="D931" t="str">
            <v>CORE</v>
          </cell>
          <cell r="E931" t="str">
            <v>CO26</v>
          </cell>
          <cell r="F931">
            <v>2599</v>
          </cell>
          <cell r="G931" t="str">
            <v>AN</v>
          </cell>
          <cell r="H931" t="str">
            <v>ARRANMWSH</v>
          </cell>
          <cell r="I931" t="str">
            <v>ARES1243G007</v>
          </cell>
          <cell r="J931" t="str">
            <v>46</v>
          </cell>
          <cell r="K931" t="str">
            <v>SHIRT</v>
          </cell>
          <cell r="L931" t="str">
            <v>NOD</v>
          </cell>
        </row>
        <row r="932">
          <cell r="C932" t="str">
            <v>ARES1243G</v>
          </cell>
          <cell r="D932" t="str">
            <v>CORE</v>
          </cell>
          <cell r="E932" t="str">
            <v>CO26</v>
          </cell>
          <cell r="F932">
            <v>2599</v>
          </cell>
          <cell r="G932" t="str">
            <v>AN</v>
          </cell>
          <cell r="H932" t="str">
            <v>ARRANMWSH</v>
          </cell>
          <cell r="I932" t="str">
            <v>ARES1243G008</v>
          </cell>
          <cell r="J932" t="str">
            <v>48</v>
          </cell>
          <cell r="K932" t="str">
            <v>SHIRT</v>
          </cell>
          <cell r="L932" t="str">
            <v>NOD</v>
          </cell>
        </row>
        <row r="933">
          <cell r="C933" t="str">
            <v>ARES1243G</v>
          </cell>
          <cell r="D933" t="str">
            <v>CORE</v>
          </cell>
          <cell r="E933" t="str">
            <v>CO26</v>
          </cell>
          <cell r="F933">
            <v>2599</v>
          </cell>
          <cell r="G933" t="str">
            <v>AN</v>
          </cell>
          <cell r="H933" t="str">
            <v>ARRANMWSH</v>
          </cell>
          <cell r="I933" t="str">
            <v>ARES1243G009</v>
          </cell>
          <cell r="J933" t="str">
            <v>50</v>
          </cell>
          <cell r="K933" t="str">
            <v>SHIRT</v>
          </cell>
          <cell r="L933" t="str">
            <v>NOD</v>
          </cell>
        </row>
        <row r="934">
          <cell r="C934" t="str">
            <v>ARES1243G</v>
          </cell>
          <cell r="D934" t="str">
            <v>CORE</v>
          </cell>
          <cell r="E934" t="str">
            <v>CO26</v>
          </cell>
          <cell r="F934">
            <v>2599</v>
          </cell>
          <cell r="G934" t="str">
            <v>AN</v>
          </cell>
          <cell r="H934" t="str">
            <v>ARRANMWSH</v>
          </cell>
          <cell r="I934" t="str">
            <v>ARES1243G010</v>
          </cell>
          <cell r="J934" t="str">
            <v>52</v>
          </cell>
          <cell r="K934" t="str">
            <v>SHIRT</v>
          </cell>
          <cell r="L934" t="str">
            <v>NOD</v>
          </cell>
        </row>
        <row r="935">
          <cell r="C935" t="str">
            <v>ARES1244</v>
          </cell>
          <cell r="D935" t="str">
            <v>CORE</v>
          </cell>
          <cell r="E935" t="str">
            <v>CO25</v>
          </cell>
          <cell r="F935">
            <v>2699</v>
          </cell>
          <cell r="G935" t="str">
            <v>AN</v>
          </cell>
          <cell r="H935" t="str">
            <v>ARRANMWSH</v>
          </cell>
          <cell r="I935" t="str">
            <v>ARES1244001</v>
          </cell>
          <cell r="J935" t="str">
            <v>36</v>
          </cell>
          <cell r="K935" t="str">
            <v>SHIRT</v>
          </cell>
          <cell r="L935" t="str">
            <v>NOD</v>
          </cell>
        </row>
        <row r="936">
          <cell r="C936" t="str">
            <v>ARES1244</v>
          </cell>
          <cell r="D936" t="str">
            <v>CORE</v>
          </cell>
          <cell r="E936" t="str">
            <v>CO25</v>
          </cell>
          <cell r="F936">
            <v>2699</v>
          </cell>
          <cell r="G936" t="str">
            <v>AN</v>
          </cell>
          <cell r="H936" t="str">
            <v>ARRANMWSH</v>
          </cell>
          <cell r="I936" t="str">
            <v>ARES1244002</v>
          </cell>
          <cell r="J936" t="str">
            <v>38</v>
          </cell>
          <cell r="K936" t="str">
            <v>SHIRT</v>
          </cell>
          <cell r="L936" t="str">
            <v>NOD</v>
          </cell>
        </row>
        <row r="937">
          <cell r="C937" t="str">
            <v>ARES1244</v>
          </cell>
          <cell r="D937" t="str">
            <v>CORE</v>
          </cell>
          <cell r="E937" t="str">
            <v>CO25</v>
          </cell>
          <cell r="F937">
            <v>2699</v>
          </cell>
          <cell r="G937" t="str">
            <v>AN</v>
          </cell>
          <cell r="H937" t="str">
            <v>ARRANMWSH</v>
          </cell>
          <cell r="I937" t="str">
            <v>ARES1244003</v>
          </cell>
          <cell r="J937" t="str">
            <v>39</v>
          </cell>
          <cell r="K937" t="str">
            <v>SHIRT</v>
          </cell>
          <cell r="L937" t="str">
            <v>NOD</v>
          </cell>
        </row>
        <row r="938">
          <cell r="C938" t="str">
            <v>ARES1244</v>
          </cell>
          <cell r="D938" t="str">
            <v>CORE</v>
          </cell>
          <cell r="E938" t="str">
            <v>CO25</v>
          </cell>
          <cell r="F938">
            <v>2699</v>
          </cell>
          <cell r="G938" t="str">
            <v>AN</v>
          </cell>
          <cell r="H938" t="str">
            <v>ARRANMWSH</v>
          </cell>
          <cell r="I938" t="str">
            <v>ARES1244004</v>
          </cell>
          <cell r="J938" t="str">
            <v>40</v>
          </cell>
          <cell r="K938" t="str">
            <v>SHIRT</v>
          </cell>
          <cell r="L938" t="str">
            <v>NOD</v>
          </cell>
        </row>
        <row r="939">
          <cell r="C939" t="str">
            <v>ARES1244</v>
          </cell>
          <cell r="D939" t="str">
            <v>CORE</v>
          </cell>
          <cell r="E939" t="str">
            <v>CO25</v>
          </cell>
          <cell r="F939">
            <v>2699</v>
          </cell>
          <cell r="G939" t="str">
            <v>AN</v>
          </cell>
          <cell r="H939" t="str">
            <v>ARRANMWSH</v>
          </cell>
          <cell r="I939" t="str">
            <v>ARES1244005</v>
          </cell>
          <cell r="J939" t="str">
            <v>42</v>
          </cell>
          <cell r="K939" t="str">
            <v>SHIRT</v>
          </cell>
          <cell r="L939" t="str">
            <v>NOD</v>
          </cell>
        </row>
        <row r="940">
          <cell r="C940" t="str">
            <v>ARES1244</v>
          </cell>
          <cell r="D940" t="str">
            <v>CORE</v>
          </cell>
          <cell r="E940" t="str">
            <v>CO25</v>
          </cell>
          <cell r="F940">
            <v>2699</v>
          </cell>
          <cell r="G940" t="str">
            <v>AN</v>
          </cell>
          <cell r="H940" t="str">
            <v>ARRANMWSH</v>
          </cell>
          <cell r="I940" t="str">
            <v>ARES1244006</v>
          </cell>
          <cell r="J940" t="str">
            <v>44</v>
          </cell>
          <cell r="K940" t="str">
            <v>SHIRT</v>
          </cell>
          <cell r="L940" t="str">
            <v>NOD</v>
          </cell>
        </row>
        <row r="941">
          <cell r="C941" t="str">
            <v>ARES1244</v>
          </cell>
          <cell r="D941" t="str">
            <v>CORE</v>
          </cell>
          <cell r="E941" t="str">
            <v>CO25</v>
          </cell>
          <cell r="F941">
            <v>3054.3</v>
          </cell>
          <cell r="G941" t="str">
            <v>AN</v>
          </cell>
          <cell r="H941" t="str">
            <v>ARRANMWSH</v>
          </cell>
          <cell r="I941" t="str">
            <v>ARES1244007</v>
          </cell>
          <cell r="J941" t="str">
            <v>46</v>
          </cell>
          <cell r="K941" t="str">
            <v>SHIRT</v>
          </cell>
          <cell r="L941" t="str">
            <v>NOD</v>
          </cell>
        </row>
        <row r="942">
          <cell r="C942" t="str">
            <v>ARES1244</v>
          </cell>
          <cell r="D942" t="str">
            <v>CORE</v>
          </cell>
          <cell r="E942" t="str">
            <v>CO25</v>
          </cell>
          <cell r="F942">
            <v>3054.3</v>
          </cell>
          <cell r="G942" t="str">
            <v>AN</v>
          </cell>
          <cell r="H942" t="str">
            <v>ARRANMWSH</v>
          </cell>
          <cell r="I942" t="str">
            <v>ARES1244008</v>
          </cell>
          <cell r="J942" t="str">
            <v>48</v>
          </cell>
          <cell r="K942" t="str">
            <v>SHIRT</v>
          </cell>
          <cell r="L942" t="str">
            <v>NOD</v>
          </cell>
        </row>
        <row r="943">
          <cell r="C943" t="str">
            <v>ARES1244</v>
          </cell>
          <cell r="D943" t="str">
            <v>CORE</v>
          </cell>
          <cell r="E943" t="str">
            <v>CO25</v>
          </cell>
          <cell r="F943">
            <v>3054.3</v>
          </cell>
          <cell r="G943" t="str">
            <v>AN</v>
          </cell>
          <cell r="H943" t="str">
            <v>ARRANMWSH</v>
          </cell>
          <cell r="I943" t="str">
            <v>ARES1244009</v>
          </cell>
          <cell r="J943" t="str">
            <v>50</v>
          </cell>
          <cell r="K943" t="str">
            <v>SHIRT</v>
          </cell>
          <cell r="L943" t="str">
            <v>NOD</v>
          </cell>
        </row>
        <row r="944">
          <cell r="C944" t="str">
            <v>ARES1244</v>
          </cell>
          <cell r="D944" t="str">
            <v>CORE</v>
          </cell>
          <cell r="E944" t="str">
            <v>CO25</v>
          </cell>
          <cell r="F944">
            <v>3054.3</v>
          </cell>
          <cell r="G944" t="str">
            <v>AN</v>
          </cell>
          <cell r="H944" t="str">
            <v>ARRANMWSH</v>
          </cell>
          <cell r="I944" t="str">
            <v>ARES1244010</v>
          </cell>
          <cell r="J944" t="str">
            <v>52</v>
          </cell>
          <cell r="K944" t="str">
            <v>SHIRT</v>
          </cell>
          <cell r="L944" t="str">
            <v>NOD</v>
          </cell>
        </row>
        <row r="945">
          <cell r="C945" t="str">
            <v>ARES1244G</v>
          </cell>
          <cell r="D945" t="str">
            <v>CORE</v>
          </cell>
          <cell r="E945" t="str">
            <v>CO26</v>
          </cell>
          <cell r="F945">
            <v>2599</v>
          </cell>
          <cell r="G945" t="str">
            <v>AN</v>
          </cell>
          <cell r="H945" t="str">
            <v>ARRANMWSH</v>
          </cell>
          <cell r="I945" t="str">
            <v>ARES1244G001</v>
          </cell>
          <cell r="J945" t="str">
            <v>36</v>
          </cell>
          <cell r="K945" t="str">
            <v>SHIRT</v>
          </cell>
          <cell r="L945" t="str">
            <v>NOD</v>
          </cell>
        </row>
        <row r="946">
          <cell r="C946" t="str">
            <v>ARES1244G</v>
          </cell>
          <cell r="D946" t="str">
            <v>CORE</v>
          </cell>
          <cell r="E946" t="str">
            <v>CO26</v>
          </cell>
          <cell r="F946">
            <v>2599</v>
          </cell>
          <cell r="G946" t="str">
            <v>AN</v>
          </cell>
          <cell r="H946" t="str">
            <v>ARRANMWSH</v>
          </cell>
          <cell r="I946" t="str">
            <v>ARES1244G002</v>
          </cell>
          <cell r="J946" t="str">
            <v>38</v>
          </cell>
          <cell r="K946" t="str">
            <v>SHIRT</v>
          </cell>
          <cell r="L946" t="str">
            <v>NOD</v>
          </cell>
        </row>
        <row r="947">
          <cell r="C947" t="str">
            <v>ARES1244G</v>
          </cell>
          <cell r="D947" t="str">
            <v>CORE</v>
          </cell>
          <cell r="E947" t="str">
            <v>CO26</v>
          </cell>
          <cell r="F947">
            <v>2599</v>
          </cell>
          <cell r="G947" t="str">
            <v>AN</v>
          </cell>
          <cell r="H947" t="str">
            <v>ARRANMWSH</v>
          </cell>
          <cell r="I947" t="str">
            <v>ARES1244G003</v>
          </cell>
          <cell r="J947" t="str">
            <v>39</v>
          </cell>
          <cell r="K947" t="str">
            <v>SHIRT</v>
          </cell>
          <cell r="L947" t="str">
            <v>NOD</v>
          </cell>
        </row>
        <row r="948">
          <cell r="C948" t="str">
            <v>ARES1244G</v>
          </cell>
          <cell r="D948" t="str">
            <v>CORE</v>
          </cell>
          <cell r="E948" t="str">
            <v>CO26</v>
          </cell>
          <cell r="F948">
            <v>2599</v>
          </cell>
          <cell r="G948" t="str">
            <v>AN</v>
          </cell>
          <cell r="H948" t="str">
            <v>ARRANMWSH</v>
          </cell>
          <cell r="I948" t="str">
            <v>ARES1244G004</v>
          </cell>
          <cell r="J948" t="str">
            <v>40</v>
          </cell>
          <cell r="K948" t="str">
            <v>SHIRT</v>
          </cell>
          <cell r="L948" t="str">
            <v>NOD</v>
          </cell>
        </row>
        <row r="949">
          <cell r="C949" t="str">
            <v>ARES1244G</v>
          </cell>
          <cell r="D949" t="str">
            <v>CORE</v>
          </cell>
          <cell r="E949" t="str">
            <v>CO26</v>
          </cell>
          <cell r="F949">
            <v>2599</v>
          </cell>
          <cell r="G949" t="str">
            <v>AN</v>
          </cell>
          <cell r="H949" t="str">
            <v>ARRANMWSH</v>
          </cell>
          <cell r="I949" t="str">
            <v>ARES1244G005</v>
          </cell>
          <cell r="J949" t="str">
            <v>42</v>
          </cell>
          <cell r="K949" t="str">
            <v>SHIRT</v>
          </cell>
          <cell r="L949" t="str">
            <v>NOD</v>
          </cell>
        </row>
        <row r="950">
          <cell r="C950" t="str">
            <v>ARES1244G</v>
          </cell>
          <cell r="D950" t="str">
            <v>CORE</v>
          </cell>
          <cell r="E950" t="str">
            <v>CO26</v>
          </cell>
          <cell r="F950">
            <v>2599</v>
          </cell>
          <cell r="G950" t="str">
            <v>AN</v>
          </cell>
          <cell r="H950" t="str">
            <v>ARRANMWSH</v>
          </cell>
          <cell r="I950" t="str">
            <v>ARES1244G006</v>
          </cell>
          <cell r="J950" t="str">
            <v>44</v>
          </cell>
          <cell r="K950" t="str">
            <v>SHIRT</v>
          </cell>
          <cell r="L950" t="str">
            <v>NOD</v>
          </cell>
        </row>
        <row r="951">
          <cell r="C951" t="str">
            <v>ARES1244G</v>
          </cell>
          <cell r="D951" t="str">
            <v>CORE</v>
          </cell>
          <cell r="E951" t="str">
            <v>CO26</v>
          </cell>
          <cell r="F951">
            <v>2599</v>
          </cell>
          <cell r="G951" t="str">
            <v>AN</v>
          </cell>
          <cell r="H951" t="str">
            <v>ARRANMWSH</v>
          </cell>
          <cell r="I951" t="str">
            <v>ARES1244G007</v>
          </cell>
          <cell r="J951" t="str">
            <v>46</v>
          </cell>
          <cell r="K951" t="str">
            <v>SHIRT</v>
          </cell>
          <cell r="L951" t="str">
            <v>NOD</v>
          </cell>
        </row>
        <row r="952">
          <cell r="C952" t="str">
            <v>ARES1244G</v>
          </cell>
          <cell r="D952" t="str">
            <v>CORE</v>
          </cell>
          <cell r="E952" t="str">
            <v>CO26</v>
          </cell>
          <cell r="F952">
            <v>2599</v>
          </cell>
          <cell r="G952" t="str">
            <v>AN</v>
          </cell>
          <cell r="H952" t="str">
            <v>ARRANMWSH</v>
          </cell>
          <cell r="I952" t="str">
            <v>ARES1244G008</v>
          </cell>
          <cell r="J952" t="str">
            <v>48</v>
          </cell>
          <cell r="K952" t="str">
            <v>SHIRT</v>
          </cell>
          <cell r="L952" t="str">
            <v>NOD</v>
          </cell>
        </row>
        <row r="953">
          <cell r="C953" t="str">
            <v>ARES1244G</v>
          </cell>
          <cell r="D953" t="str">
            <v>CORE</v>
          </cell>
          <cell r="E953" t="str">
            <v>CO26</v>
          </cell>
          <cell r="F953">
            <v>2599</v>
          </cell>
          <cell r="G953" t="str">
            <v>AN</v>
          </cell>
          <cell r="H953" t="str">
            <v>ARRANMWSH</v>
          </cell>
          <cell r="I953" t="str">
            <v>ARES1244G009</v>
          </cell>
          <cell r="J953" t="str">
            <v>50</v>
          </cell>
          <cell r="K953" t="str">
            <v>SHIRT</v>
          </cell>
          <cell r="L953" t="str">
            <v>NOD</v>
          </cell>
        </row>
        <row r="954">
          <cell r="C954" t="str">
            <v>ARES1244G</v>
          </cell>
          <cell r="D954" t="str">
            <v>CORE</v>
          </cell>
          <cell r="E954" t="str">
            <v>CO26</v>
          </cell>
          <cell r="F954">
            <v>2599</v>
          </cell>
          <cell r="G954" t="str">
            <v>AN</v>
          </cell>
          <cell r="H954" t="str">
            <v>ARRANMWSH</v>
          </cell>
          <cell r="I954" t="str">
            <v>ARES1244G010</v>
          </cell>
          <cell r="J954" t="str">
            <v>52</v>
          </cell>
          <cell r="K954" t="str">
            <v>SHIRT</v>
          </cell>
          <cell r="L954" t="str">
            <v>NOD</v>
          </cell>
        </row>
        <row r="955">
          <cell r="C955" t="str">
            <v>ARES1245</v>
          </cell>
          <cell r="D955" t="str">
            <v>CORE</v>
          </cell>
          <cell r="E955" t="str">
            <v>CO25</v>
          </cell>
          <cell r="F955">
            <v>2699</v>
          </cell>
          <cell r="G955" t="str">
            <v>AN</v>
          </cell>
          <cell r="H955" t="str">
            <v>ARRANMWSH</v>
          </cell>
          <cell r="I955" t="str">
            <v>ARES1245001</v>
          </cell>
          <cell r="J955" t="str">
            <v>36</v>
          </cell>
          <cell r="K955" t="str">
            <v>SHIRT</v>
          </cell>
          <cell r="L955" t="str">
            <v>NOD</v>
          </cell>
        </row>
        <row r="956">
          <cell r="C956" t="str">
            <v>ARES1245</v>
          </cell>
          <cell r="D956" t="str">
            <v>CORE</v>
          </cell>
          <cell r="E956" t="str">
            <v>CO25</v>
          </cell>
          <cell r="F956">
            <v>2699</v>
          </cell>
          <cell r="G956" t="str">
            <v>AN</v>
          </cell>
          <cell r="H956" t="str">
            <v>ARRANMWSH</v>
          </cell>
          <cell r="I956" t="str">
            <v>ARES1245002</v>
          </cell>
          <cell r="J956" t="str">
            <v>38</v>
          </cell>
          <cell r="K956" t="str">
            <v>SHIRT</v>
          </cell>
          <cell r="L956" t="str">
            <v>NOD</v>
          </cell>
        </row>
        <row r="957">
          <cell r="C957" t="str">
            <v>ARES1245</v>
          </cell>
          <cell r="D957" t="str">
            <v>CORE</v>
          </cell>
          <cell r="E957" t="str">
            <v>CO25</v>
          </cell>
          <cell r="F957">
            <v>2699</v>
          </cell>
          <cell r="G957" t="str">
            <v>AN</v>
          </cell>
          <cell r="H957" t="str">
            <v>ARRANMWSH</v>
          </cell>
          <cell r="I957" t="str">
            <v>ARES1245003</v>
          </cell>
          <cell r="J957" t="str">
            <v>39</v>
          </cell>
          <cell r="K957" t="str">
            <v>SHIRT</v>
          </cell>
          <cell r="L957" t="str">
            <v>NOD</v>
          </cell>
        </row>
        <row r="958">
          <cell r="C958" t="str">
            <v>ARES1245</v>
          </cell>
          <cell r="D958" t="str">
            <v>CORE</v>
          </cell>
          <cell r="E958" t="str">
            <v>CO25</v>
          </cell>
          <cell r="F958">
            <v>2699</v>
          </cell>
          <cell r="G958" t="str">
            <v>AN</v>
          </cell>
          <cell r="H958" t="str">
            <v>ARRANMWSH</v>
          </cell>
          <cell r="I958" t="str">
            <v>ARES1245004</v>
          </cell>
          <cell r="J958" t="str">
            <v>40</v>
          </cell>
          <cell r="K958" t="str">
            <v>SHIRT</v>
          </cell>
          <cell r="L958" t="str">
            <v>NOD</v>
          </cell>
        </row>
        <row r="959">
          <cell r="C959" t="str">
            <v>ARES1245</v>
          </cell>
          <cell r="D959" t="str">
            <v>CORE</v>
          </cell>
          <cell r="E959" t="str">
            <v>CO25</v>
          </cell>
          <cell r="F959">
            <v>2699</v>
          </cell>
          <cell r="G959" t="str">
            <v>AN</v>
          </cell>
          <cell r="H959" t="str">
            <v>ARRANMWSH</v>
          </cell>
          <cell r="I959" t="str">
            <v>ARES1245005</v>
          </cell>
          <cell r="J959" t="str">
            <v>42</v>
          </cell>
          <cell r="K959" t="str">
            <v>SHIRT</v>
          </cell>
          <cell r="L959" t="str">
            <v>NOD</v>
          </cell>
        </row>
        <row r="960">
          <cell r="C960" t="str">
            <v>ARES1245</v>
          </cell>
          <cell r="D960" t="str">
            <v>CORE</v>
          </cell>
          <cell r="E960" t="str">
            <v>CO25</v>
          </cell>
          <cell r="F960">
            <v>2699</v>
          </cell>
          <cell r="G960" t="str">
            <v>AN</v>
          </cell>
          <cell r="H960" t="str">
            <v>ARRANMWSH</v>
          </cell>
          <cell r="I960" t="str">
            <v>ARES1245006</v>
          </cell>
          <cell r="J960" t="str">
            <v>44</v>
          </cell>
          <cell r="K960" t="str">
            <v>SHIRT</v>
          </cell>
          <cell r="L960" t="str">
            <v>NOD</v>
          </cell>
        </row>
        <row r="961">
          <cell r="C961" t="str">
            <v>ARES1245</v>
          </cell>
          <cell r="D961" t="str">
            <v>CORE</v>
          </cell>
          <cell r="E961" t="str">
            <v>CO25</v>
          </cell>
          <cell r="F961">
            <v>3054</v>
          </cell>
          <cell r="G961" t="str">
            <v>AN</v>
          </cell>
          <cell r="H961" t="str">
            <v>ARRANMWSH</v>
          </cell>
          <cell r="I961" t="str">
            <v>ARES1245007</v>
          </cell>
          <cell r="J961" t="str">
            <v>46</v>
          </cell>
          <cell r="K961" t="str">
            <v>SHIRT</v>
          </cell>
          <cell r="L961" t="str">
            <v>NOD</v>
          </cell>
        </row>
        <row r="962">
          <cell r="C962" t="str">
            <v>ARES1245</v>
          </cell>
          <cell r="D962" t="str">
            <v>CORE</v>
          </cell>
          <cell r="E962" t="str">
            <v>CO25</v>
          </cell>
          <cell r="F962">
            <v>3054</v>
          </cell>
          <cell r="G962" t="str">
            <v>AN</v>
          </cell>
          <cell r="H962" t="str">
            <v>ARRANMWSH</v>
          </cell>
          <cell r="I962" t="str">
            <v>ARES1245008</v>
          </cell>
          <cell r="J962" t="str">
            <v>48</v>
          </cell>
          <cell r="K962" t="str">
            <v>SHIRT</v>
          </cell>
          <cell r="L962" t="str">
            <v>NOD</v>
          </cell>
        </row>
        <row r="963">
          <cell r="C963" t="str">
            <v>ARES1245</v>
          </cell>
          <cell r="D963" t="str">
            <v>CORE</v>
          </cell>
          <cell r="E963" t="str">
            <v>CO25</v>
          </cell>
          <cell r="F963">
            <v>3054</v>
          </cell>
          <cell r="G963" t="str">
            <v>AN</v>
          </cell>
          <cell r="H963" t="str">
            <v>ARRANMWSH</v>
          </cell>
          <cell r="I963" t="str">
            <v>ARES1245009</v>
          </cell>
          <cell r="J963" t="str">
            <v>50</v>
          </cell>
          <cell r="K963" t="str">
            <v>SHIRT</v>
          </cell>
          <cell r="L963" t="str">
            <v>NOD</v>
          </cell>
        </row>
        <row r="964">
          <cell r="C964" t="str">
            <v>ARES1245</v>
          </cell>
          <cell r="D964" t="str">
            <v>CORE</v>
          </cell>
          <cell r="E964" t="str">
            <v>CO25</v>
          </cell>
          <cell r="F964">
            <v>3054</v>
          </cell>
          <cell r="G964" t="str">
            <v>AN</v>
          </cell>
          <cell r="H964" t="str">
            <v>ARRANMWSH</v>
          </cell>
          <cell r="I964" t="str">
            <v>ARES1245010</v>
          </cell>
          <cell r="J964" t="str">
            <v>52</v>
          </cell>
          <cell r="K964" t="str">
            <v>SHIRT</v>
          </cell>
          <cell r="L964" t="str">
            <v>NOD</v>
          </cell>
        </row>
        <row r="965">
          <cell r="C965" t="str">
            <v>ARES1245G</v>
          </cell>
          <cell r="D965" t="str">
            <v>CORE</v>
          </cell>
          <cell r="E965" t="str">
            <v>CO26</v>
          </cell>
          <cell r="F965">
            <v>2599</v>
          </cell>
          <cell r="G965" t="str">
            <v>AN</v>
          </cell>
          <cell r="H965" t="str">
            <v>ARRANMWSH</v>
          </cell>
          <cell r="I965" t="str">
            <v>ARES1245G001</v>
          </cell>
          <cell r="J965" t="str">
            <v>36</v>
          </cell>
          <cell r="K965" t="str">
            <v>SHIRT</v>
          </cell>
          <cell r="L965" t="str">
            <v>NOD</v>
          </cell>
        </row>
        <row r="966">
          <cell r="C966" t="str">
            <v>ARES1245G</v>
          </cell>
          <cell r="D966" t="str">
            <v>CORE</v>
          </cell>
          <cell r="E966" t="str">
            <v>CO26</v>
          </cell>
          <cell r="F966">
            <v>2599</v>
          </cell>
          <cell r="G966" t="str">
            <v>AN</v>
          </cell>
          <cell r="H966" t="str">
            <v>ARRANMWSH</v>
          </cell>
          <cell r="I966" t="str">
            <v>ARES1245G002</v>
          </cell>
          <cell r="J966" t="str">
            <v>38</v>
          </cell>
          <cell r="K966" t="str">
            <v>SHIRT</v>
          </cell>
          <cell r="L966" t="str">
            <v>NOD</v>
          </cell>
        </row>
        <row r="967">
          <cell r="C967" t="str">
            <v>ARES1245G</v>
          </cell>
          <cell r="D967" t="str">
            <v>CORE</v>
          </cell>
          <cell r="E967" t="str">
            <v>CO26</v>
          </cell>
          <cell r="F967">
            <v>2599</v>
          </cell>
          <cell r="G967" t="str">
            <v>AN</v>
          </cell>
          <cell r="H967" t="str">
            <v>ARRANMWSH</v>
          </cell>
          <cell r="I967" t="str">
            <v>ARES1245G003</v>
          </cell>
          <cell r="J967" t="str">
            <v>39</v>
          </cell>
          <cell r="K967" t="str">
            <v>SHIRT</v>
          </cell>
          <cell r="L967" t="str">
            <v>NOD</v>
          </cell>
        </row>
        <row r="968">
          <cell r="C968" t="str">
            <v>ARES1245G</v>
          </cell>
          <cell r="D968" t="str">
            <v>CORE</v>
          </cell>
          <cell r="E968" t="str">
            <v>CO26</v>
          </cell>
          <cell r="F968">
            <v>2599</v>
          </cell>
          <cell r="G968" t="str">
            <v>AN</v>
          </cell>
          <cell r="H968" t="str">
            <v>ARRANMWSH</v>
          </cell>
          <cell r="I968" t="str">
            <v>ARES1245G004</v>
          </cell>
          <cell r="J968" t="str">
            <v>40</v>
          </cell>
          <cell r="K968" t="str">
            <v>SHIRT</v>
          </cell>
          <cell r="L968" t="str">
            <v>NOD</v>
          </cell>
        </row>
        <row r="969">
          <cell r="C969" t="str">
            <v>ARES1245G</v>
          </cell>
          <cell r="D969" t="str">
            <v>CORE</v>
          </cell>
          <cell r="E969" t="str">
            <v>CO26</v>
          </cell>
          <cell r="F969">
            <v>2599</v>
          </cell>
          <cell r="G969" t="str">
            <v>AN</v>
          </cell>
          <cell r="H969" t="str">
            <v>ARRANMWSH</v>
          </cell>
          <cell r="I969" t="str">
            <v>ARES1245G005</v>
          </cell>
          <cell r="J969" t="str">
            <v>42</v>
          </cell>
          <cell r="K969" t="str">
            <v>SHIRT</v>
          </cell>
          <cell r="L969" t="str">
            <v>NOD</v>
          </cell>
        </row>
        <row r="970">
          <cell r="C970" t="str">
            <v>ARES1245G</v>
          </cell>
          <cell r="D970" t="str">
            <v>CORE</v>
          </cell>
          <cell r="E970" t="str">
            <v>CO26</v>
          </cell>
          <cell r="F970">
            <v>2599</v>
          </cell>
          <cell r="G970" t="str">
            <v>AN</v>
          </cell>
          <cell r="H970" t="str">
            <v>ARRANMWSH</v>
          </cell>
          <cell r="I970" t="str">
            <v>ARES1245G006</v>
          </cell>
          <cell r="J970" t="str">
            <v>44</v>
          </cell>
          <cell r="K970" t="str">
            <v>SHIRT</v>
          </cell>
          <cell r="L970" t="str">
            <v>NOD</v>
          </cell>
        </row>
        <row r="971">
          <cell r="C971" t="str">
            <v>ARES1245G</v>
          </cell>
          <cell r="D971" t="str">
            <v>CORE</v>
          </cell>
          <cell r="E971" t="str">
            <v>CO26</v>
          </cell>
          <cell r="F971">
            <v>2599</v>
          </cell>
          <cell r="G971" t="str">
            <v>AN</v>
          </cell>
          <cell r="H971" t="str">
            <v>ARRANMWSH</v>
          </cell>
          <cell r="I971" t="str">
            <v>ARES1245G007</v>
          </cell>
          <cell r="J971" t="str">
            <v>46</v>
          </cell>
          <cell r="K971" t="str">
            <v>SHIRT</v>
          </cell>
          <cell r="L971" t="str">
            <v>NOD</v>
          </cell>
        </row>
        <row r="972">
          <cell r="C972" t="str">
            <v>ARES1245G</v>
          </cell>
          <cell r="D972" t="str">
            <v>CORE</v>
          </cell>
          <cell r="E972" t="str">
            <v>CO26</v>
          </cell>
          <cell r="F972">
            <v>2599</v>
          </cell>
          <cell r="G972" t="str">
            <v>AN</v>
          </cell>
          <cell r="H972" t="str">
            <v>ARRANMWSH</v>
          </cell>
          <cell r="I972" t="str">
            <v>ARES1245G008</v>
          </cell>
          <cell r="J972" t="str">
            <v>48</v>
          </cell>
          <cell r="K972" t="str">
            <v>SHIRT</v>
          </cell>
          <cell r="L972" t="str">
            <v>NOD</v>
          </cell>
        </row>
        <row r="973">
          <cell r="C973" t="str">
            <v>ARES1245G</v>
          </cell>
          <cell r="D973" t="str">
            <v>CORE</v>
          </cell>
          <cell r="E973" t="str">
            <v>CO26</v>
          </cell>
          <cell r="F973">
            <v>2599</v>
          </cell>
          <cell r="G973" t="str">
            <v>AN</v>
          </cell>
          <cell r="H973" t="str">
            <v>ARRANMWSH</v>
          </cell>
          <cell r="I973" t="str">
            <v>ARES1245G009</v>
          </cell>
          <cell r="J973" t="str">
            <v>50</v>
          </cell>
          <cell r="K973" t="str">
            <v>SHIRT</v>
          </cell>
          <cell r="L973" t="str">
            <v>NOD</v>
          </cell>
        </row>
        <row r="974">
          <cell r="C974" t="str">
            <v>ARES1245G</v>
          </cell>
          <cell r="D974" t="str">
            <v>CORE</v>
          </cell>
          <cell r="E974" t="str">
            <v>CO26</v>
          </cell>
          <cell r="F974">
            <v>2599</v>
          </cell>
          <cell r="G974" t="str">
            <v>AN</v>
          </cell>
          <cell r="H974" t="str">
            <v>ARRANMWSH</v>
          </cell>
          <cell r="I974" t="str">
            <v>ARES1245G010</v>
          </cell>
          <cell r="J974" t="str">
            <v>52</v>
          </cell>
          <cell r="K974" t="str">
            <v>SHIRT</v>
          </cell>
          <cell r="L974" t="str">
            <v>NOD</v>
          </cell>
        </row>
        <row r="975">
          <cell r="C975" t="str">
            <v>AREU5085A</v>
          </cell>
          <cell r="D975" t="str">
            <v>CORE</v>
          </cell>
          <cell r="E975" t="str">
            <v>CO25</v>
          </cell>
          <cell r="F975">
            <v>10534</v>
          </cell>
          <cell r="G975" t="str">
            <v>AR</v>
          </cell>
          <cell r="H975" t="str">
            <v>ARRARMSUT</v>
          </cell>
          <cell r="I975" t="str">
            <v>AREU5085A001</v>
          </cell>
          <cell r="J975" t="str">
            <v>36</v>
          </cell>
          <cell r="K975" t="str">
            <v>SUIT</v>
          </cell>
          <cell r="L975" t="str">
            <v>NOD</v>
          </cell>
        </row>
        <row r="976">
          <cell r="C976" t="str">
            <v>AREU5085A</v>
          </cell>
          <cell r="D976" t="str">
            <v>CORE</v>
          </cell>
          <cell r="E976" t="str">
            <v>CO25</v>
          </cell>
          <cell r="F976">
            <v>10534</v>
          </cell>
          <cell r="G976" t="str">
            <v>AR</v>
          </cell>
          <cell r="H976" t="str">
            <v>ARRARMSUT</v>
          </cell>
          <cell r="I976" t="str">
            <v>AREU5085A002</v>
          </cell>
          <cell r="J976" t="str">
            <v>38</v>
          </cell>
          <cell r="K976" t="str">
            <v>SUIT</v>
          </cell>
          <cell r="L976" t="str">
            <v>NOD</v>
          </cell>
        </row>
        <row r="977">
          <cell r="C977" t="str">
            <v>AREU5085A</v>
          </cell>
          <cell r="D977" t="str">
            <v>CORE</v>
          </cell>
          <cell r="E977" t="str">
            <v>CO25</v>
          </cell>
          <cell r="F977">
            <v>10534</v>
          </cell>
          <cell r="G977" t="str">
            <v>AR</v>
          </cell>
          <cell r="H977" t="str">
            <v>ARRARMSUT</v>
          </cell>
          <cell r="I977" t="str">
            <v>AREU5085A003</v>
          </cell>
          <cell r="J977" t="str">
            <v>40</v>
          </cell>
          <cell r="K977" t="str">
            <v>SUIT</v>
          </cell>
          <cell r="L977" t="str">
            <v>NOD</v>
          </cell>
        </row>
        <row r="978">
          <cell r="C978" t="str">
            <v>AREU5085A</v>
          </cell>
          <cell r="D978" t="str">
            <v>CORE</v>
          </cell>
          <cell r="E978" t="str">
            <v>CO25</v>
          </cell>
          <cell r="F978">
            <v>10534</v>
          </cell>
          <cell r="G978" t="str">
            <v>AR</v>
          </cell>
          <cell r="H978" t="str">
            <v>ARRARMSUT</v>
          </cell>
          <cell r="I978" t="str">
            <v>AREU5085A004</v>
          </cell>
          <cell r="J978" t="str">
            <v>42</v>
          </cell>
          <cell r="K978" t="str">
            <v>SUIT</v>
          </cell>
          <cell r="L978" t="str">
            <v>NOD</v>
          </cell>
        </row>
        <row r="979">
          <cell r="C979" t="str">
            <v>AREU5085A</v>
          </cell>
          <cell r="D979" t="str">
            <v>CORE</v>
          </cell>
          <cell r="E979" t="str">
            <v>CO25</v>
          </cell>
          <cell r="F979">
            <v>10534</v>
          </cell>
          <cell r="G979" t="str">
            <v>AR</v>
          </cell>
          <cell r="H979" t="str">
            <v>ARRARMSUT</v>
          </cell>
          <cell r="I979" t="str">
            <v>AREU5085A005</v>
          </cell>
          <cell r="J979" t="str">
            <v>44</v>
          </cell>
          <cell r="K979" t="str">
            <v>SUIT</v>
          </cell>
          <cell r="L979" t="str">
            <v>NOD</v>
          </cell>
        </row>
        <row r="980">
          <cell r="C980" t="str">
            <v>AREU5085A</v>
          </cell>
          <cell r="D980" t="str">
            <v>CORE</v>
          </cell>
          <cell r="E980" t="str">
            <v>CO25</v>
          </cell>
          <cell r="F980">
            <v>10534</v>
          </cell>
          <cell r="G980" t="str">
            <v>AR</v>
          </cell>
          <cell r="H980" t="str">
            <v>ARRARMSUT</v>
          </cell>
          <cell r="I980" t="str">
            <v>AREU5085A006</v>
          </cell>
          <cell r="J980" t="str">
            <v>46</v>
          </cell>
          <cell r="K980" t="str">
            <v>SUIT</v>
          </cell>
          <cell r="L980" t="str">
            <v>NOD</v>
          </cell>
        </row>
        <row r="981">
          <cell r="C981" t="str">
            <v>AREU5085A</v>
          </cell>
          <cell r="D981" t="str">
            <v>CORE</v>
          </cell>
          <cell r="E981" t="str">
            <v>CO25</v>
          </cell>
          <cell r="F981">
            <v>10534</v>
          </cell>
          <cell r="G981" t="str">
            <v>AR</v>
          </cell>
          <cell r="H981" t="str">
            <v>ARRARMSUT</v>
          </cell>
          <cell r="I981" t="str">
            <v>AREU5085A007</v>
          </cell>
          <cell r="J981" t="str">
            <v>48</v>
          </cell>
          <cell r="K981" t="str">
            <v>SUIT</v>
          </cell>
          <cell r="L981" t="str">
            <v>NOD</v>
          </cell>
        </row>
        <row r="982">
          <cell r="C982" t="str">
            <v>AREU5085A</v>
          </cell>
          <cell r="D982" t="str">
            <v>CORE</v>
          </cell>
          <cell r="E982" t="str">
            <v>CO25</v>
          </cell>
          <cell r="F982">
            <v>10534</v>
          </cell>
          <cell r="G982" t="str">
            <v>AR</v>
          </cell>
          <cell r="H982" t="str">
            <v>ARRARMSUT</v>
          </cell>
          <cell r="I982" t="str">
            <v>AREU5085A008</v>
          </cell>
          <cell r="J982" t="str">
            <v>50</v>
          </cell>
          <cell r="K982" t="str">
            <v>SUIT</v>
          </cell>
          <cell r="L982" t="str">
            <v>NOD</v>
          </cell>
        </row>
        <row r="983">
          <cell r="C983" t="str">
            <v>AREU5085A</v>
          </cell>
          <cell r="D983" t="str">
            <v>CORE</v>
          </cell>
          <cell r="E983" t="str">
            <v>CO25</v>
          </cell>
          <cell r="F983">
            <v>10534</v>
          </cell>
          <cell r="G983" t="str">
            <v>AR</v>
          </cell>
          <cell r="H983" t="str">
            <v>ARRARMSUT</v>
          </cell>
          <cell r="I983" t="str">
            <v>AREU5085A009</v>
          </cell>
          <cell r="J983" t="str">
            <v>52</v>
          </cell>
          <cell r="K983" t="str">
            <v>SUIT</v>
          </cell>
          <cell r="L983" t="str">
            <v>NOD</v>
          </cell>
        </row>
        <row r="984">
          <cell r="C984" t="str">
            <v>AREU5085A</v>
          </cell>
          <cell r="D984" t="str">
            <v>CORE</v>
          </cell>
          <cell r="E984" t="str">
            <v>CO25</v>
          </cell>
          <cell r="F984">
            <v>10534</v>
          </cell>
          <cell r="G984" t="str">
            <v>AR</v>
          </cell>
          <cell r="H984" t="str">
            <v>ARRARMSUT</v>
          </cell>
          <cell r="I984" t="str">
            <v>AREU5085A010</v>
          </cell>
          <cell r="J984" t="str">
            <v>34</v>
          </cell>
          <cell r="K984" t="str">
            <v>SUIT</v>
          </cell>
          <cell r="L984" t="str">
            <v>NOD</v>
          </cell>
        </row>
        <row r="985">
          <cell r="C985" t="str">
            <v>AREU5085AG</v>
          </cell>
          <cell r="D985" t="str">
            <v>CORE</v>
          </cell>
          <cell r="E985" t="str">
            <v>CO26</v>
          </cell>
          <cell r="F985">
            <v>10999</v>
          </cell>
          <cell r="G985" t="str">
            <v>AR</v>
          </cell>
          <cell r="H985" t="str">
            <v>ARRARMSUT</v>
          </cell>
          <cell r="I985" t="str">
            <v>AREU5085AG001</v>
          </cell>
          <cell r="J985" t="str">
            <v>34</v>
          </cell>
          <cell r="K985" t="str">
            <v>SUIT</v>
          </cell>
          <cell r="L985" t="str">
            <v>NOD</v>
          </cell>
        </row>
        <row r="986">
          <cell r="C986" t="str">
            <v>AREU5085AG</v>
          </cell>
          <cell r="D986" t="str">
            <v>CORE</v>
          </cell>
          <cell r="E986" t="str">
            <v>CO26</v>
          </cell>
          <cell r="F986">
            <v>10999</v>
          </cell>
          <cell r="G986" t="str">
            <v>AR</v>
          </cell>
          <cell r="H986" t="str">
            <v>ARRARMSUT</v>
          </cell>
          <cell r="I986" t="str">
            <v>AREU5085AG002</v>
          </cell>
          <cell r="J986" t="str">
            <v>36</v>
          </cell>
          <cell r="K986" t="str">
            <v>SUIT</v>
          </cell>
          <cell r="L986" t="str">
            <v>NOD</v>
          </cell>
        </row>
        <row r="987">
          <cell r="C987" t="str">
            <v>AREU5085AG</v>
          </cell>
          <cell r="D987" t="str">
            <v>CORE</v>
          </cell>
          <cell r="E987" t="str">
            <v>CO26</v>
          </cell>
          <cell r="F987">
            <v>10999</v>
          </cell>
          <cell r="G987" t="str">
            <v>AR</v>
          </cell>
          <cell r="H987" t="str">
            <v>ARRARMSUT</v>
          </cell>
          <cell r="I987" t="str">
            <v>AREU5085AG003</v>
          </cell>
          <cell r="J987" t="str">
            <v>38</v>
          </cell>
          <cell r="K987" t="str">
            <v>SUIT</v>
          </cell>
          <cell r="L987" t="str">
            <v>NOD</v>
          </cell>
        </row>
        <row r="988">
          <cell r="C988" t="str">
            <v>AREU5085AG</v>
          </cell>
          <cell r="D988" t="str">
            <v>CORE</v>
          </cell>
          <cell r="E988" t="str">
            <v>CO26</v>
          </cell>
          <cell r="F988">
            <v>10999</v>
          </cell>
          <cell r="G988" t="str">
            <v>AR</v>
          </cell>
          <cell r="H988" t="str">
            <v>ARRARMSUT</v>
          </cell>
          <cell r="I988" t="str">
            <v>AREU5085AG004</v>
          </cell>
          <cell r="J988" t="str">
            <v>40</v>
          </cell>
          <cell r="K988" t="str">
            <v>SUIT</v>
          </cell>
          <cell r="L988" t="str">
            <v>NOD</v>
          </cell>
        </row>
        <row r="989">
          <cell r="C989" t="str">
            <v>AREU5085AG</v>
          </cell>
          <cell r="D989" t="str">
            <v>CORE</v>
          </cell>
          <cell r="E989" t="str">
            <v>CO26</v>
          </cell>
          <cell r="F989">
            <v>10999</v>
          </cell>
          <cell r="G989" t="str">
            <v>AR</v>
          </cell>
          <cell r="H989" t="str">
            <v>ARRARMSUT</v>
          </cell>
          <cell r="I989" t="str">
            <v>AREU5085AG005</v>
          </cell>
          <cell r="J989" t="str">
            <v>42</v>
          </cell>
          <cell r="K989" t="str">
            <v>SUIT</v>
          </cell>
          <cell r="L989" t="str">
            <v>NOD</v>
          </cell>
        </row>
        <row r="990">
          <cell r="C990" t="str">
            <v>AREU5085AG</v>
          </cell>
          <cell r="D990" t="str">
            <v>CORE</v>
          </cell>
          <cell r="E990" t="str">
            <v>CO26</v>
          </cell>
          <cell r="F990">
            <v>10999</v>
          </cell>
          <cell r="G990" t="str">
            <v>AR</v>
          </cell>
          <cell r="H990" t="str">
            <v>ARRARMSUT</v>
          </cell>
          <cell r="I990" t="str">
            <v>AREU5085AG006</v>
          </cell>
          <cell r="J990" t="str">
            <v>44</v>
          </cell>
          <cell r="K990" t="str">
            <v>SUIT</v>
          </cell>
          <cell r="L990" t="str">
            <v>NOD</v>
          </cell>
        </row>
        <row r="991">
          <cell r="C991" t="str">
            <v>AREU5085AG</v>
          </cell>
          <cell r="D991" t="str">
            <v>CORE</v>
          </cell>
          <cell r="E991" t="str">
            <v>CO26</v>
          </cell>
          <cell r="F991">
            <v>10999</v>
          </cell>
          <cell r="G991" t="str">
            <v>AR</v>
          </cell>
          <cell r="H991" t="str">
            <v>ARRARMSUT</v>
          </cell>
          <cell r="I991" t="str">
            <v>AREU5085AG007</v>
          </cell>
          <cell r="J991" t="str">
            <v>46</v>
          </cell>
          <cell r="K991" t="str">
            <v>SUIT</v>
          </cell>
          <cell r="L991" t="str">
            <v>NOD</v>
          </cell>
        </row>
        <row r="992">
          <cell r="C992" t="str">
            <v>AREU5085AG</v>
          </cell>
          <cell r="D992" t="str">
            <v>CORE</v>
          </cell>
          <cell r="E992" t="str">
            <v>CO26</v>
          </cell>
          <cell r="F992">
            <v>10999</v>
          </cell>
          <cell r="G992" t="str">
            <v>AR</v>
          </cell>
          <cell r="H992" t="str">
            <v>ARRARMSUT</v>
          </cell>
          <cell r="I992" t="str">
            <v>AREU5085AG008</v>
          </cell>
          <cell r="J992" t="str">
            <v>48</v>
          </cell>
          <cell r="K992" t="str">
            <v>SUIT</v>
          </cell>
          <cell r="L992" t="str">
            <v>NOD</v>
          </cell>
        </row>
        <row r="993">
          <cell r="C993" t="str">
            <v>AREU5085AG</v>
          </cell>
          <cell r="D993" t="str">
            <v>CORE</v>
          </cell>
          <cell r="E993" t="str">
            <v>CO26</v>
          </cell>
          <cell r="F993">
            <v>10999</v>
          </cell>
          <cell r="G993" t="str">
            <v>AR</v>
          </cell>
          <cell r="H993" t="str">
            <v>ARRARMSUT</v>
          </cell>
          <cell r="I993" t="str">
            <v>AREU5085AG009</v>
          </cell>
          <cell r="J993" t="str">
            <v>50</v>
          </cell>
          <cell r="K993" t="str">
            <v>SUIT</v>
          </cell>
          <cell r="L993" t="str">
            <v>NOD</v>
          </cell>
        </row>
        <row r="994">
          <cell r="C994" t="str">
            <v>AREU5085AG</v>
          </cell>
          <cell r="D994" t="str">
            <v>CORE</v>
          </cell>
          <cell r="E994" t="str">
            <v>CO26</v>
          </cell>
          <cell r="F994">
            <v>10999</v>
          </cell>
          <cell r="G994" t="str">
            <v>AR</v>
          </cell>
          <cell r="H994" t="str">
            <v>ARRARMSUT</v>
          </cell>
          <cell r="I994" t="str">
            <v>AREU5085AG010</v>
          </cell>
          <cell r="J994" t="str">
            <v>52</v>
          </cell>
          <cell r="K994" t="str">
            <v>SUIT</v>
          </cell>
          <cell r="L994" t="str">
            <v>NOD</v>
          </cell>
        </row>
        <row r="995">
          <cell r="C995" t="str">
            <v>AREU5086A</v>
          </cell>
          <cell r="D995" t="str">
            <v>CORE</v>
          </cell>
          <cell r="E995" t="str">
            <v>CO25</v>
          </cell>
          <cell r="F995">
            <v>10534</v>
          </cell>
          <cell r="G995" t="str">
            <v>AR</v>
          </cell>
          <cell r="H995" t="str">
            <v>ARRARMSUT</v>
          </cell>
          <cell r="I995" t="str">
            <v>AREU5086A001</v>
          </cell>
          <cell r="J995" t="str">
            <v>40</v>
          </cell>
          <cell r="K995" t="str">
            <v>SUIT</v>
          </cell>
          <cell r="L995" t="str">
            <v>NOD</v>
          </cell>
        </row>
        <row r="996">
          <cell r="C996" t="str">
            <v>AREU5086A</v>
          </cell>
          <cell r="D996" t="str">
            <v>CORE</v>
          </cell>
          <cell r="E996" t="str">
            <v>CO25</v>
          </cell>
          <cell r="F996">
            <v>10534</v>
          </cell>
          <cell r="G996" t="str">
            <v>AR</v>
          </cell>
          <cell r="H996" t="str">
            <v>ARRARMSUT</v>
          </cell>
          <cell r="I996" t="str">
            <v>AREU5086A002</v>
          </cell>
          <cell r="J996" t="str">
            <v>42</v>
          </cell>
          <cell r="K996" t="str">
            <v>SUIT</v>
          </cell>
          <cell r="L996" t="str">
            <v>NOD</v>
          </cell>
        </row>
        <row r="997">
          <cell r="C997" t="str">
            <v>AREU5086A</v>
          </cell>
          <cell r="D997" t="str">
            <v>CORE</v>
          </cell>
          <cell r="E997" t="str">
            <v>CO25</v>
          </cell>
          <cell r="F997">
            <v>10534</v>
          </cell>
          <cell r="G997" t="str">
            <v>AR</v>
          </cell>
          <cell r="H997" t="str">
            <v>ARRARMSUT</v>
          </cell>
          <cell r="I997" t="str">
            <v>AREU5086A003</v>
          </cell>
          <cell r="J997" t="str">
            <v>44</v>
          </cell>
          <cell r="K997" t="str">
            <v>SUIT</v>
          </cell>
          <cell r="L997" t="str">
            <v>NOD</v>
          </cell>
        </row>
        <row r="998">
          <cell r="C998" t="str">
            <v>AREU5086A</v>
          </cell>
          <cell r="D998" t="str">
            <v>CORE</v>
          </cell>
          <cell r="E998" t="str">
            <v>CO25</v>
          </cell>
          <cell r="F998">
            <v>10534</v>
          </cell>
          <cell r="G998" t="str">
            <v>AR</v>
          </cell>
          <cell r="H998" t="str">
            <v>ARRARMSUT</v>
          </cell>
          <cell r="I998" t="str">
            <v>AREU5086A004</v>
          </cell>
          <cell r="J998" t="str">
            <v>46</v>
          </cell>
          <cell r="K998" t="str">
            <v>SUIT</v>
          </cell>
          <cell r="L998" t="str">
            <v>NOD</v>
          </cell>
        </row>
        <row r="999">
          <cell r="C999" t="str">
            <v>AREU5086A</v>
          </cell>
          <cell r="D999" t="str">
            <v>CORE</v>
          </cell>
          <cell r="E999" t="str">
            <v>CO25</v>
          </cell>
          <cell r="F999">
            <v>10534</v>
          </cell>
          <cell r="G999" t="str">
            <v>AR</v>
          </cell>
          <cell r="H999" t="str">
            <v>ARRARMSUT</v>
          </cell>
          <cell r="I999" t="str">
            <v>AREU5086A005</v>
          </cell>
          <cell r="J999" t="str">
            <v>48</v>
          </cell>
          <cell r="K999" t="str">
            <v>SUIT</v>
          </cell>
          <cell r="L999" t="str">
            <v>NOD</v>
          </cell>
        </row>
        <row r="1000">
          <cell r="C1000" t="str">
            <v>AREU5086A</v>
          </cell>
          <cell r="D1000" t="str">
            <v>CORE</v>
          </cell>
          <cell r="E1000" t="str">
            <v>CO25</v>
          </cell>
          <cell r="F1000">
            <v>10534</v>
          </cell>
          <cell r="G1000" t="str">
            <v>AR</v>
          </cell>
          <cell r="H1000" t="str">
            <v>ARRARMSUT</v>
          </cell>
          <cell r="I1000" t="str">
            <v>AREU5086A006</v>
          </cell>
          <cell r="J1000" t="str">
            <v>50</v>
          </cell>
          <cell r="K1000" t="str">
            <v>SUIT</v>
          </cell>
          <cell r="L1000" t="str">
            <v>NOD</v>
          </cell>
        </row>
        <row r="1001">
          <cell r="C1001" t="str">
            <v>AREU5086A</v>
          </cell>
          <cell r="D1001" t="str">
            <v>CORE</v>
          </cell>
          <cell r="E1001" t="str">
            <v>CO25</v>
          </cell>
          <cell r="F1001">
            <v>10534</v>
          </cell>
          <cell r="G1001" t="str">
            <v>AR</v>
          </cell>
          <cell r="H1001" t="str">
            <v>ARRARMSUT</v>
          </cell>
          <cell r="I1001" t="str">
            <v>AREU5086A007</v>
          </cell>
          <cell r="J1001" t="str">
            <v>36</v>
          </cell>
          <cell r="K1001" t="str">
            <v>SUIT</v>
          </cell>
          <cell r="L1001" t="str">
            <v>NOD</v>
          </cell>
        </row>
        <row r="1002">
          <cell r="C1002" t="str">
            <v>AREU5086A</v>
          </cell>
          <cell r="D1002" t="str">
            <v>CORE</v>
          </cell>
          <cell r="E1002" t="str">
            <v>CO25</v>
          </cell>
          <cell r="F1002">
            <v>10534</v>
          </cell>
          <cell r="G1002" t="str">
            <v>AR</v>
          </cell>
          <cell r="H1002" t="str">
            <v>ARRARMSUT</v>
          </cell>
          <cell r="I1002" t="str">
            <v>AREU5086A008</v>
          </cell>
          <cell r="J1002" t="str">
            <v>38</v>
          </cell>
          <cell r="K1002" t="str">
            <v>SUIT</v>
          </cell>
          <cell r="L1002" t="str">
            <v>NOD</v>
          </cell>
        </row>
        <row r="1003">
          <cell r="C1003" t="str">
            <v>AREU5086A</v>
          </cell>
          <cell r="D1003" t="str">
            <v>CORE</v>
          </cell>
          <cell r="E1003" t="str">
            <v>CO25</v>
          </cell>
          <cell r="F1003">
            <v>10534</v>
          </cell>
          <cell r="G1003" t="str">
            <v>AR</v>
          </cell>
          <cell r="H1003" t="str">
            <v>ARRARMSUT</v>
          </cell>
          <cell r="I1003" t="str">
            <v>AREU5086A009</v>
          </cell>
          <cell r="J1003" t="str">
            <v>52</v>
          </cell>
          <cell r="K1003" t="str">
            <v>SUIT</v>
          </cell>
          <cell r="L1003" t="str">
            <v>NOD</v>
          </cell>
        </row>
        <row r="1004">
          <cell r="C1004" t="str">
            <v>AREU5086A</v>
          </cell>
          <cell r="D1004" t="str">
            <v>CORE</v>
          </cell>
          <cell r="E1004" t="str">
            <v>CO25</v>
          </cell>
          <cell r="F1004">
            <v>10534</v>
          </cell>
          <cell r="G1004" t="str">
            <v>AR</v>
          </cell>
          <cell r="H1004" t="str">
            <v>ARRARMSUT</v>
          </cell>
          <cell r="I1004" t="str">
            <v>AREU5086A010</v>
          </cell>
          <cell r="J1004" t="str">
            <v>34</v>
          </cell>
          <cell r="K1004" t="str">
            <v>SUIT</v>
          </cell>
          <cell r="L1004" t="str">
            <v>NOD</v>
          </cell>
        </row>
        <row r="1005">
          <cell r="C1005" t="str">
            <v>AREU5086AG</v>
          </cell>
          <cell r="D1005" t="str">
            <v>CORE</v>
          </cell>
          <cell r="E1005" t="str">
            <v>CO26</v>
          </cell>
          <cell r="F1005">
            <v>10999</v>
          </cell>
          <cell r="G1005" t="str">
            <v>AR</v>
          </cell>
          <cell r="H1005" t="str">
            <v>ARRARMSUT</v>
          </cell>
          <cell r="I1005" t="str">
            <v>AREU5086AG001</v>
          </cell>
          <cell r="J1005" t="str">
            <v>34</v>
          </cell>
          <cell r="K1005" t="str">
            <v>SUIT</v>
          </cell>
          <cell r="L1005" t="str">
            <v>NOD</v>
          </cell>
        </row>
        <row r="1006">
          <cell r="C1006" t="str">
            <v>AREU5086AG</v>
          </cell>
          <cell r="D1006" t="str">
            <v>CORE</v>
          </cell>
          <cell r="E1006" t="str">
            <v>CO26</v>
          </cell>
          <cell r="F1006">
            <v>10999</v>
          </cell>
          <cell r="G1006" t="str">
            <v>AR</v>
          </cell>
          <cell r="H1006" t="str">
            <v>ARRARMSUT</v>
          </cell>
          <cell r="I1006" t="str">
            <v>AREU5086AG002</v>
          </cell>
          <cell r="J1006" t="str">
            <v>36</v>
          </cell>
          <cell r="K1006" t="str">
            <v>SUIT</v>
          </cell>
          <cell r="L1006" t="str">
            <v>NOD</v>
          </cell>
        </row>
        <row r="1007">
          <cell r="C1007" t="str">
            <v>AREU5086AG</v>
          </cell>
          <cell r="D1007" t="str">
            <v>CORE</v>
          </cell>
          <cell r="E1007" t="str">
            <v>CO26</v>
          </cell>
          <cell r="F1007">
            <v>10999</v>
          </cell>
          <cell r="G1007" t="str">
            <v>AR</v>
          </cell>
          <cell r="H1007" t="str">
            <v>ARRARMSUT</v>
          </cell>
          <cell r="I1007" t="str">
            <v>AREU5086AG003</v>
          </cell>
          <cell r="J1007" t="str">
            <v>38</v>
          </cell>
          <cell r="K1007" t="str">
            <v>SUIT</v>
          </cell>
          <cell r="L1007" t="str">
            <v>NOD</v>
          </cell>
        </row>
        <row r="1008">
          <cell r="C1008" t="str">
            <v>AREU5086AG</v>
          </cell>
          <cell r="D1008" t="str">
            <v>CORE</v>
          </cell>
          <cell r="E1008" t="str">
            <v>CO26</v>
          </cell>
          <cell r="F1008">
            <v>10999</v>
          </cell>
          <cell r="G1008" t="str">
            <v>AR</v>
          </cell>
          <cell r="H1008" t="str">
            <v>ARRARMSUT</v>
          </cell>
          <cell r="I1008" t="str">
            <v>AREU5086AG004</v>
          </cell>
          <cell r="J1008" t="str">
            <v>40</v>
          </cell>
          <cell r="K1008" t="str">
            <v>SUIT</v>
          </cell>
          <cell r="L1008" t="str">
            <v>NOD</v>
          </cell>
        </row>
        <row r="1009">
          <cell r="C1009" t="str">
            <v>AREU5086AG</v>
          </cell>
          <cell r="D1009" t="str">
            <v>CORE</v>
          </cell>
          <cell r="E1009" t="str">
            <v>CO26</v>
          </cell>
          <cell r="F1009">
            <v>10999</v>
          </cell>
          <cell r="G1009" t="str">
            <v>AR</v>
          </cell>
          <cell r="H1009" t="str">
            <v>ARRARMSUT</v>
          </cell>
          <cell r="I1009" t="str">
            <v>AREU5086AG005</v>
          </cell>
          <cell r="J1009" t="str">
            <v>42</v>
          </cell>
          <cell r="K1009" t="str">
            <v>SUIT</v>
          </cell>
          <cell r="L1009" t="str">
            <v>NOD</v>
          </cell>
        </row>
        <row r="1010">
          <cell r="C1010" t="str">
            <v>AREU5086AG</v>
          </cell>
          <cell r="D1010" t="str">
            <v>CORE</v>
          </cell>
          <cell r="E1010" t="str">
            <v>CO26</v>
          </cell>
          <cell r="F1010">
            <v>10999</v>
          </cell>
          <cell r="G1010" t="str">
            <v>AR</v>
          </cell>
          <cell r="H1010" t="str">
            <v>ARRARMSUT</v>
          </cell>
          <cell r="I1010" t="str">
            <v>AREU5086AG006</v>
          </cell>
          <cell r="J1010" t="str">
            <v>44</v>
          </cell>
          <cell r="K1010" t="str">
            <v>SUIT</v>
          </cell>
          <cell r="L1010" t="str">
            <v>NOD</v>
          </cell>
        </row>
        <row r="1011">
          <cell r="C1011" t="str">
            <v>AREU5086AG</v>
          </cell>
          <cell r="D1011" t="str">
            <v>CORE</v>
          </cell>
          <cell r="E1011" t="str">
            <v>CO26</v>
          </cell>
          <cell r="F1011">
            <v>10999</v>
          </cell>
          <cell r="G1011" t="str">
            <v>AR</v>
          </cell>
          <cell r="H1011" t="str">
            <v>ARRARMSUT</v>
          </cell>
          <cell r="I1011" t="str">
            <v>AREU5086AG007</v>
          </cell>
          <cell r="J1011" t="str">
            <v>46</v>
          </cell>
          <cell r="K1011" t="str">
            <v>SUIT</v>
          </cell>
          <cell r="L1011" t="str">
            <v>NOD</v>
          </cell>
        </row>
        <row r="1012">
          <cell r="C1012" t="str">
            <v>AREU5086AG</v>
          </cell>
          <cell r="D1012" t="str">
            <v>CORE</v>
          </cell>
          <cell r="E1012" t="str">
            <v>CO26</v>
          </cell>
          <cell r="F1012">
            <v>10999</v>
          </cell>
          <cell r="G1012" t="str">
            <v>AR</v>
          </cell>
          <cell r="H1012" t="str">
            <v>ARRARMSUT</v>
          </cell>
          <cell r="I1012" t="str">
            <v>AREU5086AG008</v>
          </cell>
          <cell r="J1012" t="str">
            <v>48</v>
          </cell>
          <cell r="K1012" t="str">
            <v>SUIT</v>
          </cell>
          <cell r="L1012" t="str">
            <v>NOD</v>
          </cell>
        </row>
        <row r="1013">
          <cell r="C1013" t="str">
            <v>AREU5086AG</v>
          </cell>
          <cell r="D1013" t="str">
            <v>CORE</v>
          </cell>
          <cell r="E1013" t="str">
            <v>CO26</v>
          </cell>
          <cell r="F1013">
            <v>10999</v>
          </cell>
          <cell r="G1013" t="str">
            <v>AR</v>
          </cell>
          <cell r="H1013" t="str">
            <v>ARRARMSUT</v>
          </cell>
          <cell r="I1013" t="str">
            <v>AREU5086AG009</v>
          </cell>
          <cell r="J1013" t="str">
            <v>50</v>
          </cell>
          <cell r="K1013" t="str">
            <v>SUIT</v>
          </cell>
          <cell r="L1013" t="str">
            <v>NOD</v>
          </cell>
        </row>
        <row r="1014">
          <cell r="C1014" t="str">
            <v>AREU5086AG</v>
          </cell>
          <cell r="D1014" t="str">
            <v>CORE</v>
          </cell>
          <cell r="E1014" t="str">
            <v>CO26</v>
          </cell>
          <cell r="F1014">
            <v>10999</v>
          </cell>
          <cell r="G1014" t="str">
            <v>AR</v>
          </cell>
          <cell r="H1014" t="str">
            <v>ARRARMSUT</v>
          </cell>
          <cell r="I1014" t="str">
            <v>AREU5086AG010</v>
          </cell>
          <cell r="J1014" t="str">
            <v>52</v>
          </cell>
          <cell r="K1014" t="str">
            <v>SUIT</v>
          </cell>
          <cell r="L1014" t="str">
            <v>NOD</v>
          </cell>
        </row>
        <row r="1015">
          <cell r="C1015" t="str">
            <v>AREU5087A</v>
          </cell>
          <cell r="D1015" t="str">
            <v>CORE</v>
          </cell>
          <cell r="E1015" t="str">
            <v>CO25</v>
          </cell>
          <cell r="F1015">
            <v>10534</v>
          </cell>
          <cell r="G1015" t="str">
            <v>AR</v>
          </cell>
          <cell r="H1015" t="str">
            <v>ARRARMSUT</v>
          </cell>
          <cell r="I1015" t="str">
            <v>AREU5087A001</v>
          </cell>
          <cell r="J1015" t="str">
            <v>36</v>
          </cell>
          <cell r="K1015" t="str">
            <v>SUIT</v>
          </cell>
          <cell r="L1015" t="str">
            <v>NOD</v>
          </cell>
        </row>
        <row r="1016">
          <cell r="C1016" t="str">
            <v>AREU5087A</v>
          </cell>
          <cell r="D1016" t="str">
            <v>CORE</v>
          </cell>
          <cell r="E1016" t="str">
            <v>CO25</v>
          </cell>
          <cell r="F1016">
            <v>10534</v>
          </cell>
          <cell r="G1016" t="str">
            <v>AR</v>
          </cell>
          <cell r="H1016" t="str">
            <v>ARRARMSUT</v>
          </cell>
          <cell r="I1016" t="str">
            <v>AREU5087A002</v>
          </cell>
          <cell r="J1016" t="str">
            <v>38</v>
          </cell>
          <cell r="K1016" t="str">
            <v>SUIT</v>
          </cell>
          <cell r="L1016" t="str">
            <v>NOD</v>
          </cell>
        </row>
        <row r="1017">
          <cell r="C1017" t="str">
            <v>AREU5087A</v>
          </cell>
          <cell r="D1017" t="str">
            <v>CORE</v>
          </cell>
          <cell r="E1017" t="str">
            <v>CO25</v>
          </cell>
          <cell r="F1017">
            <v>10534</v>
          </cell>
          <cell r="G1017" t="str">
            <v>AR</v>
          </cell>
          <cell r="H1017" t="str">
            <v>ARRARMSUT</v>
          </cell>
          <cell r="I1017" t="str">
            <v>AREU5087A003</v>
          </cell>
          <cell r="J1017" t="str">
            <v>40</v>
          </cell>
          <cell r="K1017" t="str">
            <v>SUIT</v>
          </cell>
          <cell r="L1017" t="str">
            <v>NOD</v>
          </cell>
        </row>
        <row r="1018">
          <cell r="C1018" t="str">
            <v>AREU5087A</v>
          </cell>
          <cell r="D1018" t="str">
            <v>CORE</v>
          </cell>
          <cell r="E1018" t="str">
            <v>CO25</v>
          </cell>
          <cell r="F1018">
            <v>10534</v>
          </cell>
          <cell r="G1018" t="str">
            <v>AR</v>
          </cell>
          <cell r="H1018" t="str">
            <v>ARRARMSUT</v>
          </cell>
          <cell r="I1018" t="str">
            <v>AREU5087A004</v>
          </cell>
          <cell r="J1018" t="str">
            <v>42</v>
          </cell>
          <cell r="K1018" t="str">
            <v>SUIT</v>
          </cell>
          <cell r="L1018" t="str">
            <v>NOD</v>
          </cell>
        </row>
        <row r="1019">
          <cell r="C1019" t="str">
            <v>AREU5087A</v>
          </cell>
          <cell r="D1019" t="str">
            <v>CORE</v>
          </cell>
          <cell r="E1019" t="str">
            <v>CO25</v>
          </cell>
          <cell r="F1019">
            <v>10534</v>
          </cell>
          <cell r="G1019" t="str">
            <v>AR</v>
          </cell>
          <cell r="H1019" t="str">
            <v>ARRARMSUT</v>
          </cell>
          <cell r="I1019" t="str">
            <v>AREU5087A005</v>
          </cell>
          <cell r="J1019" t="str">
            <v>44</v>
          </cell>
          <cell r="K1019" t="str">
            <v>SUIT</v>
          </cell>
          <cell r="L1019" t="str">
            <v>NOD</v>
          </cell>
        </row>
        <row r="1020">
          <cell r="C1020" t="str">
            <v>AREU5087A</v>
          </cell>
          <cell r="D1020" t="str">
            <v>CORE</v>
          </cell>
          <cell r="E1020" t="str">
            <v>CO25</v>
          </cell>
          <cell r="F1020">
            <v>10534</v>
          </cell>
          <cell r="G1020" t="str">
            <v>AR</v>
          </cell>
          <cell r="H1020" t="str">
            <v>ARRARMSUT</v>
          </cell>
          <cell r="I1020" t="str">
            <v>AREU5087A006</v>
          </cell>
          <cell r="J1020" t="str">
            <v>46</v>
          </cell>
          <cell r="K1020" t="str">
            <v>SUIT</v>
          </cell>
          <cell r="L1020" t="str">
            <v>NOD</v>
          </cell>
        </row>
        <row r="1021">
          <cell r="C1021" t="str">
            <v>AREU5087A</v>
          </cell>
          <cell r="D1021" t="str">
            <v>CORE</v>
          </cell>
          <cell r="E1021" t="str">
            <v>CO25</v>
          </cell>
          <cell r="F1021">
            <v>10534</v>
          </cell>
          <cell r="G1021" t="str">
            <v>AR</v>
          </cell>
          <cell r="H1021" t="str">
            <v>ARRARMSUT</v>
          </cell>
          <cell r="I1021" t="str">
            <v>AREU5087A007</v>
          </cell>
          <cell r="J1021" t="str">
            <v>48</v>
          </cell>
          <cell r="K1021" t="str">
            <v>SUIT</v>
          </cell>
          <cell r="L1021" t="str">
            <v>NOD</v>
          </cell>
        </row>
        <row r="1022">
          <cell r="C1022" t="str">
            <v>AREU5087A</v>
          </cell>
          <cell r="D1022" t="str">
            <v>CORE</v>
          </cell>
          <cell r="E1022" t="str">
            <v>CO25</v>
          </cell>
          <cell r="F1022">
            <v>10534</v>
          </cell>
          <cell r="G1022" t="str">
            <v>AR</v>
          </cell>
          <cell r="H1022" t="str">
            <v>ARRARMSUT</v>
          </cell>
          <cell r="I1022" t="str">
            <v>AREU5087A008</v>
          </cell>
          <cell r="J1022" t="str">
            <v>50</v>
          </cell>
          <cell r="K1022" t="str">
            <v>SUIT</v>
          </cell>
          <cell r="L1022" t="str">
            <v>NOD</v>
          </cell>
        </row>
        <row r="1023">
          <cell r="C1023" t="str">
            <v>AREU5087A</v>
          </cell>
          <cell r="D1023" t="str">
            <v>CORE</v>
          </cell>
          <cell r="E1023" t="str">
            <v>CO25</v>
          </cell>
          <cell r="F1023">
            <v>10534</v>
          </cell>
          <cell r="G1023" t="str">
            <v>AR</v>
          </cell>
          <cell r="H1023" t="str">
            <v>ARRARMSUT</v>
          </cell>
          <cell r="I1023" t="str">
            <v>AREU5087A009</v>
          </cell>
          <cell r="J1023" t="str">
            <v>52</v>
          </cell>
          <cell r="K1023" t="str">
            <v>SUIT</v>
          </cell>
          <cell r="L1023" t="str">
            <v>NOD</v>
          </cell>
        </row>
        <row r="1024">
          <cell r="C1024" t="str">
            <v>AREU5087A</v>
          </cell>
          <cell r="D1024" t="str">
            <v>CORE</v>
          </cell>
          <cell r="E1024" t="str">
            <v>CO25</v>
          </cell>
          <cell r="F1024">
            <v>10534</v>
          </cell>
          <cell r="G1024" t="str">
            <v>AR</v>
          </cell>
          <cell r="H1024" t="str">
            <v>ARRARMSUT</v>
          </cell>
          <cell r="I1024" t="str">
            <v>AREU5087A010</v>
          </cell>
          <cell r="J1024" t="str">
            <v>34</v>
          </cell>
          <cell r="K1024" t="str">
            <v>SUIT</v>
          </cell>
          <cell r="L1024" t="str">
            <v>NOD</v>
          </cell>
        </row>
        <row r="1025">
          <cell r="C1025" t="str">
            <v>AREU5087AG</v>
          </cell>
          <cell r="D1025" t="str">
            <v>CORE</v>
          </cell>
          <cell r="E1025" t="str">
            <v>CO26</v>
          </cell>
          <cell r="F1025">
            <v>10999</v>
          </cell>
          <cell r="G1025" t="str">
            <v>AR</v>
          </cell>
          <cell r="H1025" t="str">
            <v>ARRARMSUT</v>
          </cell>
          <cell r="I1025" t="str">
            <v>AREU5087AG001</v>
          </cell>
          <cell r="J1025" t="str">
            <v>34</v>
          </cell>
          <cell r="K1025" t="str">
            <v>SUIT</v>
          </cell>
          <cell r="L1025" t="str">
            <v>NOD</v>
          </cell>
        </row>
        <row r="1026">
          <cell r="C1026" t="str">
            <v>AREU5087AG</v>
          </cell>
          <cell r="D1026" t="str">
            <v>CORE</v>
          </cell>
          <cell r="E1026" t="str">
            <v>CO26</v>
          </cell>
          <cell r="F1026">
            <v>10999</v>
          </cell>
          <cell r="G1026" t="str">
            <v>AR</v>
          </cell>
          <cell r="H1026" t="str">
            <v>ARRARMSUT</v>
          </cell>
          <cell r="I1026" t="str">
            <v>AREU5087AG002</v>
          </cell>
          <cell r="J1026" t="str">
            <v>36</v>
          </cell>
          <cell r="K1026" t="str">
            <v>SUIT</v>
          </cell>
          <cell r="L1026" t="str">
            <v>NOD</v>
          </cell>
        </row>
        <row r="1027">
          <cell r="C1027" t="str">
            <v>AREU5087AG</v>
          </cell>
          <cell r="D1027" t="str">
            <v>CORE</v>
          </cell>
          <cell r="E1027" t="str">
            <v>CO26</v>
          </cell>
          <cell r="F1027">
            <v>10999</v>
          </cell>
          <cell r="G1027" t="str">
            <v>AR</v>
          </cell>
          <cell r="H1027" t="str">
            <v>ARRARMSUT</v>
          </cell>
          <cell r="I1027" t="str">
            <v>AREU5087AG003</v>
          </cell>
          <cell r="J1027" t="str">
            <v>38</v>
          </cell>
          <cell r="K1027" t="str">
            <v>SUIT</v>
          </cell>
          <cell r="L1027" t="str">
            <v>NOD</v>
          </cell>
        </row>
        <row r="1028">
          <cell r="C1028" t="str">
            <v>AREU5087AG</v>
          </cell>
          <cell r="D1028" t="str">
            <v>CORE</v>
          </cell>
          <cell r="E1028" t="str">
            <v>CO26</v>
          </cell>
          <cell r="F1028">
            <v>10999</v>
          </cell>
          <cell r="G1028" t="str">
            <v>AR</v>
          </cell>
          <cell r="H1028" t="str">
            <v>ARRARMSUT</v>
          </cell>
          <cell r="I1028" t="str">
            <v>AREU5087AG004</v>
          </cell>
          <cell r="J1028" t="str">
            <v>40</v>
          </cell>
          <cell r="K1028" t="str">
            <v>SUIT</v>
          </cell>
          <cell r="L1028" t="str">
            <v>NOD</v>
          </cell>
        </row>
        <row r="1029">
          <cell r="C1029" t="str">
            <v>AREU5087AG</v>
          </cell>
          <cell r="D1029" t="str">
            <v>CORE</v>
          </cell>
          <cell r="E1029" t="str">
            <v>CO26</v>
          </cell>
          <cell r="F1029">
            <v>10999</v>
          </cell>
          <cell r="G1029" t="str">
            <v>AR</v>
          </cell>
          <cell r="H1029" t="str">
            <v>ARRARMSUT</v>
          </cell>
          <cell r="I1029" t="str">
            <v>AREU5087AG005</v>
          </cell>
          <cell r="J1029" t="str">
            <v>42</v>
          </cell>
          <cell r="K1029" t="str">
            <v>SUIT</v>
          </cell>
          <cell r="L1029" t="str">
            <v>NOD</v>
          </cell>
        </row>
        <row r="1030">
          <cell r="C1030" t="str">
            <v>AREU5087AG</v>
          </cell>
          <cell r="D1030" t="str">
            <v>CORE</v>
          </cell>
          <cell r="E1030" t="str">
            <v>CO26</v>
          </cell>
          <cell r="F1030">
            <v>10999</v>
          </cell>
          <cell r="G1030" t="str">
            <v>AR</v>
          </cell>
          <cell r="H1030" t="str">
            <v>ARRARMSUT</v>
          </cell>
          <cell r="I1030" t="str">
            <v>AREU5087AG006</v>
          </cell>
          <cell r="J1030" t="str">
            <v>44</v>
          </cell>
          <cell r="K1030" t="str">
            <v>SUIT</v>
          </cell>
          <cell r="L1030" t="str">
            <v>NOD</v>
          </cell>
        </row>
        <row r="1031">
          <cell r="C1031" t="str">
            <v>AREU5087AG</v>
          </cell>
          <cell r="D1031" t="str">
            <v>CORE</v>
          </cell>
          <cell r="E1031" t="str">
            <v>CO26</v>
          </cell>
          <cell r="F1031">
            <v>10999</v>
          </cell>
          <cell r="G1031" t="str">
            <v>AR</v>
          </cell>
          <cell r="H1031" t="str">
            <v>ARRARMSUT</v>
          </cell>
          <cell r="I1031" t="str">
            <v>AREU5087AG007</v>
          </cell>
          <cell r="J1031" t="str">
            <v>46</v>
          </cell>
          <cell r="K1031" t="str">
            <v>SUIT</v>
          </cell>
          <cell r="L1031" t="str">
            <v>NOD</v>
          </cell>
        </row>
        <row r="1032">
          <cell r="C1032" t="str">
            <v>AREU5087AG</v>
          </cell>
          <cell r="D1032" t="str">
            <v>CORE</v>
          </cell>
          <cell r="E1032" t="str">
            <v>CO26</v>
          </cell>
          <cell r="F1032">
            <v>10999</v>
          </cell>
          <cell r="G1032" t="str">
            <v>AR</v>
          </cell>
          <cell r="H1032" t="str">
            <v>ARRARMSUT</v>
          </cell>
          <cell r="I1032" t="str">
            <v>AREU5087AG008</v>
          </cell>
          <cell r="J1032" t="str">
            <v>48</v>
          </cell>
          <cell r="K1032" t="str">
            <v>SUIT</v>
          </cell>
          <cell r="L1032" t="str">
            <v>NOD</v>
          </cell>
        </row>
        <row r="1033">
          <cell r="C1033" t="str">
            <v>AREU5087AG</v>
          </cell>
          <cell r="D1033" t="str">
            <v>CORE</v>
          </cell>
          <cell r="E1033" t="str">
            <v>CO26</v>
          </cell>
          <cell r="F1033">
            <v>10999</v>
          </cell>
          <cell r="G1033" t="str">
            <v>AR</v>
          </cell>
          <cell r="H1033" t="str">
            <v>ARRARMSUT</v>
          </cell>
          <cell r="I1033" t="str">
            <v>AREU5087AG009</v>
          </cell>
          <cell r="J1033" t="str">
            <v>50</v>
          </cell>
          <cell r="K1033" t="str">
            <v>SUIT</v>
          </cell>
          <cell r="L1033" t="str">
            <v>NOD</v>
          </cell>
        </row>
        <row r="1034">
          <cell r="C1034" t="str">
            <v>AREU5087AG</v>
          </cell>
          <cell r="D1034" t="str">
            <v>CORE</v>
          </cell>
          <cell r="E1034" t="str">
            <v>CO26</v>
          </cell>
          <cell r="F1034">
            <v>10999</v>
          </cell>
          <cell r="G1034" t="str">
            <v>AR</v>
          </cell>
          <cell r="H1034" t="str">
            <v>ARRARMSUT</v>
          </cell>
          <cell r="I1034" t="str">
            <v>AREU5087AG010</v>
          </cell>
          <cell r="J1034" t="str">
            <v>52</v>
          </cell>
          <cell r="K1034" t="str">
            <v>SUIT</v>
          </cell>
          <cell r="L1034" t="str">
            <v>NOD</v>
          </cell>
        </row>
        <row r="1035">
          <cell r="C1035" t="str">
            <v>ARGT6005C</v>
          </cell>
          <cell r="D1035" t="str">
            <v>CORE</v>
          </cell>
          <cell r="E1035" t="str">
            <v>CO24</v>
          </cell>
          <cell r="F1035">
            <v>2399</v>
          </cell>
          <cell r="G1035" t="str">
            <v>AR</v>
          </cell>
          <cell r="H1035" t="str">
            <v>ARRARMWTR</v>
          </cell>
          <cell r="I1035" t="str">
            <v>ARGT6005C001</v>
          </cell>
          <cell r="J1035" t="str">
            <v>28</v>
          </cell>
          <cell r="K1035" t="str">
            <v>TROUSER</v>
          </cell>
          <cell r="L1035" t="str">
            <v>NOD</v>
          </cell>
        </row>
        <row r="1036">
          <cell r="C1036" t="str">
            <v>ARGT6005C</v>
          </cell>
          <cell r="D1036" t="str">
            <v>CORE</v>
          </cell>
          <cell r="E1036" t="str">
            <v>CO24</v>
          </cell>
          <cell r="F1036">
            <v>2399</v>
          </cell>
          <cell r="G1036" t="str">
            <v>AR</v>
          </cell>
          <cell r="H1036" t="str">
            <v>ARRARMWTR</v>
          </cell>
          <cell r="I1036" t="str">
            <v>ARGT6005C002</v>
          </cell>
          <cell r="J1036" t="str">
            <v>30</v>
          </cell>
          <cell r="K1036" t="str">
            <v>TROUSER</v>
          </cell>
          <cell r="L1036" t="str">
            <v>NOD</v>
          </cell>
        </row>
        <row r="1037">
          <cell r="C1037" t="str">
            <v>ARGT6005C</v>
          </cell>
          <cell r="D1037" t="str">
            <v>CORE</v>
          </cell>
          <cell r="E1037" t="str">
            <v>CO24</v>
          </cell>
          <cell r="F1037">
            <v>2399</v>
          </cell>
          <cell r="G1037" t="str">
            <v>AR</v>
          </cell>
          <cell r="H1037" t="str">
            <v>ARRARMWTR</v>
          </cell>
          <cell r="I1037" t="str">
            <v>ARGT6005C003</v>
          </cell>
          <cell r="J1037" t="str">
            <v>32</v>
          </cell>
          <cell r="K1037" t="str">
            <v>TROUSER</v>
          </cell>
          <cell r="L1037" t="str">
            <v>NOD</v>
          </cell>
        </row>
        <row r="1038">
          <cell r="C1038" t="str">
            <v>ARGT6005C</v>
          </cell>
          <cell r="D1038" t="str">
            <v>CORE</v>
          </cell>
          <cell r="E1038" t="str">
            <v>CO24</v>
          </cell>
          <cell r="F1038">
            <v>2399</v>
          </cell>
          <cell r="G1038" t="str">
            <v>AR</v>
          </cell>
          <cell r="H1038" t="str">
            <v>ARRARMWTR</v>
          </cell>
          <cell r="I1038" t="str">
            <v>ARGT6005C004</v>
          </cell>
          <cell r="J1038" t="str">
            <v>34</v>
          </cell>
          <cell r="K1038" t="str">
            <v>TROUSER</v>
          </cell>
          <cell r="L1038" t="str">
            <v>NOD</v>
          </cell>
        </row>
        <row r="1039">
          <cell r="C1039" t="str">
            <v>ARGT6005C</v>
          </cell>
          <cell r="D1039" t="str">
            <v>CORE</v>
          </cell>
          <cell r="E1039" t="str">
            <v>CO24</v>
          </cell>
          <cell r="F1039">
            <v>2399</v>
          </cell>
          <cell r="G1039" t="str">
            <v>AR</v>
          </cell>
          <cell r="H1039" t="str">
            <v>ARRARMWTR</v>
          </cell>
          <cell r="I1039" t="str">
            <v>ARGT6005C005</v>
          </cell>
          <cell r="J1039" t="str">
            <v>36</v>
          </cell>
          <cell r="K1039" t="str">
            <v>TROUSER</v>
          </cell>
          <cell r="L1039" t="str">
            <v>NOD</v>
          </cell>
        </row>
        <row r="1040">
          <cell r="C1040" t="str">
            <v>ARGT6005C</v>
          </cell>
          <cell r="D1040" t="str">
            <v>CORE</v>
          </cell>
          <cell r="E1040" t="str">
            <v>CO24</v>
          </cell>
          <cell r="F1040">
            <v>2399</v>
          </cell>
          <cell r="G1040" t="str">
            <v>AR</v>
          </cell>
          <cell r="H1040" t="str">
            <v>ARRARMWTR</v>
          </cell>
          <cell r="I1040" t="str">
            <v>ARGT6005C006</v>
          </cell>
          <cell r="J1040" t="str">
            <v>38</v>
          </cell>
          <cell r="K1040" t="str">
            <v>TROUSER</v>
          </cell>
          <cell r="L1040" t="str">
            <v>NOD</v>
          </cell>
        </row>
        <row r="1041">
          <cell r="C1041" t="str">
            <v>ARGT6005C</v>
          </cell>
          <cell r="D1041" t="str">
            <v>CORE</v>
          </cell>
          <cell r="E1041" t="str">
            <v>CO24</v>
          </cell>
          <cell r="F1041">
            <v>2399</v>
          </cell>
          <cell r="G1041" t="str">
            <v>AR</v>
          </cell>
          <cell r="H1041" t="str">
            <v>ARRARMWTR</v>
          </cell>
          <cell r="I1041" t="str">
            <v>ARGT6005C007</v>
          </cell>
          <cell r="J1041" t="str">
            <v>40</v>
          </cell>
          <cell r="K1041" t="str">
            <v>TROUSER</v>
          </cell>
          <cell r="L1041" t="str">
            <v>NOD</v>
          </cell>
        </row>
        <row r="1042">
          <cell r="C1042" t="str">
            <v>ARGT6005C</v>
          </cell>
          <cell r="D1042" t="str">
            <v>CORE</v>
          </cell>
          <cell r="E1042" t="str">
            <v>CO24</v>
          </cell>
          <cell r="F1042">
            <v>2599</v>
          </cell>
          <cell r="G1042" t="str">
            <v>AR</v>
          </cell>
          <cell r="H1042" t="str">
            <v>ARRARMWTR</v>
          </cell>
          <cell r="I1042" t="str">
            <v>ARGT6005C008</v>
          </cell>
          <cell r="J1042" t="str">
            <v>42</v>
          </cell>
          <cell r="K1042" t="str">
            <v>TROUSER</v>
          </cell>
          <cell r="L1042" t="str">
            <v>NOD</v>
          </cell>
        </row>
        <row r="1043">
          <cell r="C1043" t="str">
            <v>ARGT6005C</v>
          </cell>
          <cell r="D1043" t="str">
            <v>CORE</v>
          </cell>
          <cell r="E1043" t="str">
            <v>CO24</v>
          </cell>
          <cell r="F1043">
            <v>2599</v>
          </cell>
          <cell r="G1043" t="str">
            <v>AR</v>
          </cell>
          <cell r="H1043" t="str">
            <v>ARRARMWTR</v>
          </cell>
          <cell r="I1043" t="str">
            <v>ARGT6005C009</v>
          </cell>
          <cell r="J1043" t="str">
            <v>44</v>
          </cell>
          <cell r="K1043" t="str">
            <v>TROUSER</v>
          </cell>
          <cell r="L1043" t="str">
            <v>NOD</v>
          </cell>
        </row>
        <row r="1044">
          <cell r="C1044" t="str">
            <v>ARGT6005C</v>
          </cell>
          <cell r="D1044" t="str">
            <v>CORE</v>
          </cell>
          <cell r="E1044" t="str">
            <v>CO24</v>
          </cell>
          <cell r="F1044">
            <v>2599</v>
          </cell>
          <cell r="G1044" t="str">
            <v>AR</v>
          </cell>
          <cell r="H1044" t="str">
            <v>ARRARMWTR</v>
          </cell>
          <cell r="I1044" t="str">
            <v>ARGT6005C010</v>
          </cell>
          <cell r="J1044" t="str">
            <v>46</v>
          </cell>
          <cell r="K1044" t="str">
            <v>TROUSER</v>
          </cell>
          <cell r="L1044" t="str">
            <v>NOD</v>
          </cell>
        </row>
        <row r="1045">
          <cell r="C1045" t="str">
            <v>ARGT6005C</v>
          </cell>
          <cell r="D1045" t="str">
            <v>CORE</v>
          </cell>
          <cell r="E1045" t="str">
            <v>CO24</v>
          </cell>
          <cell r="F1045">
            <v>2599</v>
          </cell>
          <cell r="G1045" t="str">
            <v>AR</v>
          </cell>
          <cell r="H1045" t="str">
            <v>ARRARMWTR</v>
          </cell>
          <cell r="I1045" t="str">
            <v>ARGT6005C011</v>
          </cell>
          <cell r="J1045" t="str">
            <v>48</v>
          </cell>
          <cell r="K1045" t="str">
            <v>TROUSER</v>
          </cell>
          <cell r="L1045" t="str">
            <v>NOD</v>
          </cell>
        </row>
        <row r="1046">
          <cell r="C1046" t="str">
            <v>ARGT6005C</v>
          </cell>
          <cell r="D1046" t="str">
            <v>CORE</v>
          </cell>
          <cell r="E1046" t="str">
            <v>CO24</v>
          </cell>
          <cell r="F1046">
            <v>2599</v>
          </cell>
          <cell r="G1046" t="str">
            <v>AR</v>
          </cell>
          <cell r="H1046" t="str">
            <v>ARRARMWTR</v>
          </cell>
          <cell r="I1046" t="str">
            <v>ARGT6005C012</v>
          </cell>
          <cell r="J1046" t="str">
            <v>50</v>
          </cell>
          <cell r="K1046" t="str">
            <v>TROUSER</v>
          </cell>
          <cell r="L1046" t="str">
            <v>NOD</v>
          </cell>
        </row>
        <row r="1047">
          <cell r="C1047" t="str">
            <v>ARGT6015B</v>
          </cell>
          <cell r="D1047" t="str">
            <v>CORE</v>
          </cell>
          <cell r="E1047" t="str">
            <v>CO25</v>
          </cell>
          <cell r="F1047">
            <v>2699</v>
          </cell>
          <cell r="G1047" t="str">
            <v>AR</v>
          </cell>
          <cell r="H1047" t="str">
            <v>ARRARMWTR</v>
          </cell>
          <cell r="I1047" t="str">
            <v>ARGT6015B001</v>
          </cell>
          <cell r="J1047" t="str">
            <v>28</v>
          </cell>
          <cell r="K1047" t="str">
            <v>TROUSER</v>
          </cell>
          <cell r="L1047" t="str">
            <v>NOD</v>
          </cell>
        </row>
        <row r="1048">
          <cell r="C1048" t="str">
            <v>ARGT6015B</v>
          </cell>
          <cell r="D1048" t="str">
            <v>CORE</v>
          </cell>
          <cell r="E1048" t="str">
            <v>CO25</v>
          </cell>
          <cell r="F1048">
            <v>2699</v>
          </cell>
          <cell r="G1048" t="str">
            <v>AR</v>
          </cell>
          <cell r="H1048" t="str">
            <v>ARRARMWTR</v>
          </cell>
          <cell r="I1048" t="str">
            <v>ARGT6015B002</v>
          </cell>
          <cell r="J1048" t="str">
            <v>30</v>
          </cell>
          <cell r="K1048" t="str">
            <v>TROUSER</v>
          </cell>
          <cell r="L1048" t="str">
            <v>NOD</v>
          </cell>
        </row>
        <row r="1049">
          <cell r="C1049" t="str">
            <v>ARGT6015B</v>
          </cell>
          <cell r="D1049" t="str">
            <v>CORE</v>
          </cell>
          <cell r="E1049" t="str">
            <v>CO25</v>
          </cell>
          <cell r="F1049">
            <v>2699</v>
          </cell>
          <cell r="G1049" t="str">
            <v>AR</v>
          </cell>
          <cell r="H1049" t="str">
            <v>ARRARMWTR</v>
          </cell>
          <cell r="I1049" t="str">
            <v>ARGT6015B003</v>
          </cell>
          <cell r="J1049" t="str">
            <v>32</v>
          </cell>
          <cell r="K1049" t="str">
            <v>TROUSER</v>
          </cell>
          <cell r="L1049" t="str">
            <v>NOD</v>
          </cell>
        </row>
        <row r="1050">
          <cell r="C1050" t="str">
            <v>ARGT6015B</v>
          </cell>
          <cell r="D1050" t="str">
            <v>CORE</v>
          </cell>
          <cell r="E1050" t="str">
            <v>CO25</v>
          </cell>
          <cell r="F1050">
            <v>2699</v>
          </cell>
          <cell r="G1050" t="str">
            <v>AR</v>
          </cell>
          <cell r="H1050" t="str">
            <v>ARRARMWTR</v>
          </cell>
          <cell r="I1050" t="str">
            <v>ARGT6015B004</v>
          </cell>
          <cell r="J1050" t="str">
            <v>34</v>
          </cell>
          <cell r="K1050" t="str">
            <v>TROUSER</v>
          </cell>
          <cell r="L1050" t="str">
            <v>NOD</v>
          </cell>
        </row>
        <row r="1051">
          <cell r="C1051" t="str">
            <v>ARGT6015B</v>
          </cell>
          <cell r="D1051" t="str">
            <v>CORE</v>
          </cell>
          <cell r="E1051" t="str">
            <v>CO25</v>
          </cell>
          <cell r="F1051">
            <v>2699</v>
          </cell>
          <cell r="G1051" t="str">
            <v>AR</v>
          </cell>
          <cell r="H1051" t="str">
            <v>ARRARMWTR</v>
          </cell>
          <cell r="I1051" t="str">
            <v>ARGT6015B005</v>
          </cell>
          <cell r="J1051" t="str">
            <v>36</v>
          </cell>
          <cell r="K1051" t="str">
            <v>TROUSER</v>
          </cell>
          <cell r="L1051" t="str">
            <v>NOD</v>
          </cell>
        </row>
        <row r="1052">
          <cell r="C1052" t="str">
            <v>ARGT6015B</v>
          </cell>
          <cell r="D1052" t="str">
            <v>CORE</v>
          </cell>
          <cell r="E1052" t="str">
            <v>CO25</v>
          </cell>
          <cell r="F1052">
            <v>2699</v>
          </cell>
          <cell r="G1052" t="str">
            <v>AR</v>
          </cell>
          <cell r="H1052" t="str">
            <v>ARRARMWTR</v>
          </cell>
          <cell r="I1052" t="str">
            <v>ARGT6015B006</v>
          </cell>
          <cell r="J1052" t="str">
            <v>38</v>
          </cell>
          <cell r="K1052" t="str">
            <v>TROUSER</v>
          </cell>
          <cell r="L1052" t="str">
            <v>NOD</v>
          </cell>
        </row>
        <row r="1053">
          <cell r="C1053" t="str">
            <v>ARGT6015B</v>
          </cell>
          <cell r="D1053" t="str">
            <v>CORE</v>
          </cell>
          <cell r="E1053" t="str">
            <v>CO25</v>
          </cell>
          <cell r="F1053">
            <v>2699</v>
          </cell>
          <cell r="G1053" t="str">
            <v>AR</v>
          </cell>
          <cell r="H1053" t="str">
            <v>ARRARMWTR</v>
          </cell>
          <cell r="I1053" t="str">
            <v>ARGT6015B007</v>
          </cell>
          <cell r="J1053" t="str">
            <v>40</v>
          </cell>
          <cell r="K1053" t="str">
            <v>TROUSER</v>
          </cell>
          <cell r="L1053" t="str">
            <v>NOD</v>
          </cell>
        </row>
        <row r="1054">
          <cell r="C1054" t="str">
            <v>ARGT6015B</v>
          </cell>
          <cell r="D1054" t="str">
            <v>CORE</v>
          </cell>
          <cell r="E1054" t="str">
            <v>CO25</v>
          </cell>
          <cell r="F1054">
            <v>3054</v>
          </cell>
          <cell r="G1054" t="str">
            <v>AR</v>
          </cell>
          <cell r="H1054" t="str">
            <v>ARRARMWTR</v>
          </cell>
          <cell r="I1054" t="str">
            <v>ARGT6015B008</v>
          </cell>
          <cell r="J1054" t="str">
            <v>42</v>
          </cell>
          <cell r="K1054" t="str">
            <v>TROUSER</v>
          </cell>
          <cell r="L1054" t="str">
            <v>NOD</v>
          </cell>
        </row>
        <row r="1055">
          <cell r="C1055" t="str">
            <v>ARGT6015B</v>
          </cell>
          <cell r="D1055" t="str">
            <v>CORE</v>
          </cell>
          <cell r="E1055" t="str">
            <v>CO25</v>
          </cell>
          <cell r="F1055">
            <v>3054</v>
          </cell>
          <cell r="G1055" t="str">
            <v>AR</v>
          </cell>
          <cell r="H1055" t="str">
            <v>ARRARMWTR</v>
          </cell>
          <cell r="I1055" t="str">
            <v>ARGT6015B009</v>
          </cell>
          <cell r="J1055" t="str">
            <v>44</v>
          </cell>
          <cell r="K1055" t="str">
            <v>TROUSER</v>
          </cell>
          <cell r="L1055" t="str">
            <v>NOD</v>
          </cell>
        </row>
        <row r="1056">
          <cell r="C1056" t="str">
            <v>ARGT6015B</v>
          </cell>
          <cell r="D1056" t="str">
            <v>CORE</v>
          </cell>
          <cell r="E1056" t="str">
            <v>CO25</v>
          </cell>
          <cell r="F1056">
            <v>3054</v>
          </cell>
          <cell r="G1056" t="str">
            <v>AR</v>
          </cell>
          <cell r="H1056" t="str">
            <v>ARRARMWTR</v>
          </cell>
          <cell r="I1056" t="str">
            <v>ARGT6015B010</v>
          </cell>
          <cell r="J1056" t="str">
            <v>46</v>
          </cell>
          <cell r="K1056" t="str">
            <v>TROUSER</v>
          </cell>
          <cell r="L1056" t="str">
            <v>NOD</v>
          </cell>
        </row>
        <row r="1057">
          <cell r="C1057" t="str">
            <v>ARGT6015B</v>
          </cell>
          <cell r="D1057" t="str">
            <v>CORE</v>
          </cell>
          <cell r="E1057" t="str">
            <v>CO25</v>
          </cell>
          <cell r="F1057">
            <v>3054</v>
          </cell>
          <cell r="G1057" t="str">
            <v>AR</v>
          </cell>
          <cell r="H1057" t="str">
            <v>ARRARMWTR</v>
          </cell>
          <cell r="I1057" t="str">
            <v>ARGT6015B011</v>
          </cell>
          <cell r="J1057" t="str">
            <v>48</v>
          </cell>
          <cell r="K1057" t="str">
            <v>TROUSER</v>
          </cell>
          <cell r="L1057" t="str">
            <v>NOD</v>
          </cell>
        </row>
        <row r="1058">
          <cell r="C1058" t="str">
            <v>ARGT6015B</v>
          </cell>
          <cell r="D1058" t="str">
            <v>CORE</v>
          </cell>
          <cell r="E1058" t="str">
            <v>CO25</v>
          </cell>
          <cell r="F1058">
            <v>3054</v>
          </cell>
          <cell r="G1058" t="str">
            <v>AR</v>
          </cell>
          <cell r="H1058" t="str">
            <v>ARRARMWTR</v>
          </cell>
          <cell r="I1058" t="str">
            <v>ARGT6015B012</v>
          </cell>
          <cell r="J1058" t="str">
            <v>50</v>
          </cell>
          <cell r="K1058" t="str">
            <v>TROUSER</v>
          </cell>
          <cell r="L1058" t="str">
            <v>NOD</v>
          </cell>
        </row>
        <row r="1059">
          <cell r="C1059" t="str">
            <v>ARGT6015BG</v>
          </cell>
          <cell r="D1059" t="str">
            <v>CORE</v>
          </cell>
          <cell r="E1059" t="str">
            <v>CO26</v>
          </cell>
          <cell r="F1059">
            <v>2599</v>
          </cell>
          <cell r="G1059" t="str">
            <v>AR</v>
          </cell>
          <cell r="H1059" t="str">
            <v>ARRARMWTR</v>
          </cell>
          <cell r="I1059" t="str">
            <v>ARGT6015BG001</v>
          </cell>
          <cell r="J1059" t="str">
            <v>28</v>
          </cell>
          <cell r="K1059" t="str">
            <v>TROUSER</v>
          </cell>
          <cell r="L1059" t="str">
            <v>NOD</v>
          </cell>
        </row>
        <row r="1060">
          <cell r="C1060" t="str">
            <v>ARGT6015BG</v>
          </cell>
          <cell r="D1060" t="str">
            <v>CORE</v>
          </cell>
          <cell r="E1060" t="str">
            <v>CO26</v>
          </cell>
          <cell r="F1060">
            <v>2599</v>
          </cell>
          <cell r="G1060" t="str">
            <v>AR</v>
          </cell>
          <cell r="H1060" t="str">
            <v>ARRARMWTR</v>
          </cell>
          <cell r="I1060" t="str">
            <v>ARGT6015BG002</v>
          </cell>
          <cell r="J1060" t="str">
            <v>30</v>
          </cell>
          <cell r="K1060" t="str">
            <v>TROUSER</v>
          </cell>
          <cell r="L1060" t="str">
            <v>NOD</v>
          </cell>
        </row>
        <row r="1061">
          <cell r="C1061" t="str">
            <v>ARGT6015BG</v>
          </cell>
          <cell r="D1061" t="str">
            <v>CORE</v>
          </cell>
          <cell r="E1061" t="str">
            <v>CO26</v>
          </cell>
          <cell r="F1061">
            <v>2599</v>
          </cell>
          <cell r="G1061" t="str">
            <v>AR</v>
          </cell>
          <cell r="H1061" t="str">
            <v>ARRARMWTR</v>
          </cell>
          <cell r="I1061" t="str">
            <v>ARGT6015BG003</v>
          </cell>
          <cell r="J1061" t="str">
            <v>32</v>
          </cell>
          <cell r="K1061" t="str">
            <v>TROUSER</v>
          </cell>
          <cell r="L1061" t="str">
            <v>NOD</v>
          </cell>
        </row>
        <row r="1062">
          <cell r="C1062" t="str">
            <v>ARGT6015BG</v>
          </cell>
          <cell r="D1062" t="str">
            <v>CORE</v>
          </cell>
          <cell r="E1062" t="str">
            <v>CO26</v>
          </cell>
          <cell r="F1062">
            <v>2599</v>
          </cell>
          <cell r="G1062" t="str">
            <v>AR</v>
          </cell>
          <cell r="H1062" t="str">
            <v>ARRARMWTR</v>
          </cell>
          <cell r="I1062" t="str">
            <v>ARGT6015BG004</v>
          </cell>
          <cell r="J1062" t="str">
            <v>34</v>
          </cell>
          <cell r="K1062" t="str">
            <v>TROUSER</v>
          </cell>
          <cell r="L1062" t="str">
            <v>NOD</v>
          </cell>
        </row>
        <row r="1063">
          <cell r="C1063" t="str">
            <v>ARGT6015BG</v>
          </cell>
          <cell r="D1063" t="str">
            <v>CORE</v>
          </cell>
          <cell r="E1063" t="str">
            <v>CO26</v>
          </cell>
          <cell r="F1063">
            <v>2599</v>
          </cell>
          <cell r="G1063" t="str">
            <v>AR</v>
          </cell>
          <cell r="H1063" t="str">
            <v>ARRARMWTR</v>
          </cell>
          <cell r="I1063" t="str">
            <v>ARGT6015BG005</v>
          </cell>
          <cell r="J1063" t="str">
            <v>36</v>
          </cell>
          <cell r="K1063" t="str">
            <v>TROUSER</v>
          </cell>
          <cell r="L1063" t="str">
            <v>NOD</v>
          </cell>
        </row>
        <row r="1064">
          <cell r="C1064" t="str">
            <v>ARGT6015BG</v>
          </cell>
          <cell r="D1064" t="str">
            <v>CORE</v>
          </cell>
          <cell r="E1064" t="str">
            <v>CO26</v>
          </cell>
          <cell r="F1064">
            <v>2599</v>
          </cell>
          <cell r="G1064" t="str">
            <v>AR</v>
          </cell>
          <cell r="H1064" t="str">
            <v>ARRARMWTR</v>
          </cell>
          <cell r="I1064" t="str">
            <v>ARGT6015BG006</v>
          </cell>
          <cell r="J1064" t="str">
            <v>38</v>
          </cell>
          <cell r="K1064" t="str">
            <v>TROUSER</v>
          </cell>
          <cell r="L1064" t="str">
            <v>NOD</v>
          </cell>
        </row>
        <row r="1065">
          <cell r="C1065" t="str">
            <v>ARGT6015BG</v>
          </cell>
          <cell r="D1065" t="str">
            <v>CORE</v>
          </cell>
          <cell r="E1065" t="str">
            <v>CO26</v>
          </cell>
          <cell r="F1065">
            <v>2599</v>
          </cell>
          <cell r="G1065" t="str">
            <v>AR</v>
          </cell>
          <cell r="H1065" t="str">
            <v>ARRARMWTR</v>
          </cell>
          <cell r="I1065" t="str">
            <v>ARGT6015BG007</v>
          </cell>
          <cell r="J1065" t="str">
            <v>40</v>
          </cell>
          <cell r="K1065" t="str">
            <v>TROUSER</v>
          </cell>
          <cell r="L1065" t="str">
            <v>NOD</v>
          </cell>
        </row>
        <row r="1066">
          <cell r="C1066" t="str">
            <v>ARGT6015BG</v>
          </cell>
          <cell r="D1066" t="str">
            <v>CORE</v>
          </cell>
          <cell r="E1066" t="str">
            <v>CO26</v>
          </cell>
          <cell r="F1066">
            <v>2599</v>
          </cell>
          <cell r="G1066" t="str">
            <v>AR</v>
          </cell>
          <cell r="H1066" t="str">
            <v>ARRARMWTR</v>
          </cell>
          <cell r="I1066" t="str">
            <v>ARGT6015BG008</v>
          </cell>
          <cell r="J1066" t="str">
            <v>42</v>
          </cell>
          <cell r="K1066" t="str">
            <v>TROUSER</v>
          </cell>
          <cell r="L1066" t="str">
            <v>NOD</v>
          </cell>
        </row>
        <row r="1067">
          <cell r="C1067" t="str">
            <v>ARGT6015BG</v>
          </cell>
          <cell r="D1067" t="str">
            <v>CORE</v>
          </cell>
          <cell r="E1067" t="str">
            <v>CO26</v>
          </cell>
          <cell r="F1067">
            <v>2599</v>
          </cell>
          <cell r="G1067" t="str">
            <v>AR</v>
          </cell>
          <cell r="H1067" t="str">
            <v>ARRARMWTR</v>
          </cell>
          <cell r="I1067" t="str">
            <v>ARGT6015BG009</v>
          </cell>
          <cell r="J1067" t="str">
            <v>44</v>
          </cell>
          <cell r="K1067" t="str">
            <v>TROUSER</v>
          </cell>
          <cell r="L1067" t="str">
            <v>NOD</v>
          </cell>
        </row>
        <row r="1068">
          <cell r="C1068" t="str">
            <v>ARGT6015BG</v>
          </cell>
          <cell r="D1068" t="str">
            <v>CORE</v>
          </cell>
          <cell r="E1068" t="str">
            <v>CO26</v>
          </cell>
          <cell r="F1068">
            <v>2599</v>
          </cell>
          <cell r="G1068" t="str">
            <v>AR</v>
          </cell>
          <cell r="H1068" t="str">
            <v>ARRARMWTR</v>
          </cell>
          <cell r="I1068" t="str">
            <v>ARGT6015BG010</v>
          </cell>
          <cell r="J1068" t="str">
            <v>46</v>
          </cell>
          <cell r="K1068" t="str">
            <v>TROUSER</v>
          </cell>
          <cell r="L1068" t="str">
            <v>NOD</v>
          </cell>
        </row>
        <row r="1069">
          <cell r="C1069" t="str">
            <v>ARGT6015BG</v>
          </cell>
          <cell r="D1069" t="str">
            <v>CORE</v>
          </cell>
          <cell r="E1069" t="str">
            <v>CO26</v>
          </cell>
          <cell r="F1069">
            <v>2599</v>
          </cell>
          <cell r="G1069" t="str">
            <v>AR</v>
          </cell>
          <cell r="H1069" t="str">
            <v>ARRARMWTR</v>
          </cell>
          <cell r="I1069" t="str">
            <v>ARGT6015BG011</v>
          </cell>
          <cell r="J1069" t="str">
            <v>48</v>
          </cell>
          <cell r="K1069" t="str">
            <v>TROUSER</v>
          </cell>
          <cell r="L1069" t="str">
            <v>NOD</v>
          </cell>
        </row>
        <row r="1070">
          <cell r="C1070" t="str">
            <v>ARGT6015BG</v>
          </cell>
          <cell r="D1070" t="str">
            <v>CORE</v>
          </cell>
          <cell r="E1070" t="str">
            <v>CO26</v>
          </cell>
          <cell r="F1070">
            <v>2599</v>
          </cell>
          <cell r="G1070" t="str">
            <v>AR</v>
          </cell>
          <cell r="H1070" t="str">
            <v>ARRARMWTR</v>
          </cell>
          <cell r="I1070" t="str">
            <v>ARGT6015BG012</v>
          </cell>
          <cell r="J1070" t="str">
            <v>50</v>
          </cell>
          <cell r="K1070" t="str">
            <v>TROUSER</v>
          </cell>
          <cell r="L1070" t="str">
            <v>NOD</v>
          </cell>
        </row>
        <row r="1071">
          <cell r="C1071" t="str">
            <v>ARGT6016B</v>
          </cell>
          <cell r="D1071" t="str">
            <v>CORE</v>
          </cell>
          <cell r="E1071" t="str">
            <v>CO25</v>
          </cell>
          <cell r="F1071">
            <v>2699</v>
          </cell>
          <cell r="G1071" t="str">
            <v>AR</v>
          </cell>
          <cell r="H1071" t="str">
            <v>ARRARMWTR</v>
          </cell>
          <cell r="I1071" t="str">
            <v>ARGT6016B001</v>
          </cell>
          <cell r="J1071" t="str">
            <v>28</v>
          </cell>
          <cell r="K1071" t="str">
            <v>TROUSER</v>
          </cell>
          <cell r="L1071" t="str">
            <v>NOD</v>
          </cell>
        </row>
        <row r="1072">
          <cell r="C1072" t="str">
            <v>ARGT6016B</v>
          </cell>
          <cell r="D1072" t="str">
            <v>CORE</v>
          </cell>
          <cell r="E1072" t="str">
            <v>CO25</v>
          </cell>
          <cell r="F1072">
            <v>2699</v>
          </cell>
          <cell r="G1072" t="str">
            <v>AR</v>
          </cell>
          <cell r="H1072" t="str">
            <v>ARRARMWTR</v>
          </cell>
          <cell r="I1072" t="str">
            <v>ARGT6016B002</v>
          </cell>
          <cell r="J1072" t="str">
            <v>30</v>
          </cell>
          <cell r="K1072" t="str">
            <v>TROUSER</v>
          </cell>
          <cell r="L1072" t="str">
            <v>NOD</v>
          </cell>
        </row>
        <row r="1073">
          <cell r="C1073" t="str">
            <v>ARGT6016B</v>
          </cell>
          <cell r="D1073" t="str">
            <v>CORE</v>
          </cell>
          <cell r="E1073" t="str">
            <v>CO25</v>
          </cell>
          <cell r="F1073">
            <v>2699</v>
          </cell>
          <cell r="G1073" t="str">
            <v>AR</v>
          </cell>
          <cell r="H1073" t="str">
            <v>ARRARMWTR</v>
          </cell>
          <cell r="I1073" t="str">
            <v>ARGT6016B003</v>
          </cell>
          <cell r="J1073" t="str">
            <v>32</v>
          </cell>
          <cell r="K1073" t="str">
            <v>TROUSER</v>
          </cell>
          <cell r="L1073" t="str">
            <v>NOD</v>
          </cell>
        </row>
        <row r="1074">
          <cell r="C1074" t="str">
            <v>ARGT6016B</v>
          </cell>
          <cell r="D1074" t="str">
            <v>CORE</v>
          </cell>
          <cell r="E1074" t="str">
            <v>CO25</v>
          </cell>
          <cell r="F1074">
            <v>2699</v>
          </cell>
          <cell r="G1074" t="str">
            <v>AR</v>
          </cell>
          <cell r="H1074" t="str">
            <v>ARRARMWTR</v>
          </cell>
          <cell r="I1074" t="str">
            <v>ARGT6016B004</v>
          </cell>
          <cell r="J1074" t="str">
            <v>34</v>
          </cell>
          <cell r="K1074" t="str">
            <v>TROUSER</v>
          </cell>
          <cell r="L1074" t="str">
            <v>NOD</v>
          </cell>
        </row>
        <row r="1075">
          <cell r="C1075" t="str">
            <v>ARGT6016B</v>
          </cell>
          <cell r="D1075" t="str">
            <v>CORE</v>
          </cell>
          <cell r="E1075" t="str">
            <v>CO25</v>
          </cell>
          <cell r="F1075">
            <v>2699</v>
          </cell>
          <cell r="G1075" t="str">
            <v>AR</v>
          </cell>
          <cell r="H1075" t="str">
            <v>ARRARMWTR</v>
          </cell>
          <cell r="I1075" t="str">
            <v>ARGT6016B005</v>
          </cell>
          <cell r="J1075" t="str">
            <v>36</v>
          </cell>
          <cell r="K1075" t="str">
            <v>TROUSER</v>
          </cell>
          <cell r="L1075" t="str">
            <v>NOD</v>
          </cell>
        </row>
        <row r="1076">
          <cell r="C1076" t="str">
            <v>ARGT6016B</v>
          </cell>
          <cell r="D1076" t="str">
            <v>CORE</v>
          </cell>
          <cell r="E1076" t="str">
            <v>CO25</v>
          </cell>
          <cell r="F1076">
            <v>2699</v>
          </cell>
          <cell r="G1076" t="str">
            <v>AR</v>
          </cell>
          <cell r="H1076" t="str">
            <v>ARRARMWTR</v>
          </cell>
          <cell r="I1076" t="str">
            <v>ARGT6016B006</v>
          </cell>
          <cell r="J1076" t="str">
            <v>38</v>
          </cell>
          <cell r="K1076" t="str">
            <v>TROUSER</v>
          </cell>
          <cell r="L1076" t="str">
            <v>NOD</v>
          </cell>
        </row>
        <row r="1077">
          <cell r="C1077" t="str">
            <v>ARGT6016B</v>
          </cell>
          <cell r="D1077" t="str">
            <v>CORE</v>
          </cell>
          <cell r="E1077" t="str">
            <v>CO25</v>
          </cell>
          <cell r="F1077">
            <v>2699</v>
          </cell>
          <cell r="G1077" t="str">
            <v>AR</v>
          </cell>
          <cell r="H1077" t="str">
            <v>ARRARMWTR</v>
          </cell>
          <cell r="I1077" t="str">
            <v>ARGT6016B007</v>
          </cell>
          <cell r="J1077" t="str">
            <v>40</v>
          </cell>
          <cell r="K1077" t="str">
            <v>TROUSER</v>
          </cell>
          <cell r="L1077" t="str">
            <v>NOD</v>
          </cell>
        </row>
        <row r="1078">
          <cell r="C1078" t="str">
            <v>ARGT6016B</v>
          </cell>
          <cell r="D1078" t="str">
            <v>CORE</v>
          </cell>
          <cell r="E1078" t="str">
            <v>CO25</v>
          </cell>
          <cell r="F1078">
            <v>3054</v>
          </cell>
          <cell r="G1078" t="str">
            <v>AR</v>
          </cell>
          <cell r="H1078" t="str">
            <v>ARRARMWTR</v>
          </cell>
          <cell r="I1078" t="str">
            <v>ARGT6016B008</v>
          </cell>
          <cell r="J1078" t="str">
            <v>42</v>
          </cell>
          <cell r="K1078" t="str">
            <v>TROUSER</v>
          </cell>
          <cell r="L1078" t="str">
            <v>NOD</v>
          </cell>
        </row>
        <row r="1079">
          <cell r="C1079" t="str">
            <v>ARGT6016B</v>
          </cell>
          <cell r="D1079" t="str">
            <v>CORE</v>
          </cell>
          <cell r="E1079" t="str">
            <v>CO25</v>
          </cell>
          <cell r="F1079">
            <v>3054</v>
          </cell>
          <cell r="G1079" t="str">
            <v>AR</v>
          </cell>
          <cell r="H1079" t="str">
            <v>ARRARMWTR</v>
          </cell>
          <cell r="I1079" t="str">
            <v>ARGT6016B009</v>
          </cell>
          <cell r="J1079" t="str">
            <v>44</v>
          </cell>
          <cell r="K1079" t="str">
            <v>TROUSER</v>
          </cell>
          <cell r="L1079" t="str">
            <v>NOD</v>
          </cell>
        </row>
        <row r="1080">
          <cell r="C1080" t="str">
            <v>ARGT6016B</v>
          </cell>
          <cell r="D1080" t="str">
            <v>CORE</v>
          </cell>
          <cell r="E1080" t="str">
            <v>CO25</v>
          </cell>
          <cell r="F1080">
            <v>3054</v>
          </cell>
          <cell r="G1080" t="str">
            <v>AR</v>
          </cell>
          <cell r="H1080" t="str">
            <v>ARRARMWTR</v>
          </cell>
          <cell r="I1080" t="str">
            <v>ARGT6016B010</v>
          </cell>
          <cell r="J1080" t="str">
            <v>46</v>
          </cell>
          <cell r="K1080" t="str">
            <v>TROUSER</v>
          </cell>
          <cell r="L1080" t="str">
            <v>NOD</v>
          </cell>
        </row>
        <row r="1081">
          <cell r="C1081" t="str">
            <v>ARGT6016B</v>
          </cell>
          <cell r="D1081" t="str">
            <v>CORE</v>
          </cell>
          <cell r="E1081" t="str">
            <v>CO25</v>
          </cell>
          <cell r="F1081">
            <v>3054</v>
          </cell>
          <cell r="G1081" t="str">
            <v>AR</v>
          </cell>
          <cell r="H1081" t="str">
            <v>ARRARMWTR</v>
          </cell>
          <cell r="I1081" t="str">
            <v>ARGT6016B011</v>
          </cell>
          <cell r="J1081" t="str">
            <v>48</v>
          </cell>
          <cell r="K1081" t="str">
            <v>TROUSER</v>
          </cell>
          <cell r="L1081" t="str">
            <v>NOD</v>
          </cell>
        </row>
        <row r="1082">
          <cell r="C1082" t="str">
            <v>ARGT6016B</v>
          </cell>
          <cell r="D1082" t="str">
            <v>CORE</v>
          </cell>
          <cell r="E1082" t="str">
            <v>CO25</v>
          </cell>
          <cell r="F1082">
            <v>3054</v>
          </cell>
          <cell r="G1082" t="str">
            <v>AR</v>
          </cell>
          <cell r="H1082" t="str">
            <v>ARRARMWTR</v>
          </cell>
          <cell r="I1082" t="str">
            <v>ARGT6016B012</v>
          </cell>
          <cell r="J1082" t="str">
            <v>50</v>
          </cell>
          <cell r="K1082" t="str">
            <v>TROUSER</v>
          </cell>
          <cell r="L1082" t="str">
            <v>NOD</v>
          </cell>
        </row>
        <row r="1083">
          <cell r="C1083" t="str">
            <v>ARGT6016BG</v>
          </cell>
          <cell r="D1083" t="str">
            <v>CORE</v>
          </cell>
          <cell r="E1083" t="str">
            <v>CO26</v>
          </cell>
          <cell r="F1083">
            <v>2599</v>
          </cell>
          <cell r="G1083" t="str">
            <v>AR</v>
          </cell>
          <cell r="H1083" t="str">
            <v>ARRARMWTR</v>
          </cell>
          <cell r="I1083" t="str">
            <v>ARGT6016BG001</v>
          </cell>
          <cell r="J1083" t="str">
            <v>28</v>
          </cell>
          <cell r="K1083" t="str">
            <v>TROUSER</v>
          </cell>
          <cell r="L1083" t="str">
            <v>NOD</v>
          </cell>
        </row>
        <row r="1084">
          <cell r="C1084" t="str">
            <v>ARGT6016BG</v>
          </cell>
          <cell r="D1084" t="str">
            <v>CORE</v>
          </cell>
          <cell r="E1084" t="str">
            <v>CO26</v>
          </cell>
          <cell r="F1084">
            <v>2599</v>
          </cell>
          <cell r="G1084" t="str">
            <v>AR</v>
          </cell>
          <cell r="H1084" t="str">
            <v>ARRARMWTR</v>
          </cell>
          <cell r="I1084" t="str">
            <v>ARGT6016BG002</v>
          </cell>
          <cell r="J1084" t="str">
            <v>30</v>
          </cell>
          <cell r="K1084" t="str">
            <v>TROUSER</v>
          </cell>
          <cell r="L1084" t="str">
            <v>NOD</v>
          </cell>
        </row>
        <row r="1085">
          <cell r="C1085" t="str">
            <v>ARGT6016BG</v>
          </cell>
          <cell r="D1085" t="str">
            <v>CORE</v>
          </cell>
          <cell r="E1085" t="str">
            <v>CO26</v>
          </cell>
          <cell r="F1085">
            <v>2599</v>
          </cell>
          <cell r="G1085" t="str">
            <v>AR</v>
          </cell>
          <cell r="H1085" t="str">
            <v>ARRARMWTR</v>
          </cell>
          <cell r="I1085" t="str">
            <v>ARGT6016BG003</v>
          </cell>
          <cell r="J1085" t="str">
            <v>32</v>
          </cell>
          <cell r="K1085" t="str">
            <v>TROUSER</v>
          </cell>
          <cell r="L1085" t="str">
            <v>NOD</v>
          </cell>
        </row>
        <row r="1086">
          <cell r="C1086" t="str">
            <v>ARGT6016BG</v>
          </cell>
          <cell r="D1086" t="str">
            <v>CORE</v>
          </cell>
          <cell r="E1086" t="str">
            <v>CO26</v>
          </cell>
          <cell r="F1086">
            <v>2599</v>
          </cell>
          <cell r="G1086" t="str">
            <v>AR</v>
          </cell>
          <cell r="H1086" t="str">
            <v>ARRARMWTR</v>
          </cell>
          <cell r="I1086" t="str">
            <v>ARGT6016BG004</v>
          </cell>
          <cell r="J1086" t="str">
            <v>34</v>
          </cell>
          <cell r="K1086" t="str">
            <v>TROUSER</v>
          </cell>
          <cell r="L1086" t="str">
            <v>NOD</v>
          </cell>
        </row>
        <row r="1087">
          <cell r="C1087" t="str">
            <v>ARGT6016BG</v>
          </cell>
          <cell r="D1087" t="str">
            <v>CORE</v>
          </cell>
          <cell r="E1087" t="str">
            <v>CO26</v>
          </cell>
          <cell r="F1087">
            <v>2599</v>
          </cell>
          <cell r="G1087" t="str">
            <v>AR</v>
          </cell>
          <cell r="H1087" t="str">
            <v>ARRARMWTR</v>
          </cell>
          <cell r="I1087" t="str">
            <v>ARGT6016BG005</v>
          </cell>
          <cell r="J1087" t="str">
            <v>36</v>
          </cell>
          <cell r="K1087" t="str">
            <v>TROUSER</v>
          </cell>
          <cell r="L1087" t="str">
            <v>NOD</v>
          </cell>
        </row>
        <row r="1088">
          <cell r="C1088" t="str">
            <v>ARGT6016BG</v>
          </cell>
          <cell r="D1088" t="str">
            <v>CORE</v>
          </cell>
          <cell r="E1088" t="str">
            <v>CO26</v>
          </cell>
          <cell r="F1088">
            <v>2599</v>
          </cell>
          <cell r="G1088" t="str">
            <v>AR</v>
          </cell>
          <cell r="H1088" t="str">
            <v>ARRARMWTR</v>
          </cell>
          <cell r="I1088" t="str">
            <v>ARGT6016BG006</v>
          </cell>
          <cell r="J1088" t="str">
            <v>38</v>
          </cell>
          <cell r="K1088" t="str">
            <v>TROUSER</v>
          </cell>
          <cell r="L1088" t="str">
            <v>NOD</v>
          </cell>
        </row>
        <row r="1089">
          <cell r="C1089" t="str">
            <v>ARGT6016BG</v>
          </cell>
          <cell r="D1089" t="str">
            <v>CORE</v>
          </cell>
          <cell r="E1089" t="str">
            <v>CO26</v>
          </cell>
          <cell r="F1089">
            <v>2599</v>
          </cell>
          <cell r="G1089" t="str">
            <v>AR</v>
          </cell>
          <cell r="H1089" t="str">
            <v>ARRARMWTR</v>
          </cell>
          <cell r="I1089" t="str">
            <v>ARGT6016BG007</v>
          </cell>
          <cell r="J1089" t="str">
            <v>40</v>
          </cell>
          <cell r="K1089" t="str">
            <v>TROUSER</v>
          </cell>
          <cell r="L1089" t="str">
            <v>NOD</v>
          </cell>
        </row>
        <row r="1090">
          <cell r="C1090" t="str">
            <v>ARGT6016BG</v>
          </cell>
          <cell r="D1090" t="str">
            <v>CORE</v>
          </cell>
          <cell r="E1090" t="str">
            <v>CO26</v>
          </cell>
          <cell r="F1090">
            <v>2599</v>
          </cell>
          <cell r="G1090" t="str">
            <v>AR</v>
          </cell>
          <cell r="H1090" t="str">
            <v>ARRARMWTR</v>
          </cell>
          <cell r="I1090" t="str">
            <v>ARGT6016BG008</v>
          </cell>
          <cell r="J1090" t="str">
            <v>42</v>
          </cell>
          <cell r="K1090" t="str">
            <v>TROUSER</v>
          </cell>
          <cell r="L1090" t="str">
            <v>NOD</v>
          </cell>
        </row>
        <row r="1091">
          <cell r="C1091" t="str">
            <v>ARGT6016BG</v>
          </cell>
          <cell r="D1091" t="str">
            <v>CORE</v>
          </cell>
          <cell r="E1091" t="str">
            <v>CO26</v>
          </cell>
          <cell r="F1091">
            <v>2599</v>
          </cell>
          <cell r="G1091" t="str">
            <v>AR</v>
          </cell>
          <cell r="H1091" t="str">
            <v>ARRARMWTR</v>
          </cell>
          <cell r="I1091" t="str">
            <v>ARGT6016BG009</v>
          </cell>
          <cell r="J1091" t="str">
            <v>44</v>
          </cell>
          <cell r="K1091" t="str">
            <v>TROUSER</v>
          </cell>
          <cell r="L1091" t="str">
            <v>NOD</v>
          </cell>
        </row>
        <row r="1092">
          <cell r="C1092" t="str">
            <v>ARGT6016BG</v>
          </cell>
          <cell r="D1092" t="str">
            <v>CORE</v>
          </cell>
          <cell r="E1092" t="str">
            <v>CO26</v>
          </cell>
          <cell r="F1092">
            <v>2599</v>
          </cell>
          <cell r="G1092" t="str">
            <v>AR</v>
          </cell>
          <cell r="H1092" t="str">
            <v>ARRARMWTR</v>
          </cell>
          <cell r="I1092" t="str">
            <v>ARGT6016BG010</v>
          </cell>
          <cell r="J1092" t="str">
            <v>46</v>
          </cell>
          <cell r="K1092" t="str">
            <v>TROUSER</v>
          </cell>
          <cell r="L1092" t="str">
            <v>NOD</v>
          </cell>
        </row>
        <row r="1093">
          <cell r="C1093" t="str">
            <v>ARGT6016BG</v>
          </cell>
          <cell r="D1093" t="str">
            <v>CORE</v>
          </cell>
          <cell r="E1093" t="str">
            <v>CO26</v>
          </cell>
          <cell r="F1093">
            <v>2599</v>
          </cell>
          <cell r="G1093" t="str">
            <v>AR</v>
          </cell>
          <cell r="H1093" t="str">
            <v>ARRARMWTR</v>
          </cell>
          <cell r="I1093" t="str">
            <v>ARGT6016BG011</v>
          </cell>
          <cell r="J1093" t="str">
            <v>48</v>
          </cell>
          <cell r="K1093" t="str">
            <v>TROUSER</v>
          </cell>
          <cell r="L1093" t="str">
            <v>NOD</v>
          </cell>
        </row>
        <row r="1094">
          <cell r="C1094" t="str">
            <v>ARGT6016BG</v>
          </cell>
          <cell r="D1094" t="str">
            <v>CORE</v>
          </cell>
          <cell r="E1094" t="str">
            <v>CO26</v>
          </cell>
          <cell r="F1094">
            <v>2599</v>
          </cell>
          <cell r="G1094" t="str">
            <v>AR</v>
          </cell>
          <cell r="H1094" t="str">
            <v>ARRARMWTR</v>
          </cell>
          <cell r="I1094" t="str">
            <v>ARGT6016BG012</v>
          </cell>
          <cell r="J1094" t="str">
            <v>50</v>
          </cell>
          <cell r="K1094" t="str">
            <v>TROUSER</v>
          </cell>
          <cell r="L1094" t="str">
            <v>NOD</v>
          </cell>
        </row>
        <row r="1095">
          <cell r="C1095" t="str">
            <v>ARGT6018B</v>
          </cell>
          <cell r="D1095" t="str">
            <v>CORE</v>
          </cell>
          <cell r="E1095" t="str">
            <v>CO24</v>
          </cell>
          <cell r="F1095">
            <v>2699</v>
          </cell>
          <cell r="G1095" t="str">
            <v>AR</v>
          </cell>
          <cell r="H1095" t="str">
            <v>ARRARMWTR</v>
          </cell>
          <cell r="I1095" t="str">
            <v>ARGT6018B001</v>
          </cell>
          <cell r="J1095" t="str">
            <v>28</v>
          </cell>
          <cell r="K1095" t="str">
            <v>TROUSER</v>
          </cell>
          <cell r="L1095" t="str">
            <v>NOD</v>
          </cell>
        </row>
        <row r="1096">
          <cell r="C1096" t="str">
            <v>ARGT6018B</v>
          </cell>
          <cell r="D1096" t="str">
            <v>CORE</v>
          </cell>
          <cell r="E1096" t="str">
            <v>CO24</v>
          </cell>
          <cell r="F1096">
            <v>2699</v>
          </cell>
          <cell r="G1096" t="str">
            <v>AR</v>
          </cell>
          <cell r="H1096" t="str">
            <v>ARRARMWTR</v>
          </cell>
          <cell r="I1096" t="str">
            <v>ARGT6018B002</v>
          </cell>
          <cell r="J1096" t="str">
            <v>30</v>
          </cell>
          <cell r="K1096" t="str">
            <v>TROUSER</v>
          </cell>
          <cell r="L1096" t="str">
            <v>NOD</v>
          </cell>
        </row>
        <row r="1097">
          <cell r="C1097" t="str">
            <v>ARGT6018B</v>
          </cell>
          <cell r="D1097" t="str">
            <v>CORE</v>
          </cell>
          <cell r="E1097" t="str">
            <v>CO24</v>
          </cell>
          <cell r="F1097">
            <v>2699</v>
          </cell>
          <cell r="G1097" t="str">
            <v>AR</v>
          </cell>
          <cell r="H1097" t="str">
            <v>ARRARMWTR</v>
          </cell>
          <cell r="I1097" t="str">
            <v>ARGT6018B003</v>
          </cell>
          <cell r="J1097" t="str">
            <v>32</v>
          </cell>
          <cell r="K1097" t="str">
            <v>TROUSER</v>
          </cell>
          <cell r="L1097" t="str">
            <v>NOD</v>
          </cell>
        </row>
        <row r="1098">
          <cell r="C1098" t="str">
            <v>ARGT6018B</v>
          </cell>
          <cell r="D1098" t="str">
            <v>CORE</v>
          </cell>
          <cell r="E1098" t="str">
            <v>CO24</v>
          </cell>
          <cell r="F1098">
            <v>2699</v>
          </cell>
          <cell r="G1098" t="str">
            <v>AR</v>
          </cell>
          <cell r="H1098" t="str">
            <v>ARRARMWTR</v>
          </cell>
          <cell r="I1098" t="str">
            <v>ARGT6018B004</v>
          </cell>
          <cell r="J1098" t="str">
            <v>34</v>
          </cell>
          <cell r="K1098" t="str">
            <v>TROUSER</v>
          </cell>
          <cell r="L1098" t="str">
            <v>NOD</v>
          </cell>
        </row>
        <row r="1099">
          <cell r="C1099" t="str">
            <v>ARGT6018B</v>
          </cell>
          <cell r="D1099" t="str">
            <v>CORE</v>
          </cell>
          <cell r="E1099" t="str">
            <v>CO24</v>
          </cell>
          <cell r="F1099">
            <v>2699</v>
          </cell>
          <cell r="G1099" t="str">
            <v>AR</v>
          </cell>
          <cell r="H1099" t="str">
            <v>ARRARMWTR</v>
          </cell>
          <cell r="I1099" t="str">
            <v>ARGT6018B005</v>
          </cell>
          <cell r="J1099" t="str">
            <v>36</v>
          </cell>
          <cell r="K1099" t="str">
            <v>TROUSER</v>
          </cell>
          <cell r="L1099" t="str">
            <v>NOD</v>
          </cell>
        </row>
        <row r="1100">
          <cell r="C1100" t="str">
            <v>ARGT6018B</v>
          </cell>
          <cell r="D1100" t="str">
            <v>CORE</v>
          </cell>
          <cell r="E1100" t="str">
            <v>CO24</v>
          </cell>
          <cell r="F1100">
            <v>2699</v>
          </cell>
          <cell r="G1100" t="str">
            <v>AR</v>
          </cell>
          <cell r="H1100" t="str">
            <v>ARRARMWTR</v>
          </cell>
          <cell r="I1100" t="str">
            <v>ARGT6018B006</v>
          </cell>
          <cell r="J1100" t="str">
            <v>38</v>
          </cell>
          <cell r="K1100" t="str">
            <v>TROUSER</v>
          </cell>
          <cell r="L1100" t="str">
            <v>NOD</v>
          </cell>
        </row>
        <row r="1101">
          <cell r="C1101" t="str">
            <v>ARGT6018B</v>
          </cell>
          <cell r="D1101" t="str">
            <v>CORE</v>
          </cell>
          <cell r="E1101" t="str">
            <v>CO24</v>
          </cell>
          <cell r="F1101">
            <v>2699</v>
          </cell>
          <cell r="G1101" t="str">
            <v>AR</v>
          </cell>
          <cell r="H1101" t="str">
            <v>ARRARMWTR</v>
          </cell>
          <cell r="I1101" t="str">
            <v>ARGT6018B007</v>
          </cell>
          <cell r="J1101" t="str">
            <v>40</v>
          </cell>
          <cell r="K1101" t="str">
            <v>TROUSER</v>
          </cell>
          <cell r="L1101" t="str">
            <v>NOD</v>
          </cell>
        </row>
        <row r="1102">
          <cell r="C1102" t="str">
            <v>ARGT6018B</v>
          </cell>
          <cell r="D1102" t="str">
            <v>CORE</v>
          </cell>
          <cell r="E1102" t="str">
            <v>CO24</v>
          </cell>
          <cell r="F1102">
            <v>3054</v>
          </cell>
          <cell r="G1102" t="str">
            <v>AR</v>
          </cell>
          <cell r="H1102" t="str">
            <v>ARRARMWTR</v>
          </cell>
          <cell r="I1102" t="str">
            <v>ARGT6018B008</v>
          </cell>
          <cell r="J1102" t="str">
            <v>42</v>
          </cell>
          <cell r="K1102" t="str">
            <v>TROUSER</v>
          </cell>
          <cell r="L1102" t="str">
            <v>NOD</v>
          </cell>
        </row>
        <row r="1103">
          <cell r="C1103" t="str">
            <v>ARGT6018B</v>
          </cell>
          <cell r="D1103" t="str">
            <v>CORE</v>
          </cell>
          <cell r="E1103" t="str">
            <v>CO24</v>
          </cell>
          <cell r="F1103">
            <v>3054</v>
          </cell>
          <cell r="G1103" t="str">
            <v>AR</v>
          </cell>
          <cell r="H1103" t="str">
            <v>ARRARMWTR</v>
          </cell>
          <cell r="I1103" t="str">
            <v>ARGT6018B009</v>
          </cell>
          <cell r="J1103" t="str">
            <v>44</v>
          </cell>
          <cell r="K1103" t="str">
            <v>TROUSER</v>
          </cell>
          <cell r="L1103" t="str">
            <v>NOD</v>
          </cell>
        </row>
        <row r="1104">
          <cell r="C1104" t="str">
            <v>ARGT6018B</v>
          </cell>
          <cell r="D1104" t="str">
            <v>CORE</v>
          </cell>
          <cell r="E1104" t="str">
            <v>CO24</v>
          </cell>
          <cell r="F1104">
            <v>3054</v>
          </cell>
          <cell r="G1104" t="str">
            <v>AR</v>
          </cell>
          <cell r="H1104" t="str">
            <v>ARRARMWTR</v>
          </cell>
          <cell r="I1104" t="str">
            <v>ARGT6018B010</v>
          </cell>
          <cell r="J1104" t="str">
            <v>46</v>
          </cell>
          <cell r="K1104" t="str">
            <v>TROUSER</v>
          </cell>
          <cell r="L1104" t="str">
            <v>NOD</v>
          </cell>
        </row>
        <row r="1105">
          <cell r="C1105" t="str">
            <v>ARGT6018B</v>
          </cell>
          <cell r="D1105" t="str">
            <v>CORE</v>
          </cell>
          <cell r="E1105" t="str">
            <v>CO24</v>
          </cell>
          <cell r="F1105">
            <v>3054</v>
          </cell>
          <cell r="G1105" t="str">
            <v>AR</v>
          </cell>
          <cell r="H1105" t="str">
            <v>ARRARMWTR</v>
          </cell>
          <cell r="I1105" t="str">
            <v>ARGT6018B011</v>
          </cell>
          <cell r="J1105" t="str">
            <v>48</v>
          </cell>
          <cell r="K1105" t="str">
            <v>TROUSER</v>
          </cell>
          <cell r="L1105" t="str">
            <v>NOD</v>
          </cell>
        </row>
        <row r="1106">
          <cell r="C1106" t="str">
            <v>ARGT6018B</v>
          </cell>
          <cell r="D1106" t="str">
            <v>CORE</v>
          </cell>
          <cell r="E1106" t="str">
            <v>CO24</v>
          </cell>
          <cell r="F1106">
            <v>3054</v>
          </cell>
          <cell r="G1106" t="str">
            <v>AR</v>
          </cell>
          <cell r="H1106" t="str">
            <v>ARRARMWTR</v>
          </cell>
          <cell r="I1106" t="str">
            <v>ARGT6018B012</v>
          </cell>
          <cell r="J1106" t="str">
            <v>50</v>
          </cell>
          <cell r="K1106" t="str">
            <v>TROUSER</v>
          </cell>
          <cell r="L1106" t="str">
            <v>NOD</v>
          </cell>
        </row>
        <row r="1107">
          <cell r="C1107" t="str">
            <v>ARGT6024B</v>
          </cell>
          <cell r="D1107" t="str">
            <v>CORE</v>
          </cell>
          <cell r="E1107" t="str">
            <v>CO24</v>
          </cell>
          <cell r="F1107">
            <v>2499</v>
          </cell>
          <cell r="G1107" t="str">
            <v>AS</v>
          </cell>
          <cell r="H1107" t="str">
            <v>ARRASMWTR</v>
          </cell>
          <cell r="I1107" t="str">
            <v>ARGT6024B001</v>
          </cell>
          <cell r="J1107" t="str">
            <v>28</v>
          </cell>
          <cell r="K1107" t="str">
            <v>TROUSER</v>
          </cell>
          <cell r="L1107" t="str">
            <v>NOD</v>
          </cell>
        </row>
        <row r="1108">
          <cell r="C1108" t="str">
            <v>ARGT6024B</v>
          </cell>
          <cell r="D1108" t="str">
            <v>CORE</v>
          </cell>
          <cell r="E1108" t="str">
            <v>CO24</v>
          </cell>
          <cell r="F1108">
            <v>2499</v>
          </cell>
          <cell r="G1108" t="str">
            <v>AS</v>
          </cell>
          <cell r="H1108" t="str">
            <v>ARRASMWTR</v>
          </cell>
          <cell r="I1108" t="str">
            <v>ARGT6024B002</v>
          </cell>
          <cell r="J1108" t="str">
            <v>30</v>
          </cell>
          <cell r="K1108" t="str">
            <v>TROUSER</v>
          </cell>
          <cell r="L1108" t="str">
            <v>NOD</v>
          </cell>
        </row>
        <row r="1109">
          <cell r="C1109" t="str">
            <v>ARGT6024B</v>
          </cell>
          <cell r="D1109" t="str">
            <v>CORE</v>
          </cell>
          <cell r="E1109" t="str">
            <v>CO24</v>
          </cell>
          <cell r="F1109">
            <v>2499</v>
          </cell>
          <cell r="G1109" t="str">
            <v>AS</v>
          </cell>
          <cell r="H1109" t="str">
            <v>ARRASMWTR</v>
          </cell>
          <cell r="I1109" t="str">
            <v>ARGT6024B003</v>
          </cell>
          <cell r="J1109" t="str">
            <v>32</v>
          </cell>
          <cell r="K1109" t="str">
            <v>TROUSER</v>
          </cell>
          <cell r="L1109" t="str">
            <v>NOD</v>
          </cell>
        </row>
        <row r="1110">
          <cell r="C1110" t="str">
            <v>ARGT6024B</v>
          </cell>
          <cell r="D1110" t="str">
            <v>CORE</v>
          </cell>
          <cell r="E1110" t="str">
            <v>CO24</v>
          </cell>
          <cell r="F1110">
            <v>2499</v>
          </cell>
          <cell r="G1110" t="str">
            <v>AS</v>
          </cell>
          <cell r="H1110" t="str">
            <v>ARRASMWTR</v>
          </cell>
          <cell r="I1110" t="str">
            <v>ARGT6024B004</v>
          </cell>
          <cell r="J1110" t="str">
            <v>34</v>
          </cell>
          <cell r="K1110" t="str">
            <v>TROUSER</v>
          </cell>
          <cell r="L1110" t="str">
            <v>NOD</v>
          </cell>
        </row>
        <row r="1111">
          <cell r="C1111" t="str">
            <v>ARGT6024B</v>
          </cell>
          <cell r="D1111" t="str">
            <v>CORE</v>
          </cell>
          <cell r="E1111" t="str">
            <v>CO24</v>
          </cell>
          <cell r="F1111">
            <v>2499</v>
          </cell>
          <cell r="G1111" t="str">
            <v>AS</v>
          </cell>
          <cell r="H1111" t="str">
            <v>ARRASMWTR</v>
          </cell>
          <cell r="I1111" t="str">
            <v>ARGT6024B005</v>
          </cell>
          <cell r="J1111" t="str">
            <v>36</v>
          </cell>
          <cell r="K1111" t="str">
            <v>TROUSER</v>
          </cell>
          <cell r="L1111" t="str">
            <v>NOD</v>
          </cell>
        </row>
        <row r="1112">
          <cell r="C1112" t="str">
            <v>ARGT6024B</v>
          </cell>
          <cell r="D1112" t="str">
            <v>CORE</v>
          </cell>
          <cell r="E1112" t="str">
            <v>CO24</v>
          </cell>
          <cell r="F1112">
            <v>2499</v>
          </cell>
          <cell r="G1112" t="str">
            <v>AS</v>
          </cell>
          <cell r="H1112" t="str">
            <v>ARRASMWTR</v>
          </cell>
          <cell r="I1112" t="str">
            <v>ARGT6024B006</v>
          </cell>
          <cell r="J1112" t="str">
            <v>38</v>
          </cell>
          <cell r="K1112" t="str">
            <v>TROUSER</v>
          </cell>
          <cell r="L1112" t="str">
            <v>NOD</v>
          </cell>
        </row>
        <row r="1113">
          <cell r="C1113" t="str">
            <v>ARGT6024B</v>
          </cell>
          <cell r="D1113" t="str">
            <v>CORE</v>
          </cell>
          <cell r="E1113" t="str">
            <v>CO24</v>
          </cell>
          <cell r="F1113">
            <v>2499</v>
          </cell>
          <cell r="G1113" t="str">
            <v>AS</v>
          </cell>
          <cell r="H1113" t="str">
            <v>ARRASMWTR</v>
          </cell>
          <cell r="I1113" t="str">
            <v>ARGT6024B007</v>
          </cell>
          <cell r="J1113" t="str">
            <v>40</v>
          </cell>
          <cell r="K1113" t="str">
            <v>TROUSER</v>
          </cell>
          <cell r="L1113" t="str">
            <v>NOD</v>
          </cell>
        </row>
        <row r="1114">
          <cell r="C1114" t="str">
            <v>ARGT6024B</v>
          </cell>
          <cell r="D1114" t="str">
            <v>CORE</v>
          </cell>
          <cell r="E1114" t="str">
            <v>CO24</v>
          </cell>
          <cell r="F1114">
            <v>2699</v>
          </cell>
          <cell r="G1114" t="str">
            <v>AS</v>
          </cell>
          <cell r="H1114" t="str">
            <v>ARRASMWTR</v>
          </cell>
          <cell r="I1114" t="str">
            <v>ARGT6024B008</v>
          </cell>
          <cell r="J1114" t="str">
            <v>42</v>
          </cell>
          <cell r="K1114" t="str">
            <v>TROUSER</v>
          </cell>
          <cell r="L1114" t="str">
            <v>NOD</v>
          </cell>
        </row>
        <row r="1115">
          <cell r="C1115" t="str">
            <v>ARGT6024B</v>
          </cell>
          <cell r="D1115" t="str">
            <v>CORE</v>
          </cell>
          <cell r="E1115" t="str">
            <v>CO24</v>
          </cell>
          <cell r="F1115">
            <v>2699</v>
          </cell>
          <cell r="G1115" t="str">
            <v>AS</v>
          </cell>
          <cell r="H1115" t="str">
            <v>ARRASMWTR</v>
          </cell>
          <cell r="I1115" t="str">
            <v>ARGT6024B009</v>
          </cell>
          <cell r="J1115" t="str">
            <v>44</v>
          </cell>
          <cell r="K1115" t="str">
            <v>TROUSER</v>
          </cell>
          <cell r="L1115" t="str">
            <v>NOD</v>
          </cell>
        </row>
        <row r="1116">
          <cell r="C1116" t="str">
            <v>ARGT6024B</v>
          </cell>
          <cell r="D1116" t="str">
            <v>CORE</v>
          </cell>
          <cell r="E1116" t="str">
            <v>CO24</v>
          </cell>
          <cell r="F1116">
            <v>2699</v>
          </cell>
          <cell r="G1116" t="str">
            <v>AS</v>
          </cell>
          <cell r="H1116" t="str">
            <v>ARRASMWTR</v>
          </cell>
          <cell r="I1116" t="str">
            <v>ARGT6024B010</v>
          </cell>
          <cell r="J1116" t="str">
            <v>46</v>
          </cell>
          <cell r="K1116" t="str">
            <v>TROUSER</v>
          </cell>
          <cell r="L1116" t="str">
            <v>NOD</v>
          </cell>
        </row>
        <row r="1117">
          <cell r="C1117" t="str">
            <v>ARGT6024B</v>
          </cell>
          <cell r="D1117" t="str">
            <v>CORE</v>
          </cell>
          <cell r="E1117" t="str">
            <v>CO24</v>
          </cell>
          <cell r="F1117">
            <v>2699</v>
          </cell>
          <cell r="G1117" t="str">
            <v>AS</v>
          </cell>
          <cell r="H1117" t="str">
            <v>ARRASMWTR</v>
          </cell>
          <cell r="I1117" t="str">
            <v>ARGT6024B011</v>
          </cell>
          <cell r="J1117" t="str">
            <v>48</v>
          </cell>
          <cell r="K1117" t="str">
            <v>TROUSER</v>
          </cell>
          <cell r="L1117" t="str">
            <v>NOD</v>
          </cell>
        </row>
        <row r="1118">
          <cell r="C1118" t="str">
            <v>ARGT6024B</v>
          </cell>
          <cell r="D1118" t="str">
            <v>CORE</v>
          </cell>
          <cell r="E1118" t="str">
            <v>CO24</v>
          </cell>
          <cell r="F1118">
            <v>2699</v>
          </cell>
          <cell r="G1118" t="str">
            <v>AS</v>
          </cell>
          <cell r="H1118" t="str">
            <v>ARRASMWTR</v>
          </cell>
          <cell r="I1118" t="str">
            <v>ARGT6024B012</v>
          </cell>
          <cell r="J1118" t="str">
            <v>50</v>
          </cell>
          <cell r="K1118" t="str">
            <v>TROUSER</v>
          </cell>
          <cell r="L1118" t="str">
            <v>NOD</v>
          </cell>
        </row>
        <row r="1119">
          <cell r="C1119" t="str">
            <v>ARGT6046B</v>
          </cell>
          <cell r="D1119" t="str">
            <v>CORE</v>
          </cell>
          <cell r="E1119" t="str">
            <v>CO24</v>
          </cell>
          <cell r="F1119">
            <v>2399</v>
          </cell>
          <cell r="G1119" t="str">
            <v>AR</v>
          </cell>
          <cell r="H1119" t="str">
            <v>ARRARMWTR</v>
          </cell>
          <cell r="I1119" t="str">
            <v>ARGT6046B001</v>
          </cell>
          <cell r="J1119" t="str">
            <v>28</v>
          </cell>
          <cell r="K1119" t="str">
            <v>TROUSER</v>
          </cell>
          <cell r="L1119" t="str">
            <v>NOD</v>
          </cell>
        </row>
        <row r="1120">
          <cell r="C1120" t="str">
            <v>ARGT6046B</v>
          </cell>
          <cell r="D1120" t="str">
            <v>CORE</v>
          </cell>
          <cell r="E1120" t="str">
            <v>CO24</v>
          </cell>
          <cell r="F1120">
            <v>2399</v>
          </cell>
          <cell r="G1120" t="str">
            <v>AR</v>
          </cell>
          <cell r="H1120" t="str">
            <v>ARRARMWTR</v>
          </cell>
          <cell r="I1120" t="str">
            <v>ARGT6046B002</v>
          </cell>
          <cell r="J1120" t="str">
            <v>30</v>
          </cell>
          <cell r="K1120" t="str">
            <v>TROUSER</v>
          </cell>
          <cell r="L1120" t="str">
            <v>NOD</v>
          </cell>
        </row>
        <row r="1121">
          <cell r="C1121" t="str">
            <v>ARGT6046B</v>
          </cell>
          <cell r="D1121" t="str">
            <v>CORE</v>
          </cell>
          <cell r="E1121" t="str">
            <v>CO24</v>
          </cell>
          <cell r="F1121">
            <v>2399</v>
          </cell>
          <cell r="G1121" t="str">
            <v>AR</v>
          </cell>
          <cell r="H1121" t="str">
            <v>ARRARMWTR</v>
          </cell>
          <cell r="I1121" t="str">
            <v>ARGT6046B003</v>
          </cell>
          <cell r="J1121" t="str">
            <v>32</v>
          </cell>
          <cell r="K1121" t="str">
            <v>TROUSER</v>
          </cell>
          <cell r="L1121" t="str">
            <v>NOD</v>
          </cell>
        </row>
        <row r="1122">
          <cell r="C1122" t="str">
            <v>ARGT6046B</v>
          </cell>
          <cell r="D1122" t="str">
            <v>CORE</v>
          </cell>
          <cell r="E1122" t="str">
            <v>CO24</v>
          </cell>
          <cell r="F1122">
            <v>2399</v>
          </cell>
          <cell r="G1122" t="str">
            <v>AR</v>
          </cell>
          <cell r="H1122" t="str">
            <v>ARRARMWTR</v>
          </cell>
          <cell r="I1122" t="str">
            <v>ARGT6046B004</v>
          </cell>
          <cell r="J1122" t="str">
            <v>34</v>
          </cell>
          <cell r="K1122" t="str">
            <v>TROUSER</v>
          </cell>
          <cell r="L1122" t="str">
            <v>NOD</v>
          </cell>
        </row>
        <row r="1123">
          <cell r="C1123" t="str">
            <v>ARGT6046B</v>
          </cell>
          <cell r="D1123" t="str">
            <v>CORE</v>
          </cell>
          <cell r="E1123" t="str">
            <v>CO24</v>
          </cell>
          <cell r="F1123">
            <v>2399</v>
          </cell>
          <cell r="G1123" t="str">
            <v>AR</v>
          </cell>
          <cell r="H1123" t="str">
            <v>ARRARMWTR</v>
          </cell>
          <cell r="I1123" t="str">
            <v>ARGT6046B005</v>
          </cell>
          <cell r="J1123" t="str">
            <v>36</v>
          </cell>
          <cell r="K1123" t="str">
            <v>TROUSER</v>
          </cell>
          <cell r="L1123" t="str">
            <v>NOD</v>
          </cell>
        </row>
        <row r="1124">
          <cell r="C1124" t="str">
            <v>ARGT6046B</v>
          </cell>
          <cell r="D1124" t="str">
            <v>CORE</v>
          </cell>
          <cell r="E1124" t="str">
            <v>CO24</v>
          </cell>
          <cell r="F1124">
            <v>2399</v>
          </cell>
          <cell r="G1124" t="str">
            <v>AR</v>
          </cell>
          <cell r="H1124" t="str">
            <v>ARRARMWTR</v>
          </cell>
          <cell r="I1124" t="str">
            <v>ARGT6046B006</v>
          </cell>
          <cell r="J1124" t="str">
            <v>38</v>
          </cell>
          <cell r="K1124" t="str">
            <v>TROUSER</v>
          </cell>
          <cell r="L1124" t="str">
            <v>NOD</v>
          </cell>
        </row>
        <row r="1125">
          <cell r="C1125" t="str">
            <v>ARGT6046B</v>
          </cell>
          <cell r="D1125" t="str">
            <v>CORE</v>
          </cell>
          <cell r="E1125" t="str">
            <v>CO24</v>
          </cell>
          <cell r="F1125">
            <v>2399</v>
          </cell>
          <cell r="G1125" t="str">
            <v>AR</v>
          </cell>
          <cell r="H1125" t="str">
            <v>ARRARMWTR</v>
          </cell>
          <cell r="I1125" t="str">
            <v>ARGT6046B007</v>
          </cell>
          <cell r="J1125" t="str">
            <v>40</v>
          </cell>
          <cell r="K1125" t="str">
            <v>TROUSER</v>
          </cell>
          <cell r="L1125" t="str">
            <v>NOD</v>
          </cell>
        </row>
        <row r="1126">
          <cell r="C1126" t="str">
            <v>ARGT6046B</v>
          </cell>
          <cell r="D1126" t="str">
            <v>CORE</v>
          </cell>
          <cell r="E1126" t="str">
            <v>CO24</v>
          </cell>
          <cell r="F1126">
            <v>2599</v>
          </cell>
          <cell r="G1126" t="str">
            <v>AR</v>
          </cell>
          <cell r="H1126" t="str">
            <v>ARRARMWTR</v>
          </cell>
          <cell r="I1126" t="str">
            <v>ARGT6046B008</v>
          </cell>
          <cell r="J1126" t="str">
            <v>42</v>
          </cell>
          <cell r="K1126" t="str">
            <v>TROUSER</v>
          </cell>
          <cell r="L1126" t="str">
            <v>NOD</v>
          </cell>
        </row>
        <row r="1127">
          <cell r="C1127" t="str">
            <v>ARGT6046B</v>
          </cell>
          <cell r="D1127" t="str">
            <v>CORE</v>
          </cell>
          <cell r="E1127" t="str">
            <v>CO24</v>
          </cell>
          <cell r="F1127">
            <v>2599</v>
          </cell>
          <cell r="G1127" t="str">
            <v>AR</v>
          </cell>
          <cell r="H1127" t="str">
            <v>ARRARMWTR</v>
          </cell>
          <cell r="I1127" t="str">
            <v>ARGT6046B009</v>
          </cell>
          <cell r="J1127" t="str">
            <v>44</v>
          </cell>
          <cell r="K1127" t="str">
            <v>TROUSER</v>
          </cell>
          <cell r="L1127" t="str">
            <v>NOD</v>
          </cell>
        </row>
        <row r="1128">
          <cell r="C1128" t="str">
            <v>ARGT6046B</v>
          </cell>
          <cell r="D1128" t="str">
            <v>CORE</v>
          </cell>
          <cell r="E1128" t="str">
            <v>CO24</v>
          </cell>
          <cell r="F1128">
            <v>2599</v>
          </cell>
          <cell r="G1128" t="str">
            <v>AR</v>
          </cell>
          <cell r="H1128" t="str">
            <v>ARRARMWTR</v>
          </cell>
          <cell r="I1128" t="str">
            <v>ARGT6046B010</v>
          </cell>
          <cell r="J1128" t="str">
            <v>46</v>
          </cell>
          <cell r="K1128" t="str">
            <v>TROUSER</v>
          </cell>
          <cell r="L1128" t="str">
            <v>NOD</v>
          </cell>
        </row>
        <row r="1129">
          <cell r="C1129" t="str">
            <v>ARGT6046B</v>
          </cell>
          <cell r="D1129" t="str">
            <v>CORE</v>
          </cell>
          <cell r="E1129" t="str">
            <v>CO24</v>
          </cell>
          <cell r="F1129">
            <v>2599</v>
          </cell>
          <cell r="G1129" t="str">
            <v>AR</v>
          </cell>
          <cell r="H1129" t="str">
            <v>ARRARMWTR</v>
          </cell>
          <cell r="I1129" t="str">
            <v>ARGT6046B011</v>
          </cell>
          <cell r="J1129" t="str">
            <v>48</v>
          </cell>
          <cell r="K1129" t="str">
            <v>TROUSER</v>
          </cell>
          <cell r="L1129" t="str">
            <v>NOD</v>
          </cell>
        </row>
        <row r="1130">
          <cell r="C1130" t="str">
            <v>ARGT6046B</v>
          </cell>
          <cell r="D1130" t="str">
            <v>CORE</v>
          </cell>
          <cell r="E1130" t="str">
            <v>CO24</v>
          </cell>
          <cell r="F1130">
            <v>2599</v>
          </cell>
          <cell r="G1130" t="str">
            <v>AR</v>
          </cell>
          <cell r="H1130" t="str">
            <v>ARRARMWTR</v>
          </cell>
          <cell r="I1130" t="str">
            <v>ARGT6046B012</v>
          </cell>
          <cell r="J1130" t="str">
            <v>50</v>
          </cell>
          <cell r="K1130" t="str">
            <v>TROUSER</v>
          </cell>
          <cell r="L1130" t="str">
            <v>NOD</v>
          </cell>
        </row>
        <row r="1131">
          <cell r="C1131" t="str">
            <v>ARGT6048B</v>
          </cell>
          <cell r="D1131" t="str">
            <v>CORE</v>
          </cell>
          <cell r="E1131" t="str">
            <v>CO24</v>
          </cell>
          <cell r="F1131">
            <v>2699</v>
          </cell>
          <cell r="G1131" t="str">
            <v>AR</v>
          </cell>
          <cell r="H1131" t="str">
            <v>ARRARMWTR</v>
          </cell>
          <cell r="I1131" t="str">
            <v>ARGT6048B001</v>
          </cell>
          <cell r="J1131" t="str">
            <v>28</v>
          </cell>
          <cell r="K1131" t="str">
            <v>TROUSER</v>
          </cell>
          <cell r="L1131" t="str">
            <v>NOD</v>
          </cell>
        </row>
        <row r="1132">
          <cell r="C1132" t="str">
            <v>ARGT6048B</v>
          </cell>
          <cell r="D1132" t="str">
            <v>CORE</v>
          </cell>
          <cell r="E1132" t="str">
            <v>CO24</v>
          </cell>
          <cell r="F1132">
            <v>2699</v>
          </cell>
          <cell r="G1132" t="str">
            <v>AR</v>
          </cell>
          <cell r="H1132" t="str">
            <v>ARRARMWTR</v>
          </cell>
          <cell r="I1132" t="str">
            <v>ARGT6048B002</v>
          </cell>
          <cell r="J1132" t="str">
            <v>30</v>
          </cell>
          <cell r="K1132" t="str">
            <v>TROUSER</v>
          </cell>
          <cell r="L1132" t="str">
            <v>NOD</v>
          </cell>
        </row>
        <row r="1133">
          <cell r="C1133" t="str">
            <v>ARGT6048B</v>
          </cell>
          <cell r="D1133" t="str">
            <v>CORE</v>
          </cell>
          <cell r="E1133" t="str">
            <v>CO24</v>
          </cell>
          <cell r="F1133">
            <v>2699</v>
          </cell>
          <cell r="G1133" t="str">
            <v>AR</v>
          </cell>
          <cell r="H1133" t="str">
            <v>ARRARMWTR</v>
          </cell>
          <cell r="I1133" t="str">
            <v>ARGT6048B003</v>
          </cell>
          <cell r="J1133" t="str">
            <v>32</v>
          </cell>
          <cell r="K1133" t="str">
            <v>TROUSER</v>
          </cell>
          <cell r="L1133" t="str">
            <v>NOD</v>
          </cell>
        </row>
        <row r="1134">
          <cell r="C1134" t="str">
            <v>ARGT6048B</v>
          </cell>
          <cell r="D1134" t="str">
            <v>CORE</v>
          </cell>
          <cell r="E1134" t="str">
            <v>CO24</v>
          </cell>
          <cell r="F1134">
            <v>2699</v>
          </cell>
          <cell r="G1134" t="str">
            <v>AR</v>
          </cell>
          <cell r="H1134" t="str">
            <v>ARRARMWTR</v>
          </cell>
          <cell r="I1134" t="str">
            <v>ARGT6048B004</v>
          </cell>
          <cell r="J1134" t="str">
            <v>34</v>
          </cell>
          <cell r="K1134" t="str">
            <v>TROUSER</v>
          </cell>
          <cell r="L1134" t="str">
            <v>NOD</v>
          </cell>
        </row>
        <row r="1135">
          <cell r="C1135" t="str">
            <v>ARGT6048B</v>
          </cell>
          <cell r="D1135" t="str">
            <v>CORE</v>
          </cell>
          <cell r="E1135" t="str">
            <v>CO24</v>
          </cell>
          <cell r="F1135">
            <v>2699</v>
          </cell>
          <cell r="G1135" t="str">
            <v>AR</v>
          </cell>
          <cell r="H1135" t="str">
            <v>ARRARMWTR</v>
          </cell>
          <cell r="I1135" t="str">
            <v>ARGT6048B005</v>
          </cell>
          <cell r="J1135" t="str">
            <v>36</v>
          </cell>
          <cell r="K1135" t="str">
            <v>TROUSER</v>
          </cell>
          <cell r="L1135" t="str">
            <v>NOD</v>
          </cell>
        </row>
        <row r="1136">
          <cell r="C1136" t="str">
            <v>ARGT6048B</v>
          </cell>
          <cell r="D1136" t="str">
            <v>CORE</v>
          </cell>
          <cell r="E1136" t="str">
            <v>CO24</v>
          </cell>
          <cell r="F1136">
            <v>2699</v>
          </cell>
          <cell r="G1136" t="str">
            <v>AR</v>
          </cell>
          <cell r="H1136" t="str">
            <v>ARRARMWTR</v>
          </cell>
          <cell r="I1136" t="str">
            <v>ARGT6048B006</v>
          </cell>
          <cell r="J1136" t="str">
            <v>38</v>
          </cell>
          <cell r="K1136" t="str">
            <v>TROUSER</v>
          </cell>
          <cell r="L1136" t="str">
            <v>NOD</v>
          </cell>
        </row>
        <row r="1137">
          <cell r="C1137" t="str">
            <v>ARGT6048B</v>
          </cell>
          <cell r="D1137" t="str">
            <v>CORE</v>
          </cell>
          <cell r="E1137" t="str">
            <v>CO24</v>
          </cell>
          <cell r="F1137">
            <v>2699</v>
          </cell>
          <cell r="G1137" t="str">
            <v>AR</v>
          </cell>
          <cell r="H1137" t="str">
            <v>ARRARMWTR</v>
          </cell>
          <cell r="I1137" t="str">
            <v>ARGT6048B007</v>
          </cell>
          <cell r="J1137" t="str">
            <v>40</v>
          </cell>
          <cell r="K1137" t="str">
            <v>TROUSER</v>
          </cell>
          <cell r="L1137" t="str">
            <v>NOD</v>
          </cell>
        </row>
        <row r="1138">
          <cell r="C1138" t="str">
            <v>ARGT6048B</v>
          </cell>
          <cell r="D1138" t="str">
            <v>CORE</v>
          </cell>
          <cell r="E1138" t="str">
            <v>CO24</v>
          </cell>
          <cell r="F1138">
            <v>3054.3</v>
          </cell>
          <cell r="G1138" t="str">
            <v>AR</v>
          </cell>
          <cell r="H1138" t="str">
            <v>ARRARMWTR</v>
          </cell>
          <cell r="I1138" t="str">
            <v>ARGT6048B008</v>
          </cell>
          <cell r="J1138" t="str">
            <v>42</v>
          </cell>
          <cell r="K1138" t="str">
            <v>TROUSER</v>
          </cell>
          <cell r="L1138" t="str">
            <v>NOD</v>
          </cell>
        </row>
        <row r="1139">
          <cell r="C1139" t="str">
            <v>ARGT6048B</v>
          </cell>
          <cell r="D1139" t="str">
            <v>CORE</v>
          </cell>
          <cell r="E1139" t="str">
            <v>CO24</v>
          </cell>
          <cell r="F1139">
            <v>3054.3</v>
          </cell>
          <cell r="G1139" t="str">
            <v>AR</v>
          </cell>
          <cell r="H1139" t="str">
            <v>ARRARMWTR</v>
          </cell>
          <cell r="I1139" t="str">
            <v>ARGT6048B009</v>
          </cell>
          <cell r="J1139" t="str">
            <v>44</v>
          </cell>
          <cell r="K1139" t="str">
            <v>TROUSER</v>
          </cell>
          <cell r="L1139" t="str">
            <v>NOD</v>
          </cell>
        </row>
        <row r="1140">
          <cell r="C1140" t="str">
            <v>ARGT6048B</v>
          </cell>
          <cell r="D1140" t="str">
            <v>CORE</v>
          </cell>
          <cell r="E1140" t="str">
            <v>CO24</v>
          </cell>
          <cell r="F1140">
            <v>3054.3</v>
          </cell>
          <cell r="G1140" t="str">
            <v>AR</v>
          </cell>
          <cell r="H1140" t="str">
            <v>ARRARMWTR</v>
          </cell>
          <cell r="I1140" t="str">
            <v>ARGT6048B010</v>
          </cell>
          <cell r="J1140" t="str">
            <v>46</v>
          </cell>
          <cell r="K1140" t="str">
            <v>TROUSER</v>
          </cell>
          <cell r="L1140" t="str">
            <v>NOD</v>
          </cell>
        </row>
        <row r="1141">
          <cell r="C1141" t="str">
            <v>ARGT6048B</v>
          </cell>
          <cell r="D1141" t="str">
            <v>CORE</v>
          </cell>
          <cell r="E1141" t="str">
            <v>CO24</v>
          </cell>
          <cell r="F1141">
            <v>3054.3</v>
          </cell>
          <cell r="G1141" t="str">
            <v>AR</v>
          </cell>
          <cell r="H1141" t="str">
            <v>ARRARMWTR</v>
          </cell>
          <cell r="I1141" t="str">
            <v>ARGT6048B011</v>
          </cell>
          <cell r="J1141" t="str">
            <v>48</v>
          </cell>
          <cell r="K1141" t="str">
            <v>TROUSER</v>
          </cell>
          <cell r="L1141" t="str">
            <v>NOD</v>
          </cell>
        </row>
        <row r="1142">
          <cell r="C1142" t="str">
            <v>ARGT6048B</v>
          </cell>
          <cell r="D1142" t="str">
            <v>CORE</v>
          </cell>
          <cell r="E1142" t="str">
            <v>CO24</v>
          </cell>
          <cell r="F1142">
            <v>3054.3</v>
          </cell>
          <cell r="G1142" t="str">
            <v>AR</v>
          </cell>
          <cell r="H1142" t="str">
            <v>ARRARMWTR</v>
          </cell>
          <cell r="I1142" t="str">
            <v>ARGT6048B012</v>
          </cell>
          <cell r="J1142" t="str">
            <v>50</v>
          </cell>
          <cell r="K1142" t="str">
            <v>TROUSER</v>
          </cell>
          <cell r="L1142" t="str">
            <v>NOD</v>
          </cell>
        </row>
        <row r="1143">
          <cell r="C1143" t="str">
            <v>ARGT6049B</v>
          </cell>
          <cell r="D1143" t="str">
            <v>CORE</v>
          </cell>
          <cell r="E1143" t="str">
            <v>CO24</v>
          </cell>
          <cell r="F1143">
            <v>2699</v>
          </cell>
          <cell r="G1143" t="str">
            <v>AR</v>
          </cell>
          <cell r="H1143" t="str">
            <v>ARRARMWTR</v>
          </cell>
          <cell r="I1143" t="str">
            <v>ARGT6049B001</v>
          </cell>
          <cell r="J1143" t="str">
            <v>28</v>
          </cell>
          <cell r="K1143" t="str">
            <v>TROUSER</v>
          </cell>
          <cell r="L1143" t="str">
            <v>NOD</v>
          </cell>
        </row>
        <row r="1144">
          <cell r="C1144" t="str">
            <v>ARGT6049B</v>
          </cell>
          <cell r="D1144" t="str">
            <v>CORE</v>
          </cell>
          <cell r="E1144" t="str">
            <v>CO24</v>
          </cell>
          <cell r="F1144">
            <v>2699</v>
          </cell>
          <cell r="G1144" t="str">
            <v>AR</v>
          </cell>
          <cell r="H1144" t="str">
            <v>ARRARMWTR</v>
          </cell>
          <cell r="I1144" t="str">
            <v>ARGT6049B002</v>
          </cell>
          <cell r="J1144" t="str">
            <v>30</v>
          </cell>
          <cell r="K1144" t="str">
            <v>TROUSER</v>
          </cell>
          <cell r="L1144" t="str">
            <v>NOD</v>
          </cell>
        </row>
        <row r="1145">
          <cell r="C1145" t="str">
            <v>ARGT6049B</v>
          </cell>
          <cell r="D1145" t="str">
            <v>CORE</v>
          </cell>
          <cell r="E1145" t="str">
            <v>CO24</v>
          </cell>
          <cell r="F1145">
            <v>2699</v>
          </cell>
          <cell r="G1145" t="str">
            <v>AR</v>
          </cell>
          <cell r="H1145" t="str">
            <v>ARRARMWTR</v>
          </cell>
          <cell r="I1145" t="str">
            <v>ARGT6049B003</v>
          </cell>
          <cell r="J1145" t="str">
            <v>32</v>
          </cell>
          <cell r="K1145" t="str">
            <v>TROUSER</v>
          </cell>
          <cell r="L1145" t="str">
            <v>NOD</v>
          </cell>
        </row>
        <row r="1146">
          <cell r="C1146" t="str">
            <v>ARGT6049B</v>
          </cell>
          <cell r="D1146" t="str">
            <v>CORE</v>
          </cell>
          <cell r="E1146" t="str">
            <v>CO24</v>
          </cell>
          <cell r="F1146">
            <v>2699</v>
          </cell>
          <cell r="G1146" t="str">
            <v>AR</v>
          </cell>
          <cell r="H1146" t="str">
            <v>ARRARMWTR</v>
          </cell>
          <cell r="I1146" t="str">
            <v>ARGT6049B004</v>
          </cell>
          <cell r="J1146" t="str">
            <v>34</v>
          </cell>
          <cell r="K1146" t="str">
            <v>TROUSER</v>
          </cell>
          <cell r="L1146" t="str">
            <v>NOD</v>
          </cell>
        </row>
        <row r="1147">
          <cell r="C1147" t="str">
            <v>ARGT6049B</v>
          </cell>
          <cell r="D1147" t="str">
            <v>CORE</v>
          </cell>
          <cell r="E1147" t="str">
            <v>CO24</v>
          </cell>
          <cell r="F1147">
            <v>2699</v>
          </cell>
          <cell r="G1147" t="str">
            <v>AR</v>
          </cell>
          <cell r="H1147" t="str">
            <v>ARRARMWTR</v>
          </cell>
          <cell r="I1147" t="str">
            <v>ARGT6049B005</v>
          </cell>
          <cell r="J1147" t="str">
            <v>36</v>
          </cell>
          <cell r="K1147" t="str">
            <v>TROUSER</v>
          </cell>
          <cell r="L1147" t="str">
            <v>NOD</v>
          </cell>
        </row>
        <row r="1148">
          <cell r="C1148" t="str">
            <v>ARGT6049B</v>
          </cell>
          <cell r="D1148" t="str">
            <v>CORE</v>
          </cell>
          <cell r="E1148" t="str">
            <v>CO24</v>
          </cell>
          <cell r="F1148">
            <v>2699</v>
          </cell>
          <cell r="G1148" t="str">
            <v>AR</v>
          </cell>
          <cell r="H1148" t="str">
            <v>ARRARMWTR</v>
          </cell>
          <cell r="I1148" t="str">
            <v>ARGT6049B006</v>
          </cell>
          <cell r="J1148" t="str">
            <v>38</v>
          </cell>
          <cell r="K1148" t="str">
            <v>TROUSER</v>
          </cell>
          <cell r="L1148" t="str">
            <v>NOD</v>
          </cell>
        </row>
        <row r="1149">
          <cell r="C1149" t="str">
            <v>ARGT6049B</v>
          </cell>
          <cell r="D1149" t="str">
            <v>CORE</v>
          </cell>
          <cell r="E1149" t="str">
            <v>CO24</v>
          </cell>
          <cell r="F1149">
            <v>2699</v>
          </cell>
          <cell r="G1149" t="str">
            <v>AR</v>
          </cell>
          <cell r="H1149" t="str">
            <v>ARRARMWTR</v>
          </cell>
          <cell r="I1149" t="str">
            <v>ARGT6049B007</v>
          </cell>
          <cell r="J1149" t="str">
            <v>40</v>
          </cell>
          <cell r="K1149" t="str">
            <v>TROUSER</v>
          </cell>
          <cell r="L1149" t="str">
            <v>NOD</v>
          </cell>
        </row>
        <row r="1150">
          <cell r="C1150" t="str">
            <v>ARGT6049B</v>
          </cell>
          <cell r="D1150" t="str">
            <v>CORE</v>
          </cell>
          <cell r="E1150" t="str">
            <v>CO24</v>
          </cell>
          <cell r="F1150">
            <v>3054</v>
          </cell>
          <cell r="G1150" t="str">
            <v>AR</v>
          </cell>
          <cell r="H1150" t="str">
            <v>ARRARMWTR</v>
          </cell>
          <cell r="I1150" t="str">
            <v>ARGT6049B008</v>
          </cell>
          <cell r="J1150" t="str">
            <v>42</v>
          </cell>
          <cell r="K1150" t="str">
            <v>TROUSER</v>
          </cell>
          <cell r="L1150" t="str">
            <v>NOD</v>
          </cell>
        </row>
        <row r="1151">
          <cell r="C1151" t="str">
            <v>ARGT6049B</v>
          </cell>
          <cell r="D1151" t="str">
            <v>CORE</v>
          </cell>
          <cell r="E1151" t="str">
            <v>CO24</v>
          </cell>
          <cell r="F1151">
            <v>3054</v>
          </cell>
          <cell r="G1151" t="str">
            <v>AR</v>
          </cell>
          <cell r="H1151" t="str">
            <v>ARRARMWTR</v>
          </cell>
          <cell r="I1151" t="str">
            <v>ARGT6049B009</v>
          </cell>
          <cell r="J1151" t="str">
            <v>44</v>
          </cell>
          <cell r="K1151" t="str">
            <v>TROUSER</v>
          </cell>
          <cell r="L1151" t="str">
            <v>NOD</v>
          </cell>
        </row>
        <row r="1152">
          <cell r="C1152" t="str">
            <v>ARGT6049B</v>
          </cell>
          <cell r="D1152" t="str">
            <v>CORE</v>
          </cell>
          <cell r="E1152" t="str">
            <v>CO24</v>
          </cell>
          <cell r="F1152">
            <v>3054</v>
          </cell>
          <cell r="G1152" t="str">
            <v>AR</v>
          </cell>
          <cell r="H1152" t="str">
            <v>ARRARMWTR</v>
          </cell>
          <cell r="I1152" t="str">
            <v>ARGT6049B010</v>
          </cell>
          <cell r="J1152" t="str">
            <v>46</v>
          </cell>
          <cell r="K1152" t="str">
            <v>TROUSER</v>
          </cell>
          <cell r="L1152" t="str">
            <v>NOD</v>
          </cell>
        </row>
        <row r="1153">
          <cell r="C1153" t="str">
            <v>ARGT6049B</v>
          </cell>
          <cell r="D1153" t="str">
            <v>CORE</v>
          </cell>
          <cell r="E1153" t="str">
            <v>CO24</v>
          </cell>
          <cell r="F1153">
            <v>3054</v>
          </cell>
          <cell r="G1153" t="str">
            <v>AR</v>
          </cell>
          <cell r="H1153" t="str">
            <v>ARRARMWTR</v>
          </cell>
          <cell r="I1153" t="str">
            <v>ARGT6049B011</v>
          </cell>
          <cell r="J1153" t="str">
            <v>48</v>
          </cell>
          <cell r="K1153" t="str">
            <v>TROUSER</v>
          </cell>
          <cell r="L1153" t="str">
            <v>NOD</v>
          </cell>
        </row>
        <row r="1154">
          <cell r="C1154" t="str">
            <v>ARGT6049B</v>
          </cell>
          <cell r="D1154" t="str">
            <v>CORE</v>
          </cell>
          <cell r="E1154" t="str">
            <v>CO24</v>
          </cell>
          <cell r="F1154">
            <v>3054</v>
          </cell>
          <cell r="G1154" t="str">
            <v>AR</v>
          </cell>
          <cell r="H1154" t="str">
            <v>ARRARMWTR</v>
          </cell>
          <cell r="I1154" t="str">
            <v>ARGT6049B012</v>
          </cell>
          <cell r="J1154" t="str">
            <v>50</v>
          </cell>
          <cell r="K1154" t="str">
            <v>TROUSER</v>
          </cell>
          <cell r="L1154" t="str">
            <v>NOD</v>
          </cell>
        </row>
        <row r="1155">
          <cell r="C1155" t="str">
            <v>ARGT6052A</v>
          </cell>
          <cell r="D1155" t="str">
            <v>CORE</v>
          </cell>
          <cell r="E1155" t="str">
            <v>CO24</v>
          </cell>
          <cell r="F1155">
            <v>2399</v>
          </cell>
          <cell r="G1155" t="str">
            <v>AR</v>
          </cell>
          <cell r="H1155" t="str">
            <v>ARRARMWTR</v>
          </cell>
          <cell r="I1155" t="str">
            <v>ARGT6052A001</v>
          </cell>
          <cell r="J1155" t="str">
            <v>30</v>
          </cell>
          <cell r="K1155" t="str">
            <v>TROUSER</v>
          </cell>
          <cell r="L1155" t="str">
            <v>NOD</v>
          </cell>
        </row>
        <row r="1156">
          <cell r="C1156" t="str">
            <v>ARGT6052A</v>
          </cell>
          <cell r="D1156" t="str">
            <v>CORE</v>
          </cell>
          <cell r="E1156" t="str">
            <v>CO24</v>
          </cell>
          <cell r="F1156">
            <v>2399</v>
          </cell>
          <cell r="G1156" t="str">
            <v>AR</v>
          </cell>
          <cell r="H1156" t="str">
            <v>ARRARMWTR</v>
          </cell>
          <cell r="I1156" t="str">
            <v>ARGT6052A002</v>
          </cell>
          <cell r="J1156" t="str">
            <v>32</v>
          </cell>
          <cell r="K1156" t="str">
            <v>TROUSER</v>
          </cell>
          <cell r="L1156" t="str">
            <v>NOD</v>
          </cell>
        </row>
        <row r="1157">
          <cell r="C1157" t="str">
            <v>ARGT6052A</v>
          </cell>
          <cell r="D1157" t="str">
            <v>CORE</v>
          </cell>
          <cell r="E1157" t="str">
            <v>CO24</v>
          </cell>
          <cell r="F1157">
            <v>2399</v>
          </cell>
          <cell r="G1157" t="str">
            <v>AR</v>
          </cell>
          <cell r="H1157" t="str">
            <v>ARRARMWTR</v>
          </cell>
          <cell r="I1157" t="str">
            <v>ARGT6052A003</v>
          </cell>
          <cell r="J1157" t="str">
            <v>34</v>
          </cell>
          <cell r="K1157" t="str">
            <v>TROUSER</v>
          </cell>
          <cell r="L1157" t="str">
            <v>NOD</v>
          </cell>
        </row>
        <row r="1158">
          <cell r="C1158" t="str">
            <v>ARGT6052A</v>
          </cell>
          <cell r="D1158" t="str">
            <v>CORE</v>
          </cell>
          <cell r="E1158" t="str">
            <v>CO24</v>
          </cell>
          <cell r="F1158">
            <v>2399</v>
          </cell>
          <cell r="G1158" t="str">
            <v>AR</v>
          </cell>
          <cell r="H1158" t="str">
            <v>ARRARMWTR</v>
          </cell>
          <cell r="I1158" t="str">
            <v>ARGT6052A004</v>
          </cell>
          <cell r="J1158" t="str">
            <v>36</v>
          </cell>
          <cell r="K1158" t="str">
            <v>TROUSER</v>
          </cell>
          <cell r="L1158" t="str">
            <v>NOD</v>
          </cell>
        </row>
        <row r="1159">
          <cell r="C1159" t="str">
            <v>ARGT6052A</v>
          </cell>
          <cell r="D1159" t="str">
            <v>CORE</v>
          </cell>
          <cell r="E1159" t="str">
            <v>CO24</v>
          </cell>
          <cell r="F1159">
            <v>2399</v>
          </cell>
          <cell r="G1159" t="str">
            <v>AR</v>
          </cell>
          <cell r="H1159" t="str">
            <v>ARRARMWTR</v>
          </cell>
          <cell r="I1159" t="str">
            <v>ARGT6052A005</v>
          </cell>
          <cell r="J1159" t="str">
            <v>38</v>
          </cell>
          <cell r="K1159" t="str">
            <v>TROUSER</v>
          </cell>
          <cell r="L1159" t="str">
            <v>NOD</v>
          </cell>
        </row>
        <row r="1160">
          <cell r="C1160" t="str">
            <v>ARGT6052A</v>
          </cell>
          <cell r="D1160" t="str">
            <v>CORE</v>
          </cell>
          <cell r="E1160" t="str">
            <v>CO24</v>
          </cell>
          <cell r="F1160">
            <v>2399</v>
          </cell>
          <cell r="G1160" t="str">
            <v>AR</v>
          </cell>
          <cell r="H1160" t="str">
            <v>ARRARMWTR</v>
          </cell>
          <cell r="I1160" t="str">
            <v>ARGT6052A006</v>
          </cell>
          <cell r="J1160" t="str">
            <v>40</v>
          </cell>
          <cell r="K1160" t="str">
            <v>TROUSER</v>
          </cell>
          <cell r="L1160" t="str">
            <v>NOD</v>
          </cell>
        </row>
        <row r="1161">
          <cell r="C1161" t="str">
            <v>ARGT6052A</v>
          </cell>
          <cell r="D1161" t="str">
            <v>CORE</v>
          </cell>
          <cell r="E1161" t="str">
            <v>CO24</v>
          </cell>
          <cell r="F1161">
            <v>2399</v>
          </cell>
          <cell r="G1161" t="str">
            <v>AR</v>
          </cell>
          <cell r="H1161" t="str">
            <v>ARRARMWTR</v>
          </cell>
          <cell r="I1161" t="str">
            <v>ARGT6052A007</v>
          </cell>
          <cell r="J1161" t="str">
            <v>42</v>
          </cell>
          <cell r="K1161" t="str">
            <v>TROUSER</v>
          </cell>
          <cell r="L1161" t="str">
            <v>NOD</v>
          </cell>
        </row>
        <row r="1162">
          <cell r="C1162" t="str">
            <v>ARGT6052A</v>
          </cell>
          <cell r="D1162" t="str">
            <v>CORE</v>
          </cell>
          <cell r="E1162" t="str">
            <v>CO24</v>
          </cell>
          <cell r="F1162">
            <v>2399</v>
          </cell>
          <cell r="G1162" t="str">
            <v>AR</v>
          </cell>
          <cell r="H1162" t="str">
            <v>ARRARMWTR</v>
          </cell>
          <cell r="I1162" t="str">
            <v>ARGT6052A008</v>
          </cell>
          <cell r="J1162" t="str">
            <v>44</v>
          </cell>
          <cell r="K1162" t="str">
            <v>TROUSER</v>
          </cell>
          <cell r="L1162" t="str">
            <v>NOD</v>
          </cell>
        </row>
        <row r="1163">
          <cell r="C1163" t="str">
            <v>ARGT6052A</v>
          </cell>
          <cell r="D1163" t="str">
            <v>CORE</v>
          </cell>
          <cell r="E1163" t="str">
            <v>CO24</v>
          </cell>
          <cell r="F1163">
            <v>2399</v>
          </cell>
          <cell r="G1163" t="str">
            <v>AR</v>
          </cell>
          <cell r="H1163" t="str">
            <v>ARRARMWTR</v>
          </cell>
          <cell r="I1163" t="str">
            <v>ARGT6052A009</v>
          </cell>
          <cell r="J1163" t="str">
            <v>46</v>
          </cell>
          <cell r="K1163" t="str">
            <v>TROUSER</v>
          </cell>
          <cell r="L1163" t="str">
            <v>NOD</v>
          </cell>
        </row>
        <row r="1164">
          <cell r="C1164" t="str">
            <v>ARGT6052A</v>
          </cell>
          <cell r="D1164" t="str">
            <v>CORE</v>
          </cell>
          <cell r="E1164" t="str">
            <v>CO24</v>
          </cell>
          <cell r="F1164">
            <v>2399</v>
          </cell>
          <cell r="G1164" t="str">
            <v>AR</v>
          </cell>
          <cell r="H1164" t="str">
            <v>ARRARMWTR</v>
          </cell>
          <cell r="I1164" t="str">
            <v>ARGT6052A010</v>
          </cell>
          <cell r="J1164" t="str">
            <v>48</v>
          </cell>
          <cell r="K1164" t="str">
            <v>TROUSER</v>
          </cell>
          <cell r="L1164" t="str">
            <v>NOD</v>
          </cell>
        </row>
        <row r="1165">
          <cell r="C1165" t="str">
            <v>ARGT6055A</v>
          </cell>
          <cell r="D1165" t="str">
            <v>CORE</v>
          </cell>
          <cell r="E1165" t="str">
            <v>CO25</v>
          </cell>
          <cell r="F1165">
            <v>2499</v>
          </cell>
          <cell r="G1165" t="str">
            <v>AR</v>
          </cell>
          <cell r="H1165" t="str">
            <v>ARRARMWTR</v>
          </cell>
          <cell r="I1165" t="str">
            <v>ARGT6055A001</v>
          </cell>
          <cell r="J1165" t="str">
            <v>28</v>
          </cell>
          <cell r="K1165" t="str">
            <v>TROUSER</v>
          </cell>
          <cell r="L1165" t="str">
            <v>NOD</v>
          </cell>
        </row>
        <row r="1166">
          <cell r="C1166" t="str">
            <v>ARGT6055A</v>
          </cell>
          <cell r="D1166" t="str">
            <v>CORE</v>
          </cell>
          <cell r="E1166" t="str">
            <v>CO25</v>
          </cell>
          <cell r="F1166">
            <v>2499</v>
          </cell>
          <cell r="G1166" t="str">
            <v>AR</v>
          </cell>
          <cell r="H1166" t="str">
            <v>ARRARMWTR</v>
          </cell>
          <cell r="I1166" t="str">
            <v>ARGT6055A002</v>
          </cell>
          <cell r="J1166" t="str">
            <v>30</v>
          </cell>
          <cell r="K1166" t="str">
            <v>TROUSER</v>
          </cell>
          <cell r="L1166" t="str">
            <v>NOD</v>
          </cell>
        </row>
        <row r="1167">
          <cell r="C1167" t="str">
            <v>ARGT6055A</v>
          </cell>
          <cell r="D1167" t="str">
            <v>CORE</v>
          </cell>
          <cell r="E1167" t="str">
            <v>CO25</v>
          </cell>
          <cell r="F1167">
            <v>2499</v>
          </cell>
          <cell r="G1167" t="str">
            <v>AR</v>
          </cell>
          <cell r="H1167" t="str">
            <v>ARRARMWTR</v>
          </cell>
          <cell r="I1167" t="str">
            <v>ARGT6055A003</v>
          </cell>
          <cell r="J1167" t="str">
            <v>32</v>
          </cell>
          <cell r="K1167" t="str">
            <v>TROUSER</v>
          </cell>
          <cell r="L1167" t="str">
            <v>NOD</v>
          </cell>
        </row>
        <row r="1168">
          <cell r="C1168" t="str">
            <v>ARGT6055A</v>
          </cell>
          <cell r="D1168" t="str">
            <v>CORE</v>
          </cell>
          <cell r="E1168" t="str">
            <v>CO25</v>
          </cell>
          <cell r="F1168">
            <v>2499</v>
          </cell>
          <cell r="G1168" t="str">
            <v>AR</v>
          </cell>
          <cell r="H1168" t="str">
            <v>ARRARMWTR</v>
          </cell>
          <cell r="I1168" t="str">
            <v>ARGT6055A004</v>
          </cell>
          <cell r="J1168" t="str">
            <v>34</v>
          </cell>
          <cell r="K1168" t="str">
            <v>TROUSER</v>
          </cell>
          <cell r="L1168" t="str">
            <v>NOD</v>
          </cell>
        </row>
        <row r="1169">
          <cell r="C1169" t="str">
            <v>ARGT6055A</v>
          </cell>
          <cell r="D1169" t="str">
            <v>CORE</v>
          </cell>
          <cell r="E1169" t="str">
            <v>CO25</v>
          </cell>
          <cell r="F1169">
            <v>2499</v>
          </cell>
          <cell r="G1169" t="str">
            <v>AR</v>
          </cell>
          <cell r="H1169" t="str">
            <v>ARRARMWTR</v>
          </cell>
          <cell r="I1169" t="str">
            <v>ARGT6055A005</v>
          </cell>
          <cell r="J1169" t="str">
            <v>36</v>
          </cell>
          <cell r="K1169" t="str">
            <v>TROUSER</v>
          </cell>
          <cell r="L1169" t="str">
            <v>NOD</v>
          </cell>
        </row>
        <row r="1170">
          <cell r="C1170" t="str">
            <v>ARGT6055A</v>
          </cell>
          <cell r="D1170" t="str">
            <v>CORE</v>
          </cell>
          <cell r="E1170" t="str">
            <v>CO25</v>
          </cell>
          <cell r="F1170">
            <v>2499</v>
          </cell>
          <cell r="G1170" t="str">
            <v>AR</v>
          </cell>
          <cell r="H1170" t="str">
            <v>ARRARMWTR</v>
          </cell>
          <cell r="I1170" t="str">
            <v>ARGT6055A006</v>
          </cell>
          <cell r="J1170" t="str">
            <v>38</v>
          </cell>
          <cell r="K1170" t="str">
            <v>TROUSER</v>
          </cell>
          <cell r="L1170" t="str">
            <v>NOD</v>
          </cell>
        </row>
        <row r="1171">
          <cell r="C1171" t="str">
            <v>ARGT6055A</v>
          </cell>
          <cell r="D1171" t="str">
            <v>CORE</v>
          </cell>
          <cell r="E1171" t="str">
            <v>CO25</v>
          </cell>
          <cell r="F1171">
            <v>2499</v>
          </cell>
          <cell r="G1171" t="str">
            <v>AR</v>
          </cell>
          <cell r="H1171" t="str">
            <v>ARRARMWTR</v>
          </cell>
          <cell r="I1171" t="str">
            <v>ARGT6055A007</v>
          </cell>
          <cell r="J1171" t="str">
            <v>40</v>
          </cell>
          <cell r="K1171" t="str">
            <v>TROUSER</v>
          </cell>
          <cell r="L1171" t="str">
            <v>NOD</v>
          </cell>
        </row>
        <row r="1172">
          <cell r="C1172" t="str">
            <v>ARGT6055A</v>
          </cell>
          <cell r="D1172" t="str">
            <v>CORE</v>
          </cell>
          <cell r="E1172" t="str">
            <v>CO25</v>
          </cell>
          <cell r="F1172">
            <v>2699</v>
          </cell>
          <cell r="G1172" t="str">
            <v>AR</v>
          </cell>
          <cell r="H1172" t="str">
            <v>ARRARMWTR</v>
          </cell>
          <cell r="I1172" t="str">
            <v>ARGT6055A008</v>
          </cell>
          <cell r="J1172" t="str">
            <v>42</v>
          </cell>
          <cell r="K1172" t="str">
            <v>TROUSER</v>
          </cell>
          <cell r="L1172" t="str">
            <v>NOD</v>
          </cell>
        </row>
        <row r="1173">
          <cell r="C1173" t="str">
            <v>ARGT6055A</v>
          </cell>
          <cell r="D1173" t="str">
            <v>CORE</v>
          </cell>
          <cell r="E1173" t="str">
            <v>CO25</v>
          </cell>
          <cell r="F1173">
            <v>2699</v>
          </cell>
          <cell r="G1173" t="str">
            <v>AR</v>
          </cell>
          <cell r="H1173" t="str">
            <v>ARRARMWTR</v>
          </cell>
          <cell r="I1173" t="str">
            <v>ARGT6055A009</v>
          </cell>
          <cell r="J1173" t="str">
            <v>44</v>
          </cell>
          <cell r="K1173" t="str">
            <v>TROUSER</v>
          </cell>
          <cell r="L1173" t="str">
            <v>NOD</v>
          </cell>
        </row>
        <row r="1174">
          <cell r="C1174" t="str">
            <v>ARGT6055A</v>
          </cell>
          <cell r="D1174" t="str">
            <v>CORE</v>
          </cell>
          <cell r="E1174" t="str">
            <v>CO25</v>
          </cell>
          <cell r="F1174">
            <v>2699</v>
          </cell>
          <cell r="G1174" t="str">
            <v>AR</v>
          </cell>
          <cell r="H1174" t="str">
            <v>ARRARMWTR</v>
          </cell>
          <cell r="I1174" t="str">
            <v>ARGT6055A010</v>
          </cell>
          <cell r="J1174" t="str">
            <v>46</v>
          </cell>
          <cell r="K1174" t="str">
            <v>TROUSER</v>
          </cell>
          <cell r="L1174" t="str">
            <v>NOD</v>
          </cell>
        </row>
        <row r="1175">
          <cell r="C1175" t="str">
            <v>ARGT6055A</v>
          </cell>
          <cell r="D1175" t="str">
            <v>CORE</v>
          </cell>
          <cell r="E1175" t="str">
            <v>CO25</v>
          </cell>
          <cell r="F1175">
            <v>2699</v>
          </cell>
          <cell r="G1175" t="str">
            <v>AR</v>
          </cell>
          <cell r="H1175" t="str">
            <v>ARRARMWTR</v>
          </cell>
          <cell r="I1175" t="str">
            <v>ARGT6055A011</v>
          </cell>
          <cell r="J1175" t="str">
            <v>48</v>
          </cell>
          <cell r="K1175" t="str">
            <v>TROUSER</v>
          </cell>
          <cell r="L1175" t="str">
            <v>NOD</v>
          </cell>
        </row>
        <row r="1176">
          <cell r="C1176" t="str">
            <v>ARGT6055A</v>
          </cell>
          <cell r="D1176" t="str">
            <v>CORE</v>
          </cell>
          <cell r="E1176" t="str">
            <v>CO25</v>
          </cell>
          <cell r="F1176">
            <v>2699</v>
          </cell>
          <cell r="G1176" t="str">
            <v>AR</v>
          </cell>
          <cell r="H1176" t="str">
            <v>ARRARMWTR</v>
          </cell>
          <cell r="I1176" t="str">
            <v>ARGT6055A012</v>
          </cell>
          <cell r="J1176" t="str">
            <v>50</v>
          </cell>
          <cell r="K1176" t="str">
            <v>TROUSER</v>
          </cell>
          <cell r="L1176" t="str">
            <v>NOD</v>
          </cell>
        </row>
        <row r="1177">
          <cell r="C1177" t="str">
            <v>ARGT6055AG</v>
          </cell>
          <cell r="D1177" t="str">
            <v>CORE</v>
          </cell>
          <cell r="E1177" t="str">
            <v>CO26</v>
          </cell>
          <cell r="F1177">
            <v>2599</v>
          </cell>
          <cell r="G1177" t="str">
            <v>AR</v>
          </cell>
          <cell r="H1177" t="str">
            <v>ARRARMWTR</v>
          </cell>
          <cell r="I1177" t="str">
            <v>ARGT6055AG001</v>
          </cell>
          <cell r="J1177" t="str">
            <v>28</v>
          </cell>
          <cell r="K1177" t="str">
            <v>TROUSER</v>
          </cell>
          <cell r="L1177" t="str">
            <v>NOD</v>
          </cell>
        </row>
        <row r="1178">
          <cell r="C1178" t="str">
            <v>ARGT6055AG</v>
          </cell>
          <cell r="D1178" t="str">
            <v>CORE</v>
          </cell>
          <cell r="E1178" t="str">
            <v>CO26</v>
          </cell>
          <cell r="F1178">
            <v>2599</v>
          </cell>
          <cell r="G1178" t="str">
            <v>AR</v>
          </cell>
          <cell r="H1178" t="str">
            <v>ARRARMWTR</v>
          </cell>
          <cell r="I1178" t="str">
            <v>ARGT6055AG002</v>
          </cell>
          <cell r="J1178" t="str">
            <v>30</v>
          </cell>
          <cell r="K1178" t="str">
            <v>TROUSER</v>
          </cell>
          <cell r="L1178" t="str">
            <v>NOD</v>
          </cell>
        </row>
        <row r="1179">
          <cell r="C1179" t="str">
            <v>ARGT6055AG</v>
          </cell>
          <cell r="D1179" t="str">
            <v>CORE</v>
          </cell>
          <cell r="E1179" t="str">
            <v>CO26</v>
          </cell>
          <cell r="F1179">
            <v>2599</v>
          </cell>
          <cell r="G1179" t="str">
            <v>AR</v>
          </cell>
          <cell r="H1179" t="str">
            <v>ARRARMWTR</v>
          </cell>
          <cell r="I1179" t="str">
            <v>ARGT6055AG003</v>
          </cell>
          <cell r="J1179" t="str">
            <v>32</v>
          </cell>
          <cell r="K1179" t="str">
            <v>TROUSER</v>
          </cell>
          <cell r="L1179" t="str">
            <v>NOD</v>
          </cell>
        </row>
        <row r="1180">
          <cell r="C1180" t="str">
            <v>ARGT6055AG</v>
          </cell>
          <cell r="D1180" t="str">
            <v>CORE</v>
          </cell>
          <cell r="E1180" t="str">
            <v>CO26</v>
          </cell>
          <cell r="F1180">
            <v>2599</v>
          </cell>
          <cell r="G1180" t="str">
            <v>AR</v>
          </cell>
          <cell r="H1180" t="str">
            <v>ARRARMWTR</v>
          </cell>
          <cell r="I1180" t="str">
            <v>ARGT6055AG004</v>
          </cell>
          <cell r="J1180" t="str">
            <v>34</v>
          </cell>
          <cell r="K1180" t="str">
            <v>TROUSER</v>
          </cell>
          <cell r="L1180" t="str">
            <v>NOD</v>
          </cell>
        </row>
        <row r="1181">
          <cell r="C1181" t="str">
            <v>ARGT6055AG</v>
          </cell>
          <cell r="D1181" t="str">
            <v>CORE</v>
          </cell>
          <cell r="E1181" t="str">
            <v>CO26</v>
          </cell>
          <cell r="F1181">
            <v>2599</v>
          </cell>
          <cell r="G1181" t="str">
            <v>AR</v>
          </cell>
          <cell r="H1181" t="str">
            <v>ARRARMWTR</v>
          </cell>
          <cell r="I1181" t="str">
            <v>ARGT6055AG005</v>
          </cell>
          <cell r="J1181" t="str">
            <v>36</v>
          </cell>
          <cell r="K1181" t="str">
            <v>TROUSER</v>
          </cell>
          <cell r="L1181" t="str">
            <v>NOD</v>
          </cell>
        </row>
        <row r="1182">
          <cell r="C1182" t="str">
            <v>ARGT6055AG</v>
          </cell>
          <cell r="D1182" t="str">
            <v>CORE</v>
          </cell>
          <cell r="E1182" t="str">
            <v>CO26</v>
          </cell>
          <cell r="F1182">
            <v>2599</v>
          </cell>
          <cell r="G1182" t="str">
            <v>AR</v>
          </cell>
          <cell r="H1182" t="str">
            <v>ARRARMWTR</v>
          </cell>
          <cell r="I1182" t="str">
            <v>ARGT6055AG006</v>
          </cell>
          <cell r="J1182" t="str">
            <v>38</v>
          </cell>
          <cell r="K1182" t="str">
            <v>TROUSER</v>
          </cell>
          <cell r="L1182" t="str">
            <v>NOD</v>
          </cell>
        </row>
        <row r="1183">
          <cell r="C1183" t="str">
            <v>ARGT6055AG</v>
          </cell>
          <cell r="D1183" t="str">
            <v>CORE</v>
          </cell>
          <cell r="E1183" t="str">
            <v>CO26</v>
          </cell>
          <cell r="F1183">
            <v>2599</v>
          </cell>
          <cell r="G1183" t="str">
            <v>AR</v>
          </cell>
          <cell r="H1183" t="str">
            <v>ARRARMWTR</v>
          </cell>
          <cell r="I1183" t="str">
            <v>ARGT6055AG007</v>
          </cell>
          <cell r="J1183" t="str">
            <v>40</v>
          </cell>
          <cell r="K1183" t="str">
            <v>TROUSER</v>
          </cell>
          <cell r="L1183" t="str">
            <v>NOD</v>
          </cell>
        </row>
        <row r="1184">
          <cell r="C1184" t="str">
            <v>ARGT6055AG</v>
          </cell>
          <cell r="D1184" t="str">
            <v>CORE</v>
          </cell>
          <cell r="E1184" t="str">
            <v>CO26</v>
          </cell>
          <cell r="F1184">
            <v>2599</v>
          </cell>
          <cell r="G1184" t="str">
            <v>AR</v>
          </cell>
          <cell r="H1184" t="str">
            <v>ARRARMWTR</v>
          </cell>
          <cell r="I1184" t="str">
            <v>ARGT6055AG008</v>
          </cell>
          <cell r="J1184" t="str">
            <v>42</v>
          </cell>
          <cell r="K1184" t="str">
            <v>TROUSER</v>
          </cell>
          <cell r="L1184" t="str">
            <v>NOD</v>
          </cell>
        </row>
        <row r="1185">
          <cell r="C1185" t="str">
            <v>ARGT6055AG</v>
          </cell>
          <cell r="D1185" t="str">
            <v>CORE</v>
          </cell>
          <cell r="E1185" t="str">
            <v>CO26</v>
          </cell>
          <cell r="F1185">
            <v>2599</v>
          </cell>
          <cell r="G1185" t="str">
            <v>AR</v>
          </cell>
          <cell r="H1185" t="str">
            <v>ARRARMWTR</v>
          </cell>
          <cell r="I1185" t="str">
            <v>ARGT6055AG009</v>
          </cell>
          <cell r="J1185" t="str">
            <v>44</v>
          </cell>
          <cell r="K1185" t="str">
            <v>TROUSER</v>
          </cell>
          <cell r="L1185" t="str">
            <v>NOD</v>
          </cell>
        </row>
        <row r="1186">
          <cell r="C1186" t="str">
            <v>ARGT6055AG</v>
          </cell>
          <cell r="D1186" t="str">
            <v>CORE</v>
          </cell>
          <cell r="E1186" t="str">
            <v>CO26</v>
          </cell>
          <cell r="F1186">
            <v>2599</v>
          </cell>
          <cell r="G1186" t="str">
            <v>AR</v>
          </cell>
          <cell r="H1186" t="str">
            <v>ARRARMWTR</v>
          </cell>
          <cell r="I1186" t="str">
            <v>ARGT6055AG010</v>
          </cell>
          <cell r="J1186" t="str">
            <v>46</v>
          </cell>
          <cell r="K1186" t="str">
            <v>TROUSER</v>
          </cell>
          <cell r="L1186" t="str">
            <v>NOD</v>
          </cell>
        </row>
        <row r="1187">
          <cell r="C1187" t="str">
            <v>ARGT6055AG</v>
          </cell>
          <cell r="D1187" t="str">
            <v>CORE</v>
          </cell>
          <cell r="E1187" t="str">
            <v>CO26</v>
          </cell>
          <cell r="F1187">
            <v>2599</v>
          </cell>
          <cell r="G1187" t="str">
            <v>AR</v>
          </cell>
          <cell r="H1187" t="str">
            <v>ARRARMWTR</v>
          </cell>
          <cell r="I1187" t="str">
            <v>ARGT6055AG011</v>
          </cell>
          <cell r="J1187" t="str">
            <v>48</v>
          </cell>
          <cell r="K1187" t="str">
            <v>TROUSER</v>
          </cell>
          <cell r="L1187" t="str">
            <v>NOD</v>
          </cell>
        </row>
        <row r="1188">
          <cell r="C1188" t="str">
            <v>ARGT6055AG</v>
          </cell>
          <cell r="D1188" t="str">
            <v>CORE</v>
          </cell>
          <cell r="E1188" t="str">
            <v>CO26</v>
          </cell>
          <cell r="F1188">
            <v>2599</v>
          </cell>
          <cell r="G1188" t="str">
            <v>AR</v>
          </cell>
          <cell r="H1188" t="str">
            <v>ARRARMWTR</v>
          </cell>
          <cell r="I1188" t="str">
            <v>ARGT6055AG012</v>
          </cell>
          <cell r="J1188" t="str">
            <v>50</v>
          </cell>
          <cell r="K1188" t="str">
            <v>TROUSER</v>
          </cell>
          <cell r="L1188" t="str">
            <v>NOD</v>
          </cell>
        </row>
        <row r="1189">
          <cell r="C1189" t="str">
            <v>ARGT6056A</v>
          </cell>
          <cell r="D1189" t="str">
            <v>CORE</v>
          </cell>
          <cell r="E1189" t="str">
            <v>CO25</v>
          </cell>
          <cell r="F1189">
            <v>2499</v>
          </cell>
          <cell r="G1189" t="str">
            <v>AR</v>
          </cell>
          <cell r="H1189" t="str">
            <v>ARRARMWTR</v>
          </cell>
          <cell r="I1189" t="str">
            <v>ARGT6056A001</v>
          </cell>
          <cell r="J1189" t="str">
            <v>28</v>
          </cell>
          <cell r="K1189" t="str">
            <v>TROUSER</v>
          </cell>
          <cell r="L1189" t="str">
            <v>NOD</v>
          </cell>
        </row>
        <row r="1190">
          <cell r="C1190" t="str">
            <v>ARGT6056A</v>
          </cell>
          <cell r="D1190" t="str">
            <v>CORE</v>
          </cell>
          <cell r="E1190" t="str">
            <v>CO25</v>
          </cell>
          <cell r="F1190">
            <v>2499</v>
          </cell>
          <cell r="G1190" t="str">
            <v>AR</v>
          </cell>
          <cell r="H1190" t="str">
            <v>ARRARMWTR</v>
          </cell>
          <cell r="I1190" t="str">
            <v>ARGT6056A002</v>
          </cell>
          <cell r="J1190" t="str">
            <v>30</v>
          </cell>
          <cell r="K1190" t="str">
            <v>TROUSER</v>
          </cell>
          <cell r="L1190" t="str">
            <v>NOD</v>
          </cell>
        </row>
        <row r="1191">
          <cell r="C1191" t="str">
            <v>ARGT6056A</v>
          </cell>
          <cell r="D1191" t="str">
            <v>CORE</v>
          </cell>
          <cell r="E1191" t="str">
            <v>CO25</v>
          </cell>
          <cell r="F1191">
            <v>2499</v>
          </cell>
          <cell r="G1191" t="str">
            <v>AR</v>
          </cell>
          <cell r="H1191" t="str">
            <v>ARRARMWTR</v>
          </cell>
          <cell r="I1191" t="str">
            <v>ARGT6056A003</v>
          </cell>
          <cell r="J1191" t="str">
            <v>32</v>
          </cell>
          <cell r="K1191" t="str">
            <v>TROUSER</v>
          </cell>
          <cell r="L1191" t="str">
            <v>NOD</v>
          </cell>
        </row>
        <row r="1192">
          <cell r="C1192" t="str">
            <v>ARGT6056A</v>
          </cell>
          <cell r="D1192" t="str">
            <v>CORE</v>
          </cell>
          <cell r="E1192" t="str">
            <v>CO25</v>
          </cell>
          <cell r="F1192">
            <v>2499</v>
          </cell>
          <cell r="G1192" t="str">
            <v>AR</v>
          </cell>
          <cell r="H1192" t="str">
            <v>ARRARMWTR</v>
          </cell>
          <cell r="I1192" t="str">
            <v>ARGT6056A004</v>
          </cell>
          <cell r="J1192" t="str">
            <v>34</v>
          </cell>
          <cell r="K1192" t="str">
            <v>TROUSER</v>
          </cell>
          <cell r="L1192" t="str">
            <v>NOD</v>
          </cell>
        </row>
        <row r="1193">
          <cell r="C1193" t="str">
            <v>ARGT6056A</v>
          </cell>
          <cell r="D1193" t="str">
            <v>CORE</v>
          </cell>
          <cell r="E1193" t="str">
            <v>CO25</v>
          </cell>
          <cell r="F1193">
            <v>2499</v>
          </cell>
          <cell r="G1193" t="str">
            <v>AR</v>
          </cell>
          <cell r="H1193" t="str">
            <v>ARRARMWTR</v>
          </cell>
          <cell r="I1193" t="str">
            <v>ARGT6056A005</v>
          </cell>
          <cell r="J1193" t="str">
            <v>36</v>
          </cell>
          <cell r="K1193" t="str">
            <v>TROUSER</v>
          </cell>
          <cell r="L1193" t="str">
            <v>NOD</v>
          </cell>
        </row>
        <row r="1194">
          <cell r="C1194" t="str">
            <v>ARGT6056A</v>
          </cell>
          <cell r="D1194" t="str">
            <v>CORE</v>
          </cell>
          <cell r="E1194" t="str">
            <v>CO25</v>
          </cell>
          <cell r="F1194">
            <v>2499</v>
          </cell>
          <cell r="G1194" t="str">
            <v>AR</v>
          </cell>
          <cell r="H1194" t="str">
            <v>ARRARMWTR</v>
          </cell>
          <cell r="I1194" t="str">
            <v>ARGT6056A006</v>
          </cell>
          <cell r="J1194" t="str">
            <v>38</v>
          </cell>
          <cell r="K1194" t="str">
            <v>TROUSER</v>
          </cell>
          <cell r="L1194" t="str">
            <v>NOD</v>
          </cell>
        </row>
        <row r="1195">
          <cell r="C1195" t="str">
            <v>ARGT6056A</v>
          </cell>
          <cell r="D1195" t="str">
            <v>CORE</v>
          </cell>
          <cell r="E1195" t="str">
            <v>CO25</v>
          </cell>
          <cell r="F1195">
            <v>2499</v>
          </cell>
          <cell r="G1195" t="str">
            <v>AR</v>
          </cell>
          <cell r="H1195" t="str">
            <v>ARRARMWTR</v>
          </cell>
          <cell r="I1195" t="str">
            <v>ARGT6056A007</v>
          </cell>
          <cell r="J1195" t="str">
            <v>40</v>
          </cell>
          <cell r="K1195" t="str">
            <v>TROUSER</v>
          </cell>
          <cell r="L1195" t="str">
            <v>NOD</v>
          </cell>
        </row>
        <row r="1196">
          <cell r="C1196" t="str">
            <v>ARGT6056A</v>
          </cell>
          <cell r="D1196" t="str">
            <v>CORE</v>
          </cell>
          <cell r="E1196" t="str">
            <v>CO25</v>
          </cell>
          <cell r="F1196">
            <v>2699</v>
          </cell>
          <cell r="G1196" t="str">
            <v>AR</v>
          </cell>
          <cell r="H1196" t="str">
            <v>ARRARMWTR</v>
          </cell>
          <cell r="I1196" t="str">
            <v>ARGT6056A008</v>
          </cell>
          <cell r="J1196" t="str">
            <v>42</v>
          </cell>
          <cell r="K1196" t="str">
            <v>TROUSER</v>
          </cell>
          <cell r="L1196" t="str">
            <v>NOD</v>
          </cell>
        </row>
        <row r="1197">
          <cell r="C1197" t="str">
            <v>ARGT6056A</v>
          </cell>
          <cell r="D1197" t="str">
            <v>CORE</v>
          </cell>
          <cell r="E1197" t="str">
            <v>CO25</v>
          </cell>
          <cell r="F1197">
            <v>2699</v>
          </cell>
          <cell r="G1197" t="str">
            <v>AR</v>
          </cell>
          <cell r="H1197" t="str">
            <v>ARRARMWTR</v>
          </cell>
          <cell r="I1197" t="str">
            <v>ARGT6056A009</v>
          </cell>
          <cell r="J1197" t="str">
            <v>44</v>
          </cell>
          <cell r="K1197" t="str">
            <v>TROUSER</v>
          </cell>
          <cell r="L1197" t="str">
            <v>NOD</v>
          </cell>
        </row>
        <row r="1198">
          <cell r="C1198" t="str">
            <v>ARGT6056A</v>
          </cell>
          <cell r="D1198" t="str">
            <v>CORE</v>
          </cell>
          <cell r="E1198" t="str">
            <v>CO25</v>
          </cell>
          <cell r="F1198">
            <v>2699</v>
          </cell>
          <cell r="G1198" t="str">
            <v>AR</v>
          </cell>
          <cell r="H1198" t="str">
            <v>ARRARMWTR</v>
          </cell>
          <cell r="I1198" t="str">
            <v>ARGT6056A010</v>
          </cell>
          <cell r="J1198" t="str">
            <v>46</v>
          </cell>
          <cell r="K1198" t="str">
            <v>TROUSER</v>
          </cell>
          <cell r="L1198" t="str">
            <v>NOD</v>
          </cell>
        </row>
        <row r="1199">
          <cell r="C1199" t="str">
            <v>ARGT6056A</v>
          </cell>
          <cell r="D1199" t="str">
            <v>CORE</v>
          </cell>
          <cell r="E1199" t="str">
            <v>CO25</v>
          </cell>
          <cell r="F1199">
            <v>2699</v>
          </cell>
          <cell r="G1199" t="str">
            <v>AR</v>
          </cell>
          <cell r="H1199" t="str">
            <v>ARRARMWTR</v>
          </cell>
          <cell r="I1199" t="str">
            <v>ARGT6056A011</v>
          </cell>
          <cell r="J1199" t="str">
            <v>48</v>
          </cell>
          <cell r="K1199" t="str">
            <v>TROUSER</v>
          </cell>
          <cell r="L1199" t="str">
            <v>NOD</v>
          </cell>
        </row>
        <row r="1200">
          <cell r="C1200" t="str">
            <v>ARGT6056A</v>
          </cell>
          <cell r="D1200" t="str">
            <v>CORE</v>
          </cell>
          <cell r="E1200" t="str">
            <v>CO25</v>
          </cell>
          <cell r="F1200">
            <v>2699</v>
          </cell>
          <cell r="G1200" t="str">
            <v>AR</v>
          </cell>
          <cell r="H1200" t="str">
            <v>ARRARMWTR</v>
          </cell>
          <cell r="I1200" t="str">
            <v>ARGT6056A012</v>
          </cell>
          <cell r="J1200" t="str">
            <v>50</v>
          </cell>
          <cell r="K1200" t="str">
            <v>TROUSER</v>
          </cell>
          <cell r="L1200" t="str">
            <v>NOD</v>
          </cell>
        </row>
        <row r="1201">
          <cell r="C1201" t="str">
            <v>ARGT6056AG</v>
          </cell>
          <cell r="D1201" t="str">
            <v>CORE</v>
          </cell>
          <cell r="E1201" t="str">
            <v>CO26</v>
          </cell>
          <cell r="F1201">
            <v>2599</v>
          </cell>
          <cell r="G1201" t="str">
            <v>AR</v>
          </cell>
          <cell r="H1201" t="str">
            <v>ARRARMWTR</v>
          </cell>
          <cell r="I1201" t="str">
            <v>ARGT6056AG001</v>
          </cell>
          <cell r="J1201" t="str">
            <v>28</v>
          </cell>
          <cell r="K1201" t="str">
            <v>TROUSER</v>
          </cell>
          <cell r="L1201" t="str">
            <v>NOD</v>
          </cell>
        </row>
        <row r="1202">
          <cell r="C1202" t="str">
            <v>ARGT6056AG</v>
          </cell>
          <cell r="D1202" t="str">
            <v>CORE</v>
          </cell>
          <cell r="E1202" t="str">
            <v>CO26</v>
          </cell>
          <cell r="F1202">
            <v>2599</v>
          </cell>
          <cell r="G1202" t="str">
            <v>AR</v>
          </cell>
          <cell r="H1202" t="str">
            <v>ARRARMWTR</v>
          </cell>
          <cell r="I1202" t="str">
            <v>ARGT6056AG002</v>
          </cell>
          <cell r="J1202" t="str">
            <v>30</v>
          </cell>
          <cell r="K1202" t="str">
            <v>TROUSER</v>
          </cell>
          <cell r="L1202" t="str">
            <v>NOD</v>
          </cell>
        </row>
        <row r="1203">
          <cell r="C1203" t="str">
            <v>ARGT6056AG</v>
          </cell>
          <cell r="D1203" t="str">
            <v>CORE</v>
          </cell>
          <cell r="E1203" t="str">
            <v>CO26</v>
          </cell>
          <cell r="F1203">
            <v>2599</v>
          </cell>
          <cell r="G1203" t="str">
            <v>AR</v>
          </cell>
          <cell r="H1203" t="str">
            <v>ARRARMWTR</v>
          </cell>
          <cell r="I1203" t="str">
            <v>ARGT6056AG003</v>
          </cell>
          <cell r="J1203" t="str">
            <v>32</v>
          </cell>
          <cell r="K1203" t="str">
            <v>TROUSER</v>
          </cell>
          <cell r="L1203" t="str">
            <v>NOD</v>
          </cell>
        </row>
        <row r="1204">
          <cell r="C1204" t="str">
            <v>ARGT6056AG</v>
          </cell>
          <cell r="D1204" t="str">
            <v>CORE</v>
          </cell>
          <cell r="E1204" t="str">
            <v>CO26</v>
          </cell>
          <cell r="F1204">
            <v>2599</v>
          </cell>
          <cell r="G1204" t="str">
            <v>AR</v>
          </cell>
          <cell r="H1204" t="str">
            <v>ARRARMWTR</v>
          </cell>
          <cell r="I1204" t="str">
            <v>ARGT6056AG004</v>
          </cell>
          <cell r="J1204" t="str">
            <v>34</v>
          </cell>
          <cell r="K1204" t="str">
            <v>TROUSER</v>
          </cell>
          <cell r="L1204" t="str">
            <v>NOD</v>
          </cell>
        </row>
        <row r="1205">
          <cell r="C1205" t="str">
            <v>ARGT6056AG</v>
          </cell>
          <cell r="D1205" t="str">
            <v>CORE</v>
          </cell>
          <cell r="E1205" t="str">
            <v>CO26</v>
          </cell>
          <cell r="F1205">
            <v>2599</v>
          </cell>
          <cell r="G1205" t="str">
            <v>AR</v>
          </cell>
          <cell r="H1205" t="str">
            <v>ARRARMWTR</v>
          </cell>
          <cell r="I1205" t="str">
            <v>ARGT6056AG005</v>
          </cell>
          <cell r="J1205" t="str">
            <v>36</v>
          </cell>
          <cell r="K1205" t="str">
            <v>TROUSER</v>
          </cell>
          <cell r="L1205" t="str">
            <v>NOD</v>
          </cell>
        </row>
        <row r="1206">
          <cell r="C1206" t="str">
            <v>ARGT6056AG</v>
          </cell>
          <cell r="D1206" t="str">
            <v>CORE</v>
          </cell>
          <cell r="E1206" t="str">
            <v>CO26</v>
          </cell>
          <cell r="F1206">
            <v>2599</v>
          </cell>
          <cell r="G1206" t="str">
            <v>AR</v>
          </cell>
          <cell r="H1206" t="str">
            <v>ARRARMWTR</v>
          </cell>
          <cell r="I1206" t="str">
            <v>ARGT6056AG006</v>
          </cell>
          <cell r="J1206" t="str">
            <v>38</v>
          </cell>
          <cell r="K1206" t="str">
            <v>TROUSER</v>
          </cell>
          <cell r="L1206" t="str">
            <v>NOD</v>
          </cell>
        </row>
        <row r="1207">
          <cell r="C1207" t="str">
            <v>ARGT6056AG</v>
          </cell>
          <cell r="D1207" t="str">
            <v>CORE</v>
          </cell>
          <cell r="E1207" t="str">
            <v>CO26</v>
          </cell>
          <cell r="F1207">
            <v>2599</v>
          </cell>
          <cell r="G1207" t="str">
            <v>AR</v>
          </cell>
          <cell r="H1207" t="str">
            <v>ARRARMWTR</v>
          </cell>
          <cell r="I1207" t="str">
            <v>ARGT6056AG007</v>
          </cell>
          <cell r="J1207" t="str">
            <v>40</v>
          </cell>
          <cell r="K1207" t="str">
            <v>TROUSER</v>
          </cell>
          <cell r="L1207" t="str">
            <v>NOD</v>
          </cell>
        </row>
        <row r="1208">
          <cell r="C1208" t="str">
            <v>ARGT6056AG</v>
          </cell>
          <cell r="D1208" t="str">
            <v>CORE</v>
          </cell>
          <cell r="E1208" t="str">
            <v>CO26</v>
          </cell>
          <cell r="F1208">
            <v>2599</v>
          </cell>
          <cell r="G1208" t="str">
            <v>AR</v>
          </cell>
          <cell r="H1208" t="str">
            <v>ARRARMWTR</v>
          </cell>
          <cell r="I1208" t="str">
            <v>ARGT6056AG008</v>
          </cell>
          <cell r="J1208" t="str">
            <v>42</v>
          </cell>
          <cell r="K1208" t="str">
            <v>TROUSER</v>
          </cell>
          <cell r="L1208" t="str">
            <v>NOD</v>
          </cell>
        </row>
        <row r="1209">
          <cell r="C1209" t="str">
            <v>ARGT6056AG</v>
          </cell>
          <cell r="D1209" t="str">
            <v>CORE</v>
          </cell>
          <cell r="E1209" t="str">
            <v>CO26</v>
          </cell>
          <cell r="F1209">
            <v>2599</v>
          </cell>
          <cell r="G1209" t="str">
            <v>AR</v>
          </cell>
          <cell r="H1209" t="str">
            <v>ARRARMWTR</v>
          </cell>
          <cell r="I1209" t="str">
            <v>ARGT6056AG009</v>
          </cell>
          <cell r="J1209" t="str">
            <v>44</v>
          </cell>
          <cell r="K1209" t="str">
            <v>TROUSER</v>
          </cell>
          <cell r="L1209" t="str">
            <v>NOD</v>
          </cell>
        </row>
        <row r="1210">
          <cell r="C1210" t="str">
            <v>ARGT6056AG</v>
          </cell>
          <cell r="D1210" t="str">
            <v>CORE</v>
          </cell>
          <cell r="E1210" t="str">
            <v>CO26</v>
          </cell>
          <cell r="F1210">
            <v>2599</v>
          </cell>
          <cell r="G1210" t="str">
            <v>AR</v>
          </cell>
          <cell r="H1210" t="str">
            <v>ARRARMWTR</v>
          </cell>
          <cell r="I1210" t="str">
            <v>ARGT6056AG010</v>
          </cell>
          <cell r="J1210" t="str">
            <v>46</v>
          </cell>
          <cell r="K1210" t="str">
            <v>TROUSER</v>
          </cell>
          <cell r="L1210" t="str">
            <v>NOD</v>
          </cell>
        </row>
        <row r="1211">
          <cell r="C1211" t="str">
            <v>ARGT6056AG</v>
          </cell>
          <cell r="D1211" t="str">
            <v>CORE</v>
          </cell>
          <cell r="E1211" t="str">
            <v>CO26</v>
          </cell>
          <cell r="F1211">
            <v>2599</v>
          </cell>
          <cell r="G1211" t="str">
            <v>AR</v>
          </cell>
          <cell r="H1211" t="str">
            <v>ARRARMWTR</v>
          </cell>
          <cell r="I1211" t="str">
            <v>ARGT6056AG011</v>
          </cell>
          <cell r="J1211" t="str">
            <v>48</v>
          </cell>
          <cell r="K1211" t="str">
            <v>TROUSER</v>
          </cell>
          <cell r="L1211" t="str">
            <v>NOD</v>
          </cell>
        </row>
        <row r="1212">
          <cell r="C1212" t="str">
            <v>ARGT6056AG</v>
          </cell>
          <cell r="D1212" t="str">
            <v>CORE</v>
          </cell>
          <cell r="E1212" t="str">
            <v>CO26</v>
          </cell>
          <cell r="F1212">
            <v>2599</v>
          </cell>
          <cell r="G1212" t="str">
            <v>AR</v>
          </cell>
          <cell r="H1212" t="str">
            <v>ARRARMWTR</v>
          </cell>
          <cell r="I1212" t="str">
            <v>ARGT6056AG012</v>
          </cell>
          <cell r="J1212" t="str">
            <v>50</v>
          </cell>
          <cell r="K1212" t="str">
            <v>TROUSER</v>
          </cell>
          <cell r="L1212" t="str">
            <v>NOD</v>
          </cell>
        </row>
        <row r="1213">
          <cell r="C1213" t="str">
            <v>ARGT6057B</v>
          </cell>
          <cell r="D1213" t="str">
            <v>CORE</v>
          </cell>
          <cell r="E1213" t="str">
            <v>CO26</v>
          </cell>
          <cell r="F1213">
            <v>2599</v>
          </cell>
          <cell r="G1213" t="str">
            <v>AR</v>
          </cell>
          <cell r="H1213" t="str">
            <v>ARRARMWTR</v>
          </cell>
          <cell r="I1213" t="str">
            <v>ARGT6057B001</v>
          </cell>
          <cell r="J1213" t="str">
            <v>28</v>
          </cell>
          <cell r="K1213" t="str">
            <v>TROUSER</v>
          </cell>
          <cell r="L1213" t="str">
            <v>NOD</v>
          </cell>
        </row>
        <row r="1214">
          <cell r="C1214" t="str">
            <v>ARGT6057B</v>
          </cell>
          <cell r="D1214" t="str">
            <v>CORE</v>
          </cell>
          <cell r="E1214" t="str">
            <v>CO26</v>
          </cell>
          <cell r="F1214">
            <v>2599</v>
          </cell>
          <cell r="G1214" t="str">
            <v>AR</v>
          </cell>
          <cell r="H1214" t="str">
            <v>ARRARMWTR</v>
          </cell>
          <cell r="I1214" t="str">
            <v>ARGT6057B002</v>
          </cell>
          <cell r="J1214" t="str">
            <v>30</v>
          </cell>
          <cell r="K1214" t="str">
            <v>TROUSER</v>
          </cell>
          <cell r="L1214" t="str">
            <v>NOD</v>
          </cell>
        </row>
        <row r="1215">
          <cell r="C1215" t="str">
            <v>ARGT6057B</v>
          </cell>
          <cell r="D1215" t="str">
            <v>CORE</v>
          </cell>
          <cell r="E1215" t="str">
            <v>CO26</v>
          </cell>
          <cell r="F1215">
            <v>2599</v>
          </cell>
          <cell r="G1215" t="str">
            <v>AR</v>
          </cell>
          <cell r="H1215" t="str">
            <v>ARRARMWTR</v>
          </cell>
          <cell r="I1215" t="str">
            <v>ARGT6057B003</v>
          </cell>
          <cell r="J1215" t="str">
            <v>32</v>
          </cell>
          <cell r="K1215" t="str">
            <v>TROUSER</v>
          </cell>
          <cell r="L1215" t="str">
            <v>NOD</v>
          </cell>
        </row>
        <row r="1216">
          <cell r="C1216" t="str">
            <v>ARGT6057B</v>
          </cell>
          <cell r="D1216" t="str">
            <v>CORE</v>
          </cell>
          <cell r="E1216" t="str">
            <v>CO26</v>
          </cell>
          <cell r="F1216">
            <v>2599</v>
          </cell>
          <cell r="G1216" t="str">
            <v>AR</v>
          </cell>
          <cell r="H1216" t="str">
            <v>ARRARMWTR</v>
          </cell>
          <cell r="I1216" t="str">
            <v>ARGT6057B004</v>
          </cell>
          <cell r="J1216" t="str">
            <v>34</v>
          </cell>
          <cell r="K1216" t="str">
            <v>TROUSER</v>
          </cell>
          <cell r="L1216" t="str">
            <v>NOD</v>
          </cell>
        </row>
        <row r="1217">
          <cell r="C1217" t="str">
            <v>ARGT6057B</v>
          </cell>
          <cell r="D1217" t="str">
            <v>CORE</v>
          </cell>
          <cell r="E1217" t="str">
            <v>CO26</v>
          </cell>
          <cell r="F1217">
            <v>2599</v>
          </cell>
          <cell r="G1217" t="str">
            <v>AR</v>
          </cell>
          <cell r="H1217" t="str">
            <v>ARRARMWTR</v>
          </cell>
          <cell r="I1217" t="str">
            <v>ARGT6057B005</v>
          </cell>
          <cell r="J1217" t="str">
            <v>36</v>
          </cell>
          <cell r="K1217" t="str">
            <v>TROUSER</v>
          </cell>
          <cell r="L1217" t="str">
            <v>NOD</v>
          </cell>
        </row>
        <row r="1218">
          <cell r="C1218" t="str">
            <v>ARGT6057B</v>
          </cell>
          <cell r="D1218" t="str">
            <v>CORE</v>
          </cell>
          <cell r="E1218" t="str">
            <v>CO26</v>
          </cell>
          <cell r="F1218">
            <v>2599</v>
          </cell>
          <cell r="G1218" t="str">
            <v>AR</v>
          </cell>
          <cell r="H1218" t="str">
            <v>ARRARMWTR</v>
          </cell>
          <cell r="I1218" t="str">
            <v>ARGT6057B006</v>
          </cell>
          <cell r="J1218" t="str">
            <v>38</v>
          </cell>
          <cell r="K1218" t="str">
            <v>TROUSER</v>
          </cell>
          <cell r="L1218" t="str">
            <v>NOD</v>
          </cell>
        </row>
        <row r="1219">
          <cell r="C1219" t="str">
            <v>ARGT6057B</v>
          </cell>
          <cell r="D1219" t="str">
            <v>CORE</v>
          </cell>
          <cell r="E1219" t="str">
            <v>CO26</v>
          </cell>
          <cell r="F1219">
            <v>2599</v>
          </cell>
          <cell r="G1219" t="str">
            <v>AR</v>
          </cell>
          <cell r="H1219" t="str">
            <v>ARRARMWTR</v>
          </cell>
          <cell r="I1219" t="str">
            <v>ARGT6057B007</v>
          </cell>
          <cell r="J1219" t="str">
            <v>40</v>
          </cell>
          <cell r="K1219" t="str">
            <v>TROUSER</v>
          </cell>
          <cell r="L1219" t="str">
            <v>NOD</v>
          </cell>
        </row>
        <row r="1220">
          <cell r="C1220" t="str">
            <v>ARGT6057B</v>
          </cell>
          <cell r="D1220" t="str">
            <v>CORE</v>
          </cell>
          <cell r="E1220" t="str">
            <v>CO26</v>
          </cell>
          <cell r="F1220">
            <v>2799</v>
          </cell>
          <cell r="G1220" t="str">
            <v>AR</v>
          </cell>
          <cell r="H1220" t="str">
            <v>ARRARMWTR</v>
          </cell>
          <cell r="I1220" t="str">
            <v>ARGT6057B008</v>
          </cell>
          <cell r="J1220" t="str">
            <v>42</v>
          </cell>
          <cell r="K1220" t="str">
            <v>TROUSER</v>
          </cell>
          <cell r="L1220" t="str">
            <v>NOD</v>
          </cell>
        </row>
        <row r="1221">
          <cell r="C1221" t="str">
            <v>ARGT6057B</v>
          </cell>
          <cell r="D1221" t="str">
            <v>CORE</v>
          </cell>
          <cell r="E1221" t="str">
            <v>CO26</v>
          </cell>
          <cell r="F1221">
            <v>2799</v>
          </cell>
          <cell r="G1221" t="str">
            <v>AR</v>
          </cell>
          <cell r="H1221" t="str">
            <v>ARRARMWTR</v>
          </cell>
          <cell r="I1221" t="str">
            <v>ARGT6057B009</v>
          </cell>
          <cell r="J1221" t="str">
            <v>44</v>
          </cell>
          <cell r="K1221" t="str">
            <v>TROUSER</v>
          </cell>
          <cell r="L1221" t="str">
            <v>NOD</v>
          </cell>
        </row>
        <row r="1222">
          <cell r="C1222" t="str">
            <v>ARGT6057B</v>
          </cell>
          <cell r="D1222" t="str">
            <v>CORE</v>
          </cell>
          <cell r="E1222" t="str">
            <v>CO26</v>
          </cell>
          <cell r="F1222">
            <v>2799</v>
          </cell>
          <cell r="G1222" t="str">
            <v>AR</v>
          </cell>
          <cell r="H1222" t="str">
            <v>ARRARMWTR</v>
          </cell>
          <cell r="I1222" t="str">
            <v>ARGT6057B010</v>
          </cell>
          <cell r="J1222" t="str">
            <v>46</v>
          </cell>
          <cell r="K1222" t="str">
            <v>TROUSER</v>
          </cell>
          <cell r="L1222" t="str">
            <v>NOD</v>
          </cell>
        </row>
        <row r="1223">
          <cell r="C1223" t="str">
            <v>ARGT6057B</v>
          </cell>
          <cell r="D1223" t="str">
            <v>CORE</v>
          </cell>
          <cell r="E1223" t="str">
            <v>CO26</v>
          </cell>
          <cell r="F1223">
            <v>2799</v>
          </cell>
          <cell r="G1223" t="str">
            <v>AR</v>
          </cell>
          <cell r="H1223" t="str">
            <v>ARRARMWTR</v>
          </cell>
          <cell r="I1223" t="str">
            <v>ARGT6057B011</v>
          </cell>
          <cell r="J1223" t="str">
            <v>48</v>
          </cell>
          <cell r="K1223" t="str">
            <v>TROUSER</v>
          </cell>
          <cell r="L1223" t="str">
            <v>NOD</v>
          </cell>
        </row>
        <row r="1224">
          <cell r="C1224" t="str">
            <v>ARGT6057B</v>
          </cell>
          <cell r="D1224" t="str">
            <v>CORE</v>
          </cell>
          <cell r="E1224" t="str">
            <v>CO26</v>
          </cell>
          <cell r="F1224">
            <v>2799</v>
          </cell>
          <cell r="G1224" t="str">
            <v>AR</v>
          </cell>
          <cell r="H1224" t="str">
            <v>ARRARMWTR</v>
          </cell>
          <cell r="I1224" t="str">
            <v>ARGT6057B012</v>
          </cell>
          <cell r="J1224" t="str">
            <v>50</v>
          </cell>
          <cell r="K1224" t="str">
            <v>TROUSER</v>
          </cell>
          <cell r="L1224" t="str">
            <v>NOD</v>
          </cell>
        </row>
        <row r="1225">
          <cell r="C1225" t="str">
            <v>ARGT6058B</v>
          </cell>
          <cell r="D1225" t="str">
            <v>CORE</v>
          </cell>
          <cell r="E1225" t="str">
            <v>CO26</v>
          </cell>
          <cell r="F1225">
            <v>2599</v>
          </cell>
          <cell r="G1225" t="str">
            <v>AR</v>
          </cell>
          <cell r="H1225" t="str">
            <v>ARRARMWTR</v>
          </cell>
          <cell r="I1225" t="str">
            <v>ARGT6058B001</v>
          </cell>
          <cell r="J1225" t="str">
            <v>28</v>
          </cell>
          <cell r="K1225" t="str">
            <v>TROUSER</v>
          </cell>
          <cell r="L1225" t="str">
            <v>NOD</v>
          </cell>
        </row>
        <row r="1226">
          <cell r="C1226" t="str">
            <v>ARGT6058B</v>
          </cell>
          <cell r="D1226" t="str">
            <v>CORE</v>
          </cell>
          <cell r="E1226" t="str">
            <v>CO26</v>
          </cell>
          <cell r="F1226">
            <v>2599</v>
          </cell>
          <cell r="G1226" t="str">
            <v>AR</v>
          </cell>
          <cell r="H1226" t="str">
            <v>ARRARMWTR</v>
          </cell>
          <cell r="I1226" t="str">
            <v>ARGT6058B002</v>
          </cell>
          <cell r="J1226" t="str">
            <v>30</v>
          </cell>
          <cell r="K1226" t="str">
            <v>TROUSER</v>
          </cell>
          <cell r="L1226" t="str">
            <v>NOD</v>
          </cell>
        </row>
        <row r="1227">
          <cell r="C1227" t="str">
            <v>ARGT6058B</v>
          </cell>
          <cell r="D1227" t="str">
            <v>CORE</v>
          </cell>
          <cell r="E1227" t="str">
            <v>CO26</v>
          </cell>
          <cell r="F1227">
            <v>2599</v>
          </cell>
          <cell r="G1227" t="str">
            <v>AR</v>
          </cell>
          <cell r="H1227" t="str">
            <v>ARRARMWTR</v>
          </cell>
          <cell r="I1227" t="str">
            <v>ARGT6058B003</v>
          </cell>
          <cell r="J1227" t="str">
            <v>32</v>
          </cell>
          <cell r="K1227" t="str">
            <v>TROUSER</v>
          </cell>
          <cell r="L1227" t="str">
            <v>NOD</v>
          </cell>
        </row>
        <row r="1228">
          <cell r="C1228" t="str">
            <v>ARGT6058B</v>
          </cell>
          <cell r="D1228" t="str">
            <v>CORE</v>
          </cell>
          <cell r="E1228" t="str">
            <v>CO26</v>
          </cell>
          <cell r="F1228">
            <v>2599</v>
          </cell>
          <cell r="G1228" t="str">
            <v>AR</v>
          </cell>
          <cell r="H1228" t="str">
            <v>ARRARMWTR</v>
          </cell>
          <cell r="I1228" t="str">
            <v>ARGT6058B004</v>
          </cell>
          <cell r="J1228" t="str">
            <v>34</v>
          </cell>
          <cell r="K1228" t="str">
            <v>TROUSER</v>
          </cell>
          <cell r="L1228" t="str">
            <v>NOD</v>
          </cell>
        </row>
        <row r="1229">
          <cell r="C1229" t="str">
            <v>ARGT6058B</v>
          </cell>
          <cell r="D1229" t="str">
            <v>CORE</v>
          </cell>
          <cell r="E1229" t="str">
            <v>CO26</v>
          </cell>
          <cell r="F1229">
            <v>2599</v>
          </cell>
          <cell r="G1229" t="str">
            <v>AR</v>
          </cell>
          <cell r="H1229" t="str">
            <v>ARRARMWTR</v>
          </cell>
          <cell r="I1229" t="str">
            <v>ARGT6058B005</v>
          </cell>
          <cell r="J1229" t="str">
            <v>36</v>
          </cell>
          <cell r="K1229" t="str">
            <v>TROUSER</v>
          </cell>
          <cell r="L1229" t="str">
            <v>NOD</v>
          </cell>
        </row>
        <row r="1230">
          <cell r="C1230" t="str">
            <v>ARGT6058B</v>
          </cell>
          <cell r="D1230" t="str">
            <v>CORE</v>
          </cell>
          <cell r="E1230" t="str">
            <v>CO26</v>
          </cell>
          <cell r="F1230">
            <v>2599</v>
          </cell>
          <cell r="G1230" t="str">
            <v>AR</v>
          </cell>
          <cell r="H1230" t="str">
            <v>ARRARMWTR</v>
          </cell>
          <cell r="I1230" t="str">
            <v>ARGT6058B006</v>
          </cell>
          <cell r="J1230" t="str">
            <v>38</v>
          </cell>
          <cell r="K1230" t="str">
            <v>TROUSER</v>
          </cell>
          <cell r="L1230" t="str">
            <v>NOD</v>
          </cell>
        </row>
        <row r="1231">
          <cell r="C1231" t="str">
            <v>ARGT6058B</v>
          </cell>
          <cell r="D1231" t="str">
            <v>CORE</v>
          </cell>
          <cell r="E1231" t="str">
            <v>CO26</v>
          </cell>
          <cell r="F1231">
            <v>2599</v>
          </cell>
          <cell r="G1231" t="str">
            <v>AR</v>
          </cell>
          <cell r="H1231" t="str">
            <v>ARRARMWTR</v>
          </cell>
          <cell r="I1231" t="str">
            <v>ARGT6058B007</v>
          </cell>
          <cell r="J1231" t="str">
            <v>40</v>
          </cell>
          <cell r="K1231" t="str">
            <v>TROUSER</v>
          </cell>
          <cell r="L1231" t="str">
            <v>NOD</v>
          </cell>
        </row>
        <row r="1232">
          <cell r="C1232" t="str">
            <v>ARGT6058B</v>
          </cell>
          <cell r="D1232" t="str">
            <v>CORE</v>
          </cell>
          <cell r="E1232" t="str">
            <v>CO26</v>
          </cell>
          <cell r="F1232">
            <v>2799</v>
          </cell>
          <cell r="G1232" t="str">
            <v>AR</v>
          </cell>
          <cell r="H1232" t="str">
            <v>ARRARMWTR</v>
          </cell>
          <cell r="I1232" t="str">
            <v>ARGT6058B008</v>
          </cell>
          <cell r="J1232" t="str">
            <v>42</v>
          </cell>
          <cell r="K1232" t="str">
            <v>TROUSER</v>
          </cell>
          <cell r="L1232" t="str">
            <v>NOD</v>
          </cell>
        </row>
        <row r="1233">
          <cell r="C1233" t="str">
            <v>ARGT6058B</v>
          </cell>
          <cell r="D1233" t="str">
            <v>CORE</v>
          </cell>
          <cell r="E1233" t="str">
            <v>CO26</v>
          </cell>
          <cell r="F1233">
            <v>2799</v>
          </cell>
          <cell r="G1233" t="str">
            <v>AR</v>
          </cell>
          <cell r="H1233" t="str">
            <v>ARRARMWTR</v>
          </cell>
          <cell r="I1233" t="str">
            <v>ARGT6058B009</v>
          </cell>
          <cell r="J1233" t="str">
            <v>44</v>
          </cell>
          <cell r="K1233" t="str">
            <v>TROUSER</v>
          </cell>
          <cell r="L1233" t="str">
            <v>NOD</v>
          </cell>
        </row>
        <row r="1234">
          <cell r="C1234" t="str">
            <v>ARGT6058B</v>
          </cell>
          <cell r="D1234" t="str">
            <v>CORE</v>
          </cell>
          <cell r="E1234" t="str">
            <v>CO26</v>
          </cell>
          <cell r="F1234">
            <v>2799</v>
          </cell>
          <cell r="G1234" t="str">
            <v>AR</v>
          </cell>
          <cell r="H1234" t="str">
            <v>ARRARMWTR</v>
          </cell>
          <cell r="I1234" t="str">
            <v>ARGT6058B010</v>
          </cell>
          <cell r="J1234" t="str">
            <v>46</v>
          </cell>
          <cell r="K1234" t="str">
            <v>TROUSER</v>
          </cell>
          <cell r="L1234" t="str">
            <v>NOD</v>
          </cell>
        </row>
        <row r="1235">
          <cell r="C1235" t="str">
            <v>ARGT6058B</v>
          </cell>
          <cell r="D1235" t="str">
            <v>CORE</v>
          </cell>
          <cell r="E1235" t="str">
            <v>CO26</v>
          </cell>
          <cell r="F1235">
            <v>2799</v>
          </cell>
          <cell r="G1235" t="str">
            <v>AR</v>
          </cell>
          <cell r="H1235" t="str">
            <v>ARRARMWTR</v>
          </cell>
          <cell r="I1235" t="str">
            <v>ARGT6058B011</v>
          </cell>
          <cell r="J1235" t="str">
            <v>48</v>
          </cell>
          <cell r="K1235" t="str">
            <v>TROUSER</v>
          </cell>
          <cell r="L1235" t="str">
            <v>NOD</v>
          </cell>
        </row>
        <row r="1236">
          <cell r="C1236" t="str">
            <v>ARGT6058B</v>
          </cell>
          <cell r="D1236" t="str">
            <v>CORE</v>
          </cell>
          <cell r="E1236" t="str">
            <v>CO26</v>
          </cell>
          <cell r="F1236">
            <v>2799</v>
          </cell>
          <cell r="G1236" t="str">
            <v>AR</v>
          </cell>
          <cell r="H1236" t="str">
            <v>ARRARMWTR</v>
          </cell>
          <cell r="I1236" t="str">
            <v>ARGT6058B012</v>
          </cell>
          <cell r="J1236" t="str">
            <v>50</v>
          </cell>
          <cell r="K1236" t="str">
            <v>TROUSER</v>
          </cell>
          <cell r="L1236" t="str">
            <v>NOD</v>
          </cell>
        </row>
        <row r="1237">
          <cell r="C1237" t="str">
            <v>ARGT6084G</v>
          </cell>
          <cell r="D1237" t="str">
            <v>CORE</v>
          </cell>
          <cell r="E1237" t="str">
            <v>CO26</v>
          </cell>
          <cell r="F1237">
            <v>2599</v>
          </cell>
          <cell r="G1237" t="str">
            <v>AS</v>
          </cell>
          <cell r="H1237" t="str">
            <v>ARRASMWTR</v>
          </cell>
          <cell r="I1237" t="str">
            <v>ARGT6084G001</v>
          </cell>
          <cell r="J1237" t="str">
            <v>28</v>
          </cell>
          <cell r="K1237" t="str">
            <v>TROUSER</v>
          </cell>
          <cell r="L1237" t="str">
            <v>NOD</v>
          </cell>
        </row>
        <row r="1238">
          <cell r="C1238" t="str">
            <v>ARGT6084G</v>
          </cell>
          <cell r="D1238" t="str">
            <v>CORE</v>
          </cell>
          <cell r="E1238" t="str">
            <v>CO26</v>
          </cell>
          <cell r="F1238">
            <v>2599</v>
          </cell>
          <cell r="G1238" t="str">
            <v>AS</v>
          </cell>
          <cell r="H1238" t="str">
            <v>ARRASMWTR</v>
          </cell>
          <cell r="I1238" t="str">
            <v>ARGT6084G002</v>
          </cell>
          <cell r="J1238" t="str">
            <v>30</v>
          </cell>
          <cell r="K1238" t="str">
            <v>TROUSER</v>
          </cell>
          <cell r="L1238" t="str">
            <v>NOD</v>
          </cell>
        </row>
        <row r="1239">
          <cell r="C1239" t="str">
            <v>ARGT6084G</v>
          </cell>
          <cell r="D1239" t="str">
            <v>CORE</v>
          </cell>
          <cell r="E1239" t="str">
            <v>CO26</v>
          </cell>
          <cell r="F1239">
            <v>2599</v>
          </cell>
          <cell r="G1239" t="str">
            <v>AS</v>
          </cell>
          <cell r="H1239" t="str">
            <v>ARRASMWTR</v>
          </cell>
          <cell r="I1239" t="str">
            <v>ARGT6084G003</v>
          </cell>
          <cell r="J1239" t="str">
            <v>32</v>
          </cell>
          <cell r="K1239" t="str">
            <v>TROUSER</v>
          </cell>
          <cell r="L1239" t="str">
            <v>NOD</v>
          </cell>
        </row>
        <row r="1240">
          <cell r="C1240" t="str">
            <v>ARGT6084G</v>
          </cell>
          <cell r="D1240" t="str">
            <v>CORE</v>
          </cell>
          <cell r="E1240" t="str">
            <v>CO26</v>
          </cell>
          <cell r="F1240">
            <v>2599</v>
          </cell>
          <cell r="G1240" t="str">
            <v>AS</v>
          </cell>
          <cell r="H1240" t="str">
            <v>ARRASMWTR</v>
          </cell>
          <cell r="I1240" t="str">
            <v>ARGT6084G004</v>
          </cell>
          <cell r="J1240" t="str">
            <v>34</v>
          </cell>
          <cell r="K1240" t="str">
            <v>TROUSER</v>
          </cell>
          <cell r="L1240" t="str">
            <v>NOD</v>
          </cell>
        </row>
        <row r="1241">
          <cell r="C1241" t="str">
            <v>ARGT6084G</v>
          </cell>
          <cell r="D1241" t="str">
            <v>CORE</v>
          </cell>
          <cell r="E1241" t="str">
            <v>CO26</v>
          </cell>
          <cell r="F1241">
            <v>2599</v>
          </cell>
          <cell r="G1241" t="str">
            <v>AS</v>
          </cell>
          <cell r="H1241" t="str">
            <v>ARRASMWTR</v>
          </cell>
          <cell r="I1241" t="str">
            <v>ARGT6084G005</v>
          </cell>
          <cell r="J1241" t="str">
            <v>36</v>
          </cell>
          <cell r="K1241" t="str">
            <v>TROUSER</v>
          </cell>
          <cell r="L1241" t="str">
            <v>NOD</v>
          </cell>
        </row>
        <row r="1242">
          <cell r="C1242" t="str">
            <v>ARGT6084G</v>
          </cell>
          <cell r="D1242" t="str">
            <v>CORE</v>
          </cell>
          <cell r="E1242" t="str">
            <v>CO26</v>
          </cell>
          <cell r="F1242">
            <v>2599</v>
          </cell>
          <cell r="G1242" t="str">
            <v>AS</v>
          </cell>
          <cell r="H1242" t="str">
            <v>ARRASMWTR</v>
          </cell>
          <cell r="I1242" t="str">
            <v>ARGT6084G006</v>
          </cell>
          <cell r="J1242" t="str">
            <v>38</v>
          </cell>
          <cell r="K1242" t="str">
            <v>TROUSER</v>
          </cell>
          <cell r="L1242" t="str">
            <v>NOD</v>
          </cell>
        </row>
        <row r="1243">
          <cell r="C1243" t="str">
            <v>ARGT6084G</v>
          </cell>
          <cell r="D1243" t="str">
            <v>CORE</v>
          </cell>
          <cell r="E1243" t="str">
            <v>CO26</v>
          </cell>
          <cell r="F1243">
            <v>2599</v>
          </cell>
          <cell r="G1243" t="str">
            <v>AS</v>
          </cell>
          <cell r="H1243" t="str">
            <v>ARRASMWTR</v>
          </cell>
          <cell r="I1243" t="str">
            <v>ARGT6084G007</v>
          </cell>
          <cell r="J1243" t="str">
            <v>40</v>
          </cell>
          <cell r="K1243" t="str">
            <v>TROUSER</v>
          </cell>
          <cell r="L1243" t="str">
            <v>NOD</v>
          </cell>
        </row>
        <row r="1244">
          <cell r="C1244" t="str">
            <v>ARGT6084G</v>
          </cell>
          <cell r="D1244" t="str">
            <v>CORE</v>
          </cell>
          <cell r="E1244" t="str">
            <v>CO26</v>
          </cell>
          <cell r="F1244">
            <v>2599</v>
          </cell>
          <cell r="G1244" t="str">
            <v>AS</v>
          </cell>
          <cell r="H1244" t="str">
            <v>ARRASMWTR</v>
          </cell>
          <cell r="I1244" t="str">
            <v>ARGT6084G008</v>
          </cell>
          <cell r="J1244" t="str">
            <v>42</v>
          </cell>
          <cell r="K1244" t="str">
            <v>TROUSER</v>
          </cell>
          <cell r="L1244" t="str">
            <v>NOD</v>
          </cell>
        </row>
        <row r="1245">
          <cell r="C1245" t="str">
            <v>ARGT6084G</v>
          </cell>
          <cell r="D1245" t="str">
            <v>CORE</v>
          </cell>
          <cell r="E1245" t="str">
            <v>CO26</v>
          </cell>
          <cell r="F1245">
            <v>2599</v>
          </cell>
          <cell r="G1245" t="str">
            <v>AS</v>
          </cell>
          <cell r="H1245" t="str">
            <v>ARRASMWTR</v>
          </cell>
          <cell r="I1245" t="str">
            <v>ARGT6084G009</v>
          </cell>
          <cell r="J1245" t="str">
            <v>44</v>
          </cell>
          <cell r="K1245" t="str">
            <v>TROUSER</v>
          </cell>
          <cell r="L1245" t="str">
            <v>NOD</v>
          </cell>
        </row>
        <row r="1246">
          <cell r="C1246" t="str">
            <v>ARGT6084G</v>
          </cell>
          <cell r="D1246" t="str">
            <v>CORE</v>
          </cell>
          <cell r="E1246" t="str">
            <v>CO26</v>
          </cell>
          <cell r="F1246">
            <v>2599</v>
          </cell>
          <cell r="G1246" t="str">
            <v>AS</v>
          </cell>
          <cell r="H1246" t="str">
            <v>ARRASMWTR</v>
          </cell>
          <cell r="I1246" t="str">
            <v>ARGT6084G010</v>
          </cell>
          <cell r="J1246" t="str">
            <v>46</v>
          </cell>
          <cell r="K1246" t="str">
            <v>TROUSER</v>
          </cell>
          <cell r="L1246" t="str">
            <v>NOD</v>
          </cell>
        </row>
        <row r="1247">
          <cell r="C1247" t="str">
            <v>ARGT6084G</v>
          </cell>
          <cell r="D1247" t="str">
            <v>CORE</v>
          </cell>
          <cell r="E1247" t="str">
            <v>CO26</v>
          </cell>
          <cell r="F1247">
            <v>2599</v>
          </cell>
          <cell r="G1247" t="str">
            <v>AS</v>
          </cell>
          <cell r="H1247" t="str">
            <v>ARRASMWTR</v>
          </cell>
          <cell r="I1247" t="str">
            <v>ARGT6084G011</v>
          </cell>
          <cell r="J1247" t="str">
            <v>48</v>
          </cell>
          <cell r="K1247" t="str">
            <v>TROUSER</v>
          </cell>
          <cell r="L1247" t="str">
            <v>NOD</v>
          </cell>
        </row>
        <row r="1248">
          <cell r="C1248" t="str">
            <v>ARGT6084G</v>
          </cell>
          <cell r="D1248" t="str">
            <v>CORE</v>
          </cell>
          <cell r="E1248" t="str">
            <v>CO26</v>
          </cell>
          <cell r="F1248">
            <v>2599</v>
          </cell>
          <cell r="G1248" t="str">
            <v>AS</v>
          </cell>
          <cell r="H1248" t="str">
            <v>ARRASMWTR</v>
          </cell>
          <cell r="I1248" t="str">
            <v>ARGT6084G012</v>
          </cell>
          <cell r="J1248" t="str">
            <v>50</v>
          </cell>
          <cell r="K1248" t="str">
            <v>TROUSER</v>
          </cell>
          <cell r="L1248" t="str">
            <v>NOD</v>
          </cell>
        </row>
        <row r="1249">
          <cell r="C1249" t="str">
            <v>ARGT6086G</v>
          </cell>
          <cell r="D1249" t="str">
            <v>CORE</v>
          </cell>
          <cell r="E1249" t="str">
            <v>CO26</v>
          </cell>
          <cell r="F1249">
            <v>2599</v>
          </cell>
          <cell r="G1249" t="str">
            <v>AS</v>
          </cell>
          <cell r="H1249" t="str">
            <v>ARRASMWTR</v>
          </cell>
          <cell r="I1249" t="str">
            <v>ARGT6086G001</v>
          </cell>
          <cell r="J1249" t="str">
            <v>28</v>
          </cell>
          <cell r="K1249" t="str">
            <v>TROUSER</v>
          </cell>
          <cell r="L1249" t="str">
            <v>NOD</v>
          </cell>
        </row>
        <row r="1250">
          <cell r="C1250" t="str">
            <v>ARGT6086G</v>
          </cell>
          <cell r="D1250" t="str">
            <v>CORE</v>
          </cell>
          <cell r="E1250" t="str">
            <v>CO26</v>
          </cell>
          <cell r="F1250">
            <v>2599</v>
          </cell>
          <cell r="G1250" t="str">
            <v>AS</v>
          </cell>
          <cell r="H1250" t="str">
            <v>ARRASMWTR</v>
          </cell>
          <cell r="I1250" t="str">
            <v>ARGT6086G002</v>
          </cell>
          <cell r="J1250" t="str">
            <v>30</v>
          </cell>
          <cell r="K1250" t="str">
            <v>TROUSER</v>
          </cell>
          <cell r="L1250" t="str">
            <v>NOD</v>
          </cell>
        </row>
        <row r="1251">
          <cell r="C1251" t="str">
            <v>ARGT6086G</v>
          </cell>
          <cell r="D1251" t="str">
            <v>CORE</v>
          </cell>
          <cell r="E1251" t="str">
            <v>CO26</v>
          </cell>
          <cell r="F1251">
            <v>2599</v>
          </cell>
          <cell r="G1251" t="str">
            <v>AS</v>
          </cell>
          <cell r="H1251" t="str">
            <v>ARRASMWTR</v>
          </cell>
          <cell r="I1251" t="str">
            <v>ARGT6086G003</v>
          </cell>
          <cell r="J1251" t="str">
            <v>32</v>
          </cell>
          <cell r="K1251" t="str">
            <v>TROUSER</v>
          </cell>
          <cell r="L1251" t="str">
            <v>NOD</v>
          </cell>
        </row>
        <row r="1252">
          <cell r="C1252" t="str">
            <v>ARGT6086G</v>
          </cell>
          <cell r="D1252" t="str">
            <v>CORE</v>
          </cell>
          <cell r="E1252" t="str">
            <v>CO26</v>
          </cell>
          <cell r="F1252">
            <v>2599</v>
          </cell>
          <cell r="G1252" t="str">
            <v>AS</v>
          </cell>
          <cell r="H1252" t="str">
            <v>ARRASMWTR</v>
          </cell>
          <cell r="I1252" t="str">
            <v>ARGT6086G004</v>
          </cell>
          <cell r="J1252" t="str">
            <v>34</v>
          </cell>
          <cell r="K1252" t="str">
            <v>TROUSER</v>
          </cell>
          <cell r="L1252" t="str">
            <v>NOD</v>
          </cell>
        </row>
        <row r="1253">
          <cell r="C1253" t="str">
            <v>ARGT6086G</v>
          </cell>
          <cell r="D1253" t="str">
            <v>CORE</v>
          </cell>
          <cell r="E1253" t="str">
            <v>CO26</v>
          </cell>
          <cell r="F1253">
            <v>2599</v>
          </cell>
          <cell r="G1253" t="str">
            <v>AS</v>
          </cell>
          <cell r="H1253" t="str">
            <v>ARRASMWTR</v>
          </cell>
          <cell r="I1253" t="str">
            <v>ARGT6086G005</v>
          </cell>
          <cell r="J1253" t="str">
            <v>36</v>
          </cell>
          <cell r="K1253" t="str">
            <v>TROUSER</v>
          </cell>
          <cell r="L1253" t="str">
            <v>NOD</v>
          </cell>
        </row>
        <row r="1254">
          <cell r="C1254" t="str">
            <v>ARGT6086G</v>
          </cell>
          <cell r="D1254" t="str">
            <v>CORE</v>
          </cell>
          <cell r="E1254" t="str">
            <v>CO26</v>
          </cell>
          <cell r="F1254">
            <v>2599</v>
          </cell>
          <cell r="G1254" t="str">
            <v>AS</v>
          </cell>
          <cell r="H1254" t="str">
            <v>ARRASMWTR</v>
          </cell>
          <cell r="I1254" t="str">
            <v>ARGT6086G006</v>
          </cell>
          <cell r="J1254" t="str">
            <v>38</v>
          </cell>
          <cell r="K1254" t="str">
            <v>TROUSER</v>
          </cell>
          <cell r="L1254" t="str">
            <v>NOD</v>
          </cell>
        </row>
        <row r="1255">
          <cell r="C1255" t="str">
            <v>ARGT6086G</v>
          </cell>
          <cell r="D1255" t="str">
            <v>CORE</v>
          </cell>
          <cell r="E1255" t="str">
            <v>CO26</v>
          </cell>
          <cell r="F1255">
            <v>2599</v>
          </cell>
          <cell r="G1255" t="str">
            <v>AS</v>
          </cell>
          <cell r="H1255" t="str">
            <v>ARRASMWTR</v>
          </cell>
          <cell r="I1255" t="str">
            <v>ARGT6086G007</v>
          </cell>
          <cell r="J1255" t="str">
            <v>40</v>
          </cell>
          <cell r="K1255" t="str">
            <v>TROUSER</v>
          </cell>
          <cell r="L1255" t="str">
            <v>NOD</v>
          </cell>
        </row>
        <row r="1256">
          <cell r="C1256" t="str">
            <v>ARGT6086G</v>
          </cell>
          <cell r="D1256" t="str">
            <v>CORE</v>
          </cell>
          <cell r="E1256" t="str">
            <v>CO26</v>
          </cell>
          <cell r="F1256">
            <v>2599</v>
          </cell>
          <cell r="G1256" t="str">
            <v>AS</v>
          </cell>
          <cell r="H1256" t="str">
            <v>ARRASMWTR</v>
          </cell>
          <cell r="I1256" t="str">
            <v>ARGT6086G008</v>
          </cell>
          <cell r="J1256" t="str">
            <v>42</v>
          </cell>
          <cell r="K1256" t="str">
            <v>TROUSER</v>
          </cell>
          <cell r="L1256" t="str">
            <v>NOD</v>
          </cell>
        </row>
        <row r="1257">
          <cell r="C1257" t="str">
            <v>ARGT6086G</v>
          </cell>
          <cell r="D1257" t="str">
            <v>CORE</v>
          </cell>
          <cell r="E1257" t="str">
            <v>CO26</v>
          </cell>
          <cell r="F1257">
            <v>2599</v>
          </cell>
          <cell r="G1257" t="str">
            <v>AS</v>
          </cell>
          <cell r="H1257" t="str">
            <v>ARRASMWTR</v>
          </cell>
          <cell r="I1257" t="str">
            <v>ARGT6086G009</v>
          </cell>
          <cell r="J1257" t="str">
            <v>44</v>
          </cell>
          <cell r="K1257" t="str">
            <v>TROUSER</v>
          </cell>
          <cell r="L1257" t="str">
            <v>NOD</v>
          </cell>
        </row>
        <row r="1258">
          <cell r="C1258" t="str">
            <v>ARGT6086G</v>
          </cell>
          <cell r="D1258" t="str">
            <v>CORE</v>
          </cell>
          <cell r="E1258" t="str">
            <v>CO26</v>
          </cell>
          <cell r="F1258">
            <v>2599</v>
          </cell>
          <cell r="G1258" t="str">
            <v>AS</v>
          </cell>
          <cell r="H1258" t="str">
            <v>ARRASMWTR</v>
          </cell>
          <cell r="I1258" t="str">
            <v>ARGT6086G010</v>
          </cell>
          <cell r="J1258" t="str">
            <v>46</v>
          </cell>
          <cell r="K1258" t="str">
            <v>TROUSER</v>
          </cell>
          <cell r="L1258" t="str">
            <v>NOD</v>
          </cell>
        </row>
        <row r="1259">
          <cell r="C1259" t="str">
            <v>ARGT6086G</v>
          </cell>
          <cell r="D1259" t="str">
            <v>CORE</v>
          </cell>
          <cell r="E1259" t="str">
            <v>CO26</v>
          </cell>
          <cell r="F1259">
            <v>2599</v>
          </cell>
          <cell r="G1259" t="str">
            <v>AS</v>
          </cell>
          <cell r="H1259" t="str">
            <v>ARRASMWTR</v>
          </cell>
          <cell r="I1259" t="str">
            <v>ARGT6086G011</v>
          </cell>
          <cell r="J1259" t="str">
            <v>48</v>
          </cell>
          <cell r="K1259" t="str">
            <v>TROUSER</v>
          </cell>
          <cell r="L1259" t="str">
            <v>NOD</v>
          </cell>
        </row>
        <row r="1260">
          <cell r="C1260" t="str">
            <v>ARGT6086G</v>
          </cell>
          <cell r="D1260" t="str">
            <v>CORE</v>
          </cell>
          <cell r="E1260" t="str">
            <v>CO26</v>
          </cell>
          <cell r="F1260">
            <v>2599</v>
          </cell>
          <cell r="G1260" t="str">
            <v>AS</v>
          </cell>
          <cell r="H1260" t="str">
            <v>ARRASMWTR</v>
          </cell>
          <cell r="I1260" t="str">
            <v>ARGT6086G012</v>
          </cell>
          <cell r="J1260" t="str">
            <v>50</v>
          </cell>
          <cell r="K1260" t="str">
            <v>TROUSER</v>
          </cell>
          <cell r="L1260" t="str">
            <v>NOD</v>
          </cell>
        </row>
        <row r="1261">
          <cell r="C1261" t="str">
            <v>ARGT6088G</v>
          </cell>
          <cell r="D1261" t="str">
            <v>CORE</v>
          </cell>
          <cell r="E1261" t="str">
            <v>CO26</v>
          </cell>
          <cell r="F1261">
            <v>2599</v>
          </cell>
          <cell r="G1261" t="str">
            <v>AS</v>
          </cell>
          <cell r="H1261" t="str">
            <v>ARRASMWTR</v>
          </cell>
          <cell r="I1261" t="str">
            <v>ARGT6088G001</v>
          </cell>
          <cell r="J1261" t="str">
            <v>28</v>
          </cell>
          <cell r="K1261" t="str">
            <v>TROUSER</v>
          </cell>
          <cell r="L1261" t="str">
            <v>NOD</v>
          </cell>
        </row>
        <row r="1262">
          <cell r="C1262" t="str">
            <v>ARGT6088G</v>
          </cell>
          <cell r="D1262" t="str">
            <v>CORE</v>
          </cell>
          <cell r="E1262" t="str">
            <v>CO26</v>
          </cell>
          <cell r="F1262">
            <v>2599</v>
          </cell>
          <cell r="G1262" t="str">
            <v>AS</v>
          </cell>
          <cell r="H1262" t="str">
            <v>ARRASMWTR</v>
          </cell>
          <cell r="I1262" t="str">
            <v>ARGT6088G002</v>
          </cell>
          <cell r="J1262" t="str">
            <v>30</v>
          </cell>
          <cell r="K1262" t="str">
            <v>TROUSER</v>
          </cell>
          <cell r="L1262" t="str">
            <v>NOD</v>
          </cell>
        </row>
        <row r="1263">
          <cell r="C1263" t="str">
            <v>ARGT6088G</v>
          </cell>
          <cell r="D1263" t="str">
            <v>CORE</v>
          </cell>
          <cell r="E1263" t="str">
            <v>CO26</v>
          </cell>
          <cell r="F1263">
            <v>2599</v>
          </cell>
          <cell r="G1263" t="str">
            <v>AS</v>
          </cell>
          <cell r="H1263" t="str">
            <v>ARRASMWTR</v>
          </cell>
          <cell r="I1263" t="str">
            <v>ARGT6088G003</v>
          </cell>
          <cell r="J1263" t="str">
            <v>32</v>
          </cell>
          <cell r="K1263" t="str">
            <v>TROUSER</v>
          </cell>
          <cell r="L1263" t="str">
            <v>NOD</v>
          </cell>
        </row>
        <row r="1264">
          <cell r="C1264" t="str">
            <v>ARGT6088G</v>
          </cell>
          <cell r="D1264" t="str">
            <v>CORE</v>
          </cell>
          <cell r="E1264" t="str">
            <v>CO26</v>
          </cell>
          <cell r="F1264">
            <v>2599</v>
          </cell>
          <cell r="G1264" t="str">
            <v>AS</v>
          </cell>
          <cell r="H1264" t="str">
            <v>ARRASMWTR</v>
          </cell>
          <cell r="I1264" t="str">
            <v>ARGT6088G004</v>
          </cell>
          <cell r="J1264" t="str">
            <v>34</v>
          </cell>
          <cell r="K1264" t="str">
            <v>TROUSER</v>
          </cell>
          <cell r="L1264" t="str">
            <v>NOD</v>
          </cell>
        </row>
        <row r="1265">
          <cell r="C1265" t="str">
            <v>ARGT6088G</v>
          </cell>
          <cell r="D1265" t="str">
            <v>CORE</v>
          </cell>
          <cell r="E1265" t="str">
            <v>CO26</v>
          </cell>
          <cell r="F1265">
            <v>2599</v>
          </cell>
          <cell r="G1265" t="str">
            <v>AS</v>
          </cell>
          <cell r="H1265" t="str">
            <v>ARRASMWTR</v>
          </cell>
          <cell r="I1265" t="str">
            <v>ARGT6088G005</v>
          </cell>
          <cell r="J1265" t="str">
            <v>36</v>
          </cell>
          <cell r="K1265" t="str">
            <v>TROUSER</v>
          </cell>
          <cell r="L1265" t="str">
            <v>NOD</v>
          </cell>
        </row>
        <row r="1266">
          <cell r="C1266" t="str">
            <v>ARGT6088G</v>
          </cell>
          <cell r="D1266" t="str">
            <v>CORE</v>
          </cell>
          <cell r="E1266" t="str">
            <v>CO26</v>
          </cell>
          <cell r="F1266">
            <v>2599</v>
          </cell>
          <cell r="G1266" t="str">
            <v>AS</v>
          </cell>
          <cell r="H1266" t="str">
            <v>ARRASMWTR</v>
          </cell>
          <cell r="I1266" t="str">
            <v>ARGT6088G006</v>
          </cell>
          <cell r="J1266" t="str">
            <v>38</v>
          </cell>
          <cell r="K1266" t="str">
            <v>TROUSER</v>
          </cell>
          <cell r="L1266" t="str">
            <v>NOD</v>
          </cell>
        </row>
        <row r="1267">
          <cell r="C1267" t="str">
            <v>ARGT6088G</v>
          </cell>
          <cell r="D1267" t="str">
            <v>CORE</v>
          </cell>
          <cell r="E1267" t="str">
            <v>CO26</v>
          </cell>
          <cell r="F1267">
            <v>2599</v>
          </cell>
          <cell r="G1267" t="str">
            <v>AS</v>
          </cell>
          <cell r="H1267" t="str">
            <v>ARRASMWTR</v>
          </cell>
          <cell r="I1267" t="str">
            <v>ARGT6088G007</v>
          </cell>
          <cell r="J1267" t="str">
            <v>40</v>
          </cell>
          <cell r="K1267" t="str">
            <v>TROUSER</v>
          </cell>
          <cell r="L1267" t="str">
            <v>NOD</v>
          </cell>
        </row>
        <row r="1268">
          <cell r="C1268" t="str">
            <v>ARGT6088G</v>
          </cell>
          <cell r="D1268" t="str">
            <v>CORE</v>
          </cell>
          <cell r="E1268" t="str">
            <v>CO26</v>
          </cell>
          <cell r="F1268">
            <v>2599</v>
          </cell>
          <cell r="G1268" t="str">
            <v>AS</v>
          </cell>
          <cell r="H1268" t="str">
            <v>ARRASMWTR</v>
          </cell>
          <cell r="I1268" t="str">
            <v>ARGT6088G008</v>
          </cell>
          <cell r="J1268" t="str">
            <v>42</v>
          </cell>
          <cell r="K1268" t="str">
            <v>TROUSER</v>
          </cell>
          <cell r="L1268" t="str">
            <v>NOD</v>
          </cell>
        </row>
        <row r="1269">
          <cell r="C1269" t="str">
            <v>ARGT6088G</v>
          </cell>
          <cell r="D1269" t="str">
            <v>CORE</v>
          </cell>
          <cell r="E1269" t="str">
            <v>CO26</v>
          </cell>
          <cell r="F1269">
            <v>2599</v>
          </cell>
          <cell r="G1269" t="str">
            <v>AS</v>
          </cell>
          <cell r="H1269" t="str">
            <v>ARRASMWTR</v>
          </cell>
          <cell r="I1269" t="str">
            <v>ARGT6088G009</v>
          </cell>
          <cell r="J1269" t="str">
            <v>44</v>
          </cell>
          <cell r="K1269" t="str">
            <v>TROUSER</v>
          </cell>
          <cell r="L1269" t="str">
            <v>NOD</v>
          </cell>
        </row>
        <row r="1270">
          <cell r="C1270" t="str">
            <v>ARGT6088G</v>
          </cell>
          <cell r="D1270" t="str">
            <v>CORE</v>
          </cell>
          <cell r="E1270" t="str">
            <v>CO26</v>
          </cell>
          <cell r="F1270">
            <v>2599</v>
          </cell>
          <cell r="G1270" t="str">
            <v>AS</v>
          </cell>
          <cell r="H1270" t="str">
            <v>ARRASMWTR</v>
          </cell>
          <cell r="I1270" t="str">
            <v>ARGT6088G010</v>
          </cell>
          <cell r="J1270" t="str">
            <v>46</v>
          </cell>
          <cell r="K1270" t="str">
            <v>TROUSER</v>
          </cell>
          <cell r="L1270" t="str">
            <v>NOD</v>
          </cell>
        </row>
        <row r="1271">
          <cell r="C1271" t="str">
            <v>ARGT6088G</v>
          </cell>
          <cell r="D1271" t="str">
            <v>CORE</v>
          </cell>
          <cell r="E1271" t="str">
            <v>CO26</v>
          </cell>
          <cell r="F1271">
            <v>2599</v>
          </cell>
          <cell r="G1271" t="str">
            <v>AS</v>
          </cell>
          <cell r="H1271" t="str">
            <v>ARRASMWTR</v>
          </cell>
          <cell r="I1271" t="str">
            <v>ARGT6088G011</v>
          </cell>
          <cell r="J1271" t="str">
            <v>48</v>
          </cell>
          <cell r="K1271" t="str">
            <v>TROUSER</v>
          </cell>
          <cell r="L1271" t="str">
            <v>NOD</v>
          </cell>
        </row>
        <row r="1272">
          <cell r="C1272" t="str">
            <v>ARGT6088G</v>
          </cell>
          <cell r="D1272" t="str">
            <v>CORE</v>
          </cell>
          <cell r="E1272" t="str">
            <v>CO26</v>
          </cell>
          <cell r="F1272">
            <v>2599</v>
          </cell>
          <cell r="G1272" t="str">
            <v>AS</v>
          </cell>
          <cell r="H1272" t="str">
            <v>ARRASMWTR</v>
          </cell>
          <cell r="I1272" t="str">
            <v>ARGT6088G012</v>
          </cell>
          <cell r="J1272" t="str">
            <v>50</v>
          </cell>
          <cell r="K1272" t="str">
            <v>TROUSER</v>
          </cell>
          <cell r="L1272" t="str">
            <v>NOD</v>
          </cell>
        </row>
        <row r="1273">
          <cell r="C1273" t="str">
            <v>ARGT6090G</v>
          </cell>
          <cell r="D1273" t="str">
            <v>CORE</v>
          </cell>
          <cell r="E1273" t="str">
            <v>CO26</v>
          </cell>
          <cell r="F1273">
            <v>2599</v>
          </cell>
          <cell r="G1273" t="str">
            <v>AS</v>
          </cell>
          <cell r="H1273" t="str">
            <v>ARRASMWTR</v>
          </cell>
          <cell r="I1273" t="str">
            <v>ARGT6090G001</v>
          </cell>
          <cell r="J1273" t="str">
            <v>28</v>
          </cell>
          <cell r="K1273" t="str">
            <v>TROUSER</v>
          </cell>
          <cell r="L1273" t="str">
            <v>NOD</v>
          </cell>
        </row>
        <row r="1274">
          <cell r="C1274" t="str">
            <v>ARGT6090G</v>
          </cell>
          <cell r="D1274" t="str">
            <v>CORE</v>
          </cell>
          <cell r="E1274" t="str">
            <v>CO26</v>
          </cell>
          <cell r="F1274">
            <v>2599</v>
          </cell>
          <cell r="G1274" t="str">
            <v>AS</v>
          </cell>
          <cell r="H1274" t="str">
            <v>ARRASMWTR</v>
          </cell>
          <cell r="I1274" t="str">
            <v>ARGT6090G002</v>
          </cell>
          <cell r="J1274" t="str">
            <v>30</v>
          </cell>
          <cell r="K1274" t="str">
            <v>TROUSER</v>
          </cell>
          <cell r="L1274" t="str">
            <v>NOD</v>
          </cell>
        </row>
        <row r="1275">
          <cell r="C1275" t="str">
            <v>ARGT6090G</v>
          </cell>
          <cell r="D1275" t="str">
            <v>CORE</v>
          </cell>
          <cell r="E1275" t="str">
            <v>CO26</v>
          </cell>
          <cell r="F1275">
            <v>2599</v>
          </cell>
          <cell r="G1275" t="str">
            <v>AS</v>
          </cell>
          <cell r="H1275" t="str">
            <v>ARRASMWTR</v>
          </cell>
          <cell r="I1275" t="str">
            <v>ARGT6090G003</v>
          </cell>
          <cell r="J1275" t="str">
            <v>32</v>
          </cell>
          <cell r="K1275" t="str">
            <v>TROUSER</v>
          </cell>
          <cell r="L1275" t="str">
            <v>NOD</v>
          </cell>
        </row>
        <row r="1276">
          <cell r="C1276" t="str">
            <v>ARGT6090G</v>
          </cell>
          <cell r="D1276" t="str">
            <v>CORE</v>
          </cell>
          <cell r="E1276" t="str">
            <v>CO26</v>
          </cell>
          <cell r="F1276">
            <v>2599</v>
          </cell>
          <cell r="G1276" t="str">
            <v>AS</v>
          </cell>
          <cell r="H1276" t="str">
            <v>ARRASMWTR</v>
          </cell>
          <cell r="I1276" t="str">
            <v>ARGT6090G004</v>
          </cell>
          <cell r="J1276" t="str">
            <v>34</v>
          </cell>
          <cell r="K1276" t="str">
            <v>TROUSER</v>
          </cell>
          <cell r="L1276" t="str">
            <v>NOD</v>
          </cell>
        </row>
        <row r="1277">
          <cell r="C1277" t="str">
            <v>ARGT6090G</v>
          </cell>
          <cell r="D1277" t="str">
            <v>CORE</v>
          </cell>
          <cell r="E1277" t="str">
            <v>CO26</v>
          </cell>
          <cell r="F1277">
            <v>2599</v>
          </cell>
          <cell r="G1277" t="str">
            <v>AS</v>
          </cell>
          <cell r="H1277" t="str">
            <v>ARRASMWTR</v>
          </cell>
          <cell r="I1277" t="str">
            <v>ARGT6090G005</v>
          </cell>
          <cell r="J1277" t="str">
            <v>36</v>
          </cell>
          <cell r="K1277" t="str">
            <v>TROUSER</v>
          </cell>
          <cell r="L1277" t="str">
            <v>NOD</v>
          </cell>
        </row>
        <row r="1278">
          <cell r="C1278" t="str">
            <v>ARGT6090G</v>
          </cell>
          <cell r="D1278" t="str">
            <v>CORE</v>
          </cell>
          <cell r="E1278" t="str">
            <v>CO26</v>
          </cell>
          <cell r="F1278">
            <v>2599</v>
          </cell>
          <cell r="G1278" t="str">
            <v>AS</v>
          </cell>
          <cell r="H1278" t="str">
            <v>ARRASMWTR</v>
          </cell>
          <cell r="I1278" t="str">
            <v>ARGT6090G006</v>
          </cell>
          <cell r="J1278" t="str">
            <v>38</v>
          </cell>
          <cell r="K1278" t="str">
            <v>TROUSER</v>
          </cell>
          <cell r="L1278" t="str">
            <v>NOD</v>
          </cell>
        </row>
        <row r="1279">
          <cell r="C1279" t="str">
            <v>ARGT6090G</v>
          </cell>
          <cell r="D1279" t="str">
            <v>CORE</v>
          </cell>
          <cell r="E1279" t="str">
            <v>CO26</v>
          </cell>
          <cell r="F1279">
            <v>2599</v>
          </cell>
          <cell r="G1279" t="str">
            <v>AS</v>
          </cell>
          <cell r="H1279" t="str">
            <v>ARRASMWTR</v>
          </cell>
          <cell r="I1279" t="str">
            <v>ARGT6090G007</v>
          </cell>
          <cell r="J1279" t="str">
            <v>40</v>
          </cell>
          <cell r="K1279" t="str">
            <v>TROUSER</v>
          </cell>
          <cell r="L1279" t="str">
            <v>NOD</v>
          </cell>
        </row>
        <row r="1280">
          <cell r="C1280" t="str">
            <v>ARGT6090G</v>
          </cell>
          <cell r="D1280" t="str">
            <v>CORE</v>
          </cell>
          <cell r="E1280" t="str">
            <v>CO26</v>
          </cell>
          <cell r="F1280">
            <v>2599</v>
          </cell>
          <cell r="G1280" t="str">
            <v>AS</v>
          </cell>
          <cell r="H1280" t="str">
            <v>ARRASMWTR</v>
          </cell>
          <cell r="I1280" t="str">
            <v>ARGT6090G008</v>
          </cell>
          <cell r="J1280" t="str">
            <v>42</v>
          </cell>
          <cell r="K1280" t="str">
            <v>TROUSER</v>
          </cell>
          <cell r="L1280" t="str">
            <v>NOD</v>
          </cell>
        </row>
        <row r="1281">
          <cell r="C1281" t="str">
            <v>ARGT6090G</v>
          </cell>
          <cell r="D1281" t="str">
            <v>CORE</v>
          </cell>
          <cell r="E1281" t="str">
            <v>CO26</v>
          </cell>
          <cell r="F1281">
            <v>2599</v>
          </cell>
          <cell r="G1281" t="str">
            <v>AS</v>
          </cell>
          <cell r="H1281" t="str">
            <v>ARRASMWTR</v>
          </cell>
          <cell r="I1281" t="str">
            <v>ARGT6090G009</v>
          </cell>
          <cell r="J1281" t="str">
            <v>44</v>
          </cell>
          <cell r="K1281" t="str">
            <v>TROUSER</v>
          </cell>
          <cell r="L1281" t="str">
            <v>NOD</v>
          </cell>
        </row>
        <row r="1282">
          <cell r="C1282" t="str">
            <v>ARGT6090G</v>
          </cell>
          <cell r="D1282" t="str">
            <v>CORE</v>
          </cell>
          <cell r="E1282" t="str">
            <v>CO26</v>
          </cell>
          <cell r="F1282">
            <v>2599</v>
          </cell>
          <cell r="G1282" t="str">
            <v>AS</v>
          </cell>
          <cell r="H1282" t="str">
            <v>ARRASMWTR</v>
          </cell>
          <cell r="I1282" t="str">
            <v>ARGT6090G010</v>
          </cell>
          <cell r="J1282" t="str">
            <v>46</v>
          </cell>
          <cell r="K1282" t="str">
            <v>TROUSER</v>
          </cell>
          <cell r="L1282" t="str">
            <v>NOD</v>
          </cell>
        </row>
        <row r="1283">
          <cell r="C1283" t="str">
            <v>ARGT6090G</v>
          </cell>
          <cell r="D1283" t="str">
            <v>CORE</v>
          </cell>
          <cell r="E1283" t="str">
            <v>CO26</v>
          </cell>
          <cell r="F1283">
            <v>2599</v>
          </cell>
          <cell r="G1283" t="str">
            <v>AS</v>
          </cell>
          <cell r="H1283" t="str">
            <v>ARRASMWTR</v>
          </cell>
          <cell r="I1283" t="str">
            <v>ARGT6090G011</v>
          </cell>
          <cell r="J1283" t="str">
            <v>48</v>
          </cell>
          <cell r="K1283" t="str">
            <v>TROUSER</v>
          </cell>
          <cell r="L1283" t="str">
            <v>NOD</v>
          </cell>
        </row>
        <row r="1284">
          <cell r="C1284" t="str">
            <v>ARGT6090G</v>
          </cell>
          <cell r="D1284" t="str">
            <v>CORE</v>
          </cell>
          <cell r="E1284" t="str">
            <v>CO26</v>
          </cell>
          <cell r="F1284">
            <v>2599</v>
          </cell>
          <cell r="G1284" t="str">
            <v>AS</v>
          </cell>
          <cell r="H1284" t="str">
            <v>ARRASMWTR</v>
          </cell>
          <cell r="I1284" t="str">
            <v>ARGT6090G012</v>
          </cell>
          <cell r="J1284" t="str">
            <v>50</v>
          </cell>
          <cell r="K1284" t="str">
            <v>TROUSER</v>
          </cell>
          <cell r="L1284" t="str">
            <v>NOD</v>
          </cell>
        </row>
        <row r="1285">
          <cell r="C1285" t="str">
            <v>ARGT6092G</v>
          </cell>
          <cell r="D1285" t="str">
            <v>CORE</v>
          </cell>
          <cell r="E1285" t="str">
            <v>CO26</v>
          </cell>
          <cell r="F1285">
            <v>2599</v>
          </cell>
          <cell r="G1285" t="str">
            <v>AS</v>
          </cell>
          <cell r="H1285" t="str">
            <v>ARRASMWTR</v>
          </cell>
          <cell r="I1285" t="str">
            <v>ARGT6092G001</v>
          </cell>
          <cell r="J1285" t="str">
            <v>28</v>
          </cell>
          <cell r="K1285" t="str">
            <v>TROUSER</v>
          </cell>
          <cell r="L1285" t="str">
            <v>NOD</v>
          </cell>
        </row>
        <row r="1286">
          <cell r="C1286" t="str">
            <v>ARGT6092G</v>
          </cell>
          <cell r="D1286" t="str">
            <v>CORE</v>
          </cell>
          <cell r="E1286" t="str">
            <v>CO26</v>
          </cell>
          <cell r="F1286">
            <v>2599</v>
          </cell>
          <cell r="G1286" t="str">
            <v>AS</v>
          </cell>
          <cell r="H1286" t="str">
            <v>ARRASMWTR</v>
          </cell>
          <cell r="I1286" t="str">
            <v>ARGT6092G002</v>
          </cell>
          <cell r="J1286" t="str">
            <v>30</v>
          </cell>
          <cell r="K1286" t="str">
            <v>TROUSER</v>
          </cell>
          <cell r="L1286" t="str">
            <v>NOD</v>
          </cell>
        </row>
        <row r="1287">
          <cell r="C1287" t="str">
            <v>ARGT6092G</v>
          </cell>
          <cell r="D1287" t="str">
            <v>CORE</v>
          </cell>
          <cell r="E1287" t="str">
            <v>CO26</v>
          </cell>
          <cell r="F1287">
            <v>2599</v>
          </cell>
          <cell r="G1287" t="str">
            <v>AS</v>
          </cell>
          <cell r="H1287" t="str">
            <v>ARRASMWTR</v>
          </cell>
          <cell r="I1287" t="str">
            <v>ARGT6092G003</v>
          </cell>
          <cell r="J1287" t="str">
            <v>32</v>
          </cell>
          <cell r="K1287" t="str">
            <v>TROUSER</v>
          </cell>
          <cell r="L1287" t="str">
            <v>NOD</v>
          </cell>
        </row>
        <row r="1288">
          <cell r="C1288" t="str">
            <v>ARGT6092G</v>
          </cell>
          <cell r="D1288" t="str">
            <v>CORE</v>
          </cell>
          <cell r="E1288" t="str">
            <v>CO26</v>
          </cell>
          <cell r="F1288">
            <v>2599</v>
          </cell>
          <cell r="G1288" t="str">
            <v>AS</v>
          </cell>
          <cell r="H1288" t="str">
            <v>ARRASMWTR</v>
          </cell>
          <cell r="I1288" t="str">
            <v>ARGT6092G004</v>
          </cell>
          <cell r="J1288" t="str">
            <v>34</v>
          </cell>
          <cell r="K1288" t="str">
            <v>TROUSER</v>
          </cell>
          <cell r="L1288" t="str">
            <v>NOD</v>
          </cell>
        </row>
        <row r="1289">
          <cell r="C1289" t="str">
            <v>ARGT6092G</v>
          </cell>
          <cell r="D1289" t="str">
            <v>CORE</v>
          </cell>
          <cell r="E1289" t="str">
            <v>CO26</v>
          </cell>
          <cell r="F1289">
            <v>2599</v>
          </cell>
          <cell r="G1289" t="str">
            <v>AS</v>
          </cell>
          <cell r="H1289" t="str">
            <v>ARRASMWTR</v>
          </cell>
          <cell r="I1289" t="str">
            <v>ARGT6092G005</v>
          </cell>
          <cell r="J1289" t="str">
            <v>36</v>
          </cell>
          <cell r="K1289" t="str">
            <v>TROUSER</v>
          </cell>
          <cell r="L1289" t="str">
            <v>NOD</v>
          </cell>
        </row>
        <row r="1290">
          <cell r="C1290" t="str">
            <v>ARGT6092G</v>
          </cell>
          <cell r="D1290" t="str">
            <v>CORE</v>
          </cell>
          <cell r="E1290" t="str">
            <v>CO26</v>
          </cell>
          <cell r="F1290">
            <v>2599</v>
          </cell>
          <cell r="G1290" t="str">
            <v>AS</v>
          </cell>
          <cell r="H1290" t="str">
            <v>ARRASMWTR</v>
          </cell>
          <cell r="I1290" t="str">
            <v>ARGT6092G006</v>
          </cell>
          <cell r="J1290" t="str">
            <v>38</v>
          </cell>
          <cell r="K1290" t="str">
            <v>TROUSER</v>
          </cell>
          <cell r="L1290" t="str">
            <v>NOD</v>
          </cell>
        </row>
        <row r="1291">
          <cell r="C1291" t="str">
            <v>ARGT6092G</v>
          </cell>
          <cell r="D1291" t="str">
            <v>CORE</v>
          </cell>
          <cell r="E1291" t="str">
            <v>CO26</v>
          </cell>
          <cell r="F1291">
            <v>2599</v>
          </cell>
          <cell r="G1291" t="str">
            <v>AS</v>
          </cell>
          <cell r="H1291" t="str">
            <v>ARRASMWTR</v>
          </cell>
          <cell r="I1291" t="str">
            <v>ARGT6092G007</v>
          </cell>
          <cell r="J1291" t="str">
            <v>40</v>
          </cell>
          <cell r="K1291" t="str">
            <v>TROUSER</v>
          </cell>
          <cell r="L1291" t="str">
            <v>NOD</v>
          </cell>
        </row>
        <row r="1292">
          <cell r="C1292" t="str">
            <v>ARGT6092G</v>
          </cell>
          <cell r="D1292" t="str">
            <v>CORE</v>
          </cell>
          <cell r="E1292" t="str">
            <v>CO26</v>
          </cell>
          <cell r="F1292">
            <v>2599</v>
          </cell>
          <cell r="G1292" t="str">
            <v>AS</v>
          </cell>
          <cell r="H1292" t="str">
            <v>ARRASMWTR</v>
          </cell>
          <cell r="I1292" t="str">
            <v>ARGT6092G008</v>
          </cell>
          <cell r="J1292" t="str">
            <v>42</v>
          </cell>
          <cell r="K1292" t="str">
            <v>TROUSER</v>
          </cell>
          <cell r="L1292" t="str">
            <v>NOD</v>
          </cell>
        </row>
        <row r="1293">
          <cell r="C1293" t="str">
            <v>ARGT6092G</v>
          </cell>
          <cell r="D1293" t="str">
            <v>CORE</v>
          </cell>
          <cell r="E1293" t="str">
            <v>CO26</v>
          </cell>
          <cell r="F1293">
            <v>2599</v>
          </cell>
          <cell r="G1293" t="str">
            <v>AS</v>
          </cell>
          <cell r="H1293" t="str">
            <v>ARRASMWTR</v>
          </cell>
          <cell r="I1293" t="str">
            <v>ARGT6092G009</v>
          </cell>
          <cell r="J1293" t="str">
            <v>44</v>
          </cell>
          <cell r="K1293" t="str">
            <v>TROUSER</v>
          </cell>
          <cell r="L1293" t="str">
            <v>NOD</v>
          </cell>
        </row>
        <row r="1294">
          <cell r="C1294" t="str">
            <v>ARGT6092G</v>
          </cell>
          <cell r="D1294" t="str">
            <v>CORE</v>
          </cell>
          <cell r="E1294" t="str">
            <v>CO26</v>
          </cell>
          <cell r="F1294">
            <v>2599</v>
          </cell>
          <cell r="G1294" t="str">
            <v>AS</v>
          </cell>
          <cell r="H1294" t="str">
            <v>ARRASMWTR</v>
          </cell>
          <cell r="I1294" t="str">
            <v>ARGT6092G010</v>
          </cell>
          <cell r="J1294" t="str">
            <v>46</v>
          </cell>
          <cell r="K1294" t="str">
            <v>TROUSER</v>
          </cell>
          <cell r="L1294" t="str">
            <v>NOD</v>
          </cell>
        </row>
        <row r="1295">
          <cell r="C1295" t="str">
            <v>ARGT6092G</v>
          </cell>
          <cell r="D1295" t="str">
            <v>CORE</v>
          </cell>
          <cell r="E1295" t="str">
            <v>CO26</v>
          </cell>
          <cell r="F1295">
            <v>2599</v>
          </cell>
          <cell r="G1295" t="str">
            <v>AS</v>
          </cell>
          <cell r="H1295" t="str">
            <v>ARRASMWTR</v>
          </cell>
          <cell r="I1295" t="str">
            <v>ARGT6092G011</v>
          </cell>
          <cell r="J1295" t="str">
            <v>48</v>
          </cell>
          <cell r="K1295" t="str">
            <v>TROUSER</v>
          </cell>
          <cell r="L1295" t="str">
            <v>NOD</v>
          </cell>
        </row>
        <row r="1296">
          <cell r="C1296" t="str">
            <v>ARGT6092G</v>
          </cell>
          <cell r="D1296" t="str">
            <v>CORE</v>
          </cell>
          <cell r="E1296" t="str">
            <v>CO26</v>
          </cell>
          <cell r="F1296">
            <v>2599</v>
          </cell>
          <cell r="G1296" t="str">
            <v>AS</v>
          </cell>
          <cell r="H1296" t="str">
            <v>ARRASMWTR</v>
          </cell>
          <cell r="I1296" t="str">
            <v>ARGT6092G012</v>
          </cell>
          <cell r="J1296" t="str">
            <v>50</v>
          </cell>
          <cell r="K1296" t="str">
            <v>TROUSER</v>
          </cell>
          <cell r="L1296" t="str">
            <v>NOD</v>
          </cell>
        </row>
        <row r="1297">
          <cell r="C1297" t="str">
            <v>ARGT6094G</v>
          </cell>
          <cell r="D1297" t="str">
            <v>CORE</v>
          </cell>
          <cell r="E1297" t="str">
            <v>CO26</v>
          </cell>
          <cell r="F1297">
            <v>3299</v>
          </cell>
          <cell r="G1297" t="str">
            <v>AS</v>
          </cell>
          <cell r="H1297" t="str">
            <v>ARRASMWTR</v>
          </cell>
          <cell r="I1297" t="str">
            <v>ARGT6094G001</v>
          </cell>
          <cell r="J1297" t="str">
            <v>28</v>
          </cell>
          <cell r="K1297" t="str">
            <v>TROUSER</v>
          </cell>
          <cell r="L1297" t="str">
            <v>NOD</v>
          </cell>
        </row>
        <row r="1298">
          <cell r="C1298" t="str">
            <v>ARGT6094G</v>
          </cell>
          <cell r="D1298" t="str">
            <v>CORE</v>
          </cell>
          <cell r="E1298" t="str">
            <v>CO26</v>
          </cell>
          <cell r="F1298">
            <v>3299</v>
          </cell>
          <cell r="G1298" t="str">
            <v>AS</v>
          </cell>
          <cell r="H1298" t="str">
            <v>ARRASMWTR</v>
          </cell>
          <cell r="I1298" t="str">
            <v>ARGT6094G002</v>
          </cell>
          <cell r="J1298" t="str">
            <v>30</v>
          </cell>
          <cell r="K1298" t="str">
            <v>TROUSER</v>
          </cell>
          <cell r="L1298" t="str">
            <v>NOD</v>
          </cell>
        </row>
        <row r="1299">
          <cell r="C1299" t="str">
            <v>ARGT6094G</v>
          </cell>
          <cell r="D1299" t="str">
            <v>CORE</v>
          </cell>
          <cell r="E1299" t="str">
            <v>CO26</v>
          </cell>
          <cell r="F1299">
            <v>3299</v>
          </cell>
          <cell r="G1299" t="str">
            <v>AS</v>
          </cell>
          <cell r="H1299" t="str">
            <v>ARRASMWTR</v>
          </cell>
          <cell r="I1299" t="str">
            <v>ARGT6094G003</v>
          </cell>
          <cell r="J1299" t="str">
            <v>32</v>
          </cell>
          <cell r="K1299" t="str">
            <v>TROUSER</v>
          </cell>
          <cell r="L1299" t="str">
            <v>NOD</v>
          </cell>
        </row>
        <row r="1300">
          <cell r="C1300" t="str">
            <v>ARGT6094G</v>
          </cell>
          <cell r="D1300" t="str">
            <v>CORE</v>
          </cell>
          <cell r="E1300" t="str">
            <v>CO26</v>
          </cell>
          <cell r="F1300">
            <v>3299</v>
          </cell>
          <cell r="G1300" t="str">
            <v>AS</v>
          </cell>
          <cell r="H1300" t="str">
            <v>ARRASMWTR</v>
          </cell>
          <cell r="I1300" t="str">
            <v>ARGT6094G004</v>
          </cell>
          <cell r="J1300" t="str">
            <v>34</v>
          </cell>
          <cell r="K1300" t="str">
            <v>TROUSER</v>
          </cell>
          <cell r="L1300" t="str">
            <v>NOD</v>
          </cell>
        </row>
        <row r="1301">
          <cell r="C1301" t="str">
            <v>ARGT6094G</v>
          </cell>
          <cell r="D1301" t="str">
            <v>CORE</v>
          </cell>
          <cell r="E1301" t="str">
            <v>CO26</v>
          </cell>
          <cell r="F1301">
            <v>3299</v>
          </cell>
          <cell r="G1301" t="str">
            <v>AS</v>
          </cell>
          <cell r="H1301" t="str">
            <v>ARRASMWTR</v>
          </cell>
          <cell r="I1301" t="str">
            <v>ARGT6094G005</v>
          </cell>
          <cell r="J1301" t="str">
            <v>36</v>
          </cell>
          <cell r="K1301" t="str">
            <v>TROUSER</v>
          </cell>
          <cell r="L1301" t="str">
            <v>NOD</v>
          </cell>
        </row>
        <row r="1302">
          <cell r="C1302" t="str">
            <v>ARGT6094G</v>
          </cell>
          <cell r="D1302" t="str">
            <v>CORE</v>
          </cell>
          <cell r="E1302" t="str">
            <v>CO26</v>
          </cell>
          <cell r="F1302">
            <v>3299</v>
          </cell>
          <cell r="G1302" t="str">
            <v>AS</v>
          </cell>
          <cell r="H1302" t="str">
            <v>ARRASMWTR</v>
          </cell>
          <cell r="I1302" t="str">
            <v>ARGT6094G006</v>
          </cell>
          <cell r="J1302" t="str">
            <v>38</v>
          </cell>
          <cell r="K1302" t="str">
            <v>TROUSER</v>
          </cell>
          <cell r="L1302" t="str">
            <v>NOD</v>
          </cell>
        </row>
        <row r="1303">
          <cell r="C1303" t="str">
            <v>ARGT6094G</v>
          </cell>
          <cell r="D1303" t="str">
            <v>CORE</v>
          </cell>
          <cell r="E1303" t="str">
            <v>CO26</v>
          </cell>
          <cell r="F1303">
            <v>3299</v>
          </cell>
          <cell r="G1303" t="str">
            <v>AS</v>
          </cell>
          <cell r="H1303" t="str">
            <v>ARRASMWTR</v>
          </cell>
          <cell r="I1303" t="str">
            <v>ARGT6094G007</v>
          </cell>
          <cell r="J1303" t="str">
            <v>40</v>
          </cell>
          <cell r="K1303" t="str">
            <v>TROUSER</v>
          </cell>
          <cell r="L1303" t="str">
            <v>NOD</v>
          </cell>
        </row>
        <row r="1304">
          <cell r="C1304" t="str">
            <v>ARGT6094G</v>
          </cell>
          <cell r="D1304" t="str">
            <v>CORE</v>
          </cell>
          <cell r="E1304" t="str">
            <v>CO26</v>
          </cell>
          <cell r="F1304">
            <v>3499</v>
          </cell>
          <cell r="G1304" t="str">
            <v>AS</v>
          </cell>
          <cell r="H1304" t="str">
            <v>ARRASMWTR</v>
          </cell>
          <cell r="I1304" t="str">
            <v>ARGT6094G008</v>
          </cell>
          <cell r="J1304" t="str">
            <v>42</v>
          </cell>
          <cell r="K1304" t="str">
            <v>TROUSER</v>
          </cell>
          <cell r="L1304" t="str">
            <v>NOD</v>
          </cell>
        </row>
        <row r="1305">
          <cell r="C1305" t="str">
            <v>ARGT6094G</v>
          </cell>
          <cell r="D1305" t="str">
            <v>CORE</v>
          </cell>
          <cell r="E1305" t="str">
            <v>CO26</v>
          </cell>
          <cell r="F1305">
            <v>3499</v>
          </cell>
          <cell r="G1305" t="str">
            <v>AS</v>
          </cell>
          <cell r="H1305" t="str">
            <v>ARRASMWTR</v>
          </cell>
          <cell r="I1305" t="str">
            <v>ARGT6094G009</v>
          </cell>
          <cell r="J1305" t="str">
            <v>44</v>
          </cell>
          <cell r="K1305" t="str">
            <v>TROUSER</v>
          </cell>
          <cell r="L1305" t="str">
            <v>NOD</v>
          </cell>
        </row>
        <row r="1306">
          <cell r="C1306" t="str">
            <v>ARGT6094G</v>
          </cell>
          <cell r="D1306" t="str">
            <v>CORE</v>
          </cell>
          <cell r="E1306" t="str">
            <v>CO26</v>
          </cell>
          <cell r="F1306">
            <v>3499</v>
          </cell>
          <cell r="G1306" t="str">
            <v>AS</v>
          </cell>
          <cell r="H1306" t="str">
            <v>ARRASMWTR</v>
          </cell>
          <cell r="I1306" t="str">
            <v>ARGT6094G010</v>
          </cell>
          <cell r="J1306" t="str">
            <v>46</v>
          </cell>
          <cell r="K1306" t="str">
            <v>TROUSER</v>
          </cell>
          <cell r="L1306" t="str">
            <v>NOD</v>
          </cell>
        </row>
        <row r="1307">
          <cell r="C1307" t="str">
            <v>ARGT6094G</v>
          </cell>
          <cell r="D1307" t="str">
            <v>CORE</v>
          </cell>
          <cell r="E1307" t="str">
            <v>CO26</v>
          </cell>
          <cell r="F1307">
            <v>3499</v>
          </cell>
          <cell r="G1307" t="str">
            <v>AS</v>
          </cell>
          <cell r="H1307" t="str">
            <v>ARRASMWTR</v>
          </cell>
          <cell r="I1307" t="str">
            <v>ARGT6094G011</v>
          </cell>
          <cell r="J1307" t="str">
            <v>48</v>
          </cell>
          <cell r="K1307" t="str">
            <v>TROUSER</v>
          </cell>
          <cell r="L1307" t="str">
            <v>NOD</v>
          </cell>
        </row>
        <row r="1308">
          <cell r="C1308" t="str">
            <v>ARGT6094G</v>
          </cell>
          <cell r="D1308" t="str">
            <v>CORE</v>
          </cell>
          <cell r="E1308" t="str">
            <v>CO26</v>
          </cell>
          <cell r="F1308">
            <v>3499</v>
          </cell>
          <cell r="G1308" t="str">
            <v>AS</v>
          </cell>
          <cell r="H1308" t="str">
            <v>ARRASMWTR</v>
          </cell>
          <cell r="I1308" t="str">
            <v>ARGT6094G012</v>
          </cell>
          <cell r="J1308" t="str">
            <v>50</v>
          </cell>
          <cell r="K1308" t="str">
            <v>TROUSER</v>
          </cell>
          <cell r="L1308" t="str">
            <v>NOD</v>
          </cell>
        </row>
        <row r="1309">
          <cell r="C1309" t="str">
            <v>ARGT6096G</v>
          </cell>
          <cell r="D1309" t="str">
            <v>CORE</v>
          </cell>
          <cell r="E1309" t="str">
            <v>CO26</v>
          </cell>
          <cell r="F1309">
            <v>3299</v>
          </cell>
          <cell r="G1309" t="str">
            <v>AS</v>
          </cell>
          <cell r="H1309" t="str">
            <v>ARRASMWTR</v>
          </cell>
          <cell r="I1309" t="str">
            <v>ARGT6096G001</v>
          </cell>
          <cell r="J1309" t="str">
            <v>28</v>
          </cell>
          <cell r="K1309" t="str">
            <v>TROUSER</v>
          </cell>
          <cell r="L1309" t="str">
            <v>NOD</v>
          </cell>
        </row>
        <row r="1310">
          <cell r="C1310" t="str">
            <v>ARGT6096G</v>
          </cell>
          <cell r="D1310" t="str">
            <v>CORE</v>
          </cell>
          <cell r="E1310" t="str">
            <v>CO26</v>
          </cell>
          <cell r="F1310">
            <v>3299</v>
          </cell>
          <cell r="G1310" t="str">
            <v>AS</v>
          </cell>
          <cell r="H1310" t="str">
            <v>ARRASMWTR</v>
          </cell>
          <cell r="I1310" t="str">
            <v>ARGT6096G002</v>
          </cell>
          <cell r="J1310" t="str">
            <v>30</v>
          </cell>
          <cell r="K1310" t="str">
            <v>TROUSER</v>
          </cell>
          <cell r="L1310" t="str">
            <v>NOD</v>
          </cell>
        </row>
        <row r="1311">
          <cell r="C1311" t="str">
            <v>ARGT6096G</v>
          </cell>
          <cell r="D1311" t="str">
            <v>CORE</v>
          </cell>
          <cell r="E1311" t="str">
            <v>CO26</v>
          </cell>
          <cell r="F1311">
            <v>3299</v>
          </cell>
          <cell r="G1311" t="str">
            <v>AS</v>
          </cell>
          <cell r="H1311" t="str">
            <v>ARRASMWTR</v>
          </cell>
          <cell r="I1311" t="str">
            <v>ARGT6096G003</v>
          </cell>
          <cell r="J1311" t="str">
            <v>32</v>
          </cell>
          <cell r="K1311" t="str">
            <v>TROUSER</v>
          </cell>
          <cell r="L1311" t="str">
            <v>NOD</v>
          </cell>
        </row>
        <row r="1312">
          <cell r="C1312" t="str">
            <v>ARGT6096G</v>
          </cell>
          <cell r="D1312" t="str">
            <v>CORE</v>
          </cell>
          <cell r="E1312" t="str">
            <v>CO26</v>
          </cell>
          <cell r="F1312">
            <v>3299</v>
          </cell>
          <cell r="G1312" t="str">
            <v>AS</v>
          </cell>
          <cell r="H1312" t="str">
            <v>ARRASMWTR</v>
          </cell>
          <cell r="I1312" t="str">
            <v>ARGT6096G004</v>
          </cell>
          <cell r="J1312" t="str">
            <v>34</v>
          </cell>
          <cell r="K1312" t="str">
            <v>TROUSER</v>
          </cell>
          <cell r="L1312" t="str">
            <v>NOD</v>
          </cell>
        </row>
        <row r="1313">
          <cell r="C1313" t="str">
            <v>ARGT6096G</v>
          </cell>
          <cell r="D1313" t="str">
            <v>CORE</v>
          </cell>
          <cell r="E1313" t="str">
            <v>CO26</v>
          </cell>
          <cell r="F1313">
            <v>3299</v>
          </cell>
          <cell r="G1313" t="str">
            <v>AS</v>
          </cell>
          <cell r="H1313" t="str">
            <v>ARRASMWTR</v>
          </cell>
          <cell r="I1313" t="str">
            <v>ARGT6096G005</v>
          </cell>
          <cell r="J1313" t="str">
            <v>36</v>
          </cell>
          <cell r="K1313" t="str">
            <v>TROUSER</v>
          </cell>
          <cell r="L1313" t="str">
            <v>NOD</v>
          </cell>
        </row>
        <row r="1314">
          <cell r="C1314" t="str">
            <v>ARGT6096G</v>
          </cell>
          <cell r="D1314" t="str">
            <v>CORE</v>
          </cell>
          <cell r="E1314" t="str">
            <v>CO26</v>
          </cell>
          <cell r="F1314">
            <v>3299</v>
          </cell>
          <cell r="G1314" t="str">
            <v>AS</v>
          </cell>
          <cell r="H1314" t="str">
            <v>ARRASMWTR</v>
          </cell>
          <cell r="I1314" t="str">
            <v>ARGT6096G006</v>
          </cell>
          <cell r="J1314" t="str">
            <v>38</v>
          </cell>
          <cell r="K1314" t="str">
            <v>TROUSER</v>
          </cell>
          <cell r="L1314" t="str">
            <v>NOD</v>
          </cell>
        </row>
        <row r="1315">
          <cell r="C1315" t="str">
            <v>ARGT6096G</v>
          </cell>
          <cell r="D1315" t="str">
            <v>CORE</v>
          </cell>
          <cell r="E1315" t="str">
            <v>CO26</v>
          </cell>
          <cell r="F1315">
            <v>3299</v>
          </cell>
          <cell r="G1315" t="str">
            <v>AS</v>
          </cell>
          <cell r="H1315" t="str">
            <v>ARRASMWTR</v>
          </cell>
          <cell r="I1315" t="str">
            <v>ARGT6096G007</v>
          </cell>
          <cell r="J1315" t="str">
            <v>40</v>
          </cell>
          <cell r="K1315" t="str">
            <v>TROUSER</v>
          </cell>
          <cell r="L1315" t="str">
            <v>NOD</v>
          </cell>
        </row>
        <row r="1316">
          <cell r="C1316" t="str">
            <v>ARGT6096G</v>
          </cell>
          <cell r="D1316" t="str">
            <v>CORE</v>
          </cell>
          <cell r="E1316" t="str">
            <v>CO26</v>
          </cell>
          <cell r="F1316">
            <v>3499</v>
          </cell>
          <cell r="G1316" t="str">
            <v>AS</v>
          </cell>
          <cell r="H1316" t="str">
            <v>ARRASMWTR</v>
          </cell>
          <cell r="I1316" t="str">
            <v>ARGT6096G008</v>
          </cell>
          <cell r="J1316" t="str">
            <v>42</v>
          </cell>
          <cell r="K1316" t="str">
            <v>TROUSER</v>
          </cell>
          <cell r="L1316" t="str">
            <v>NOD</v>
          </cell>
        </row>
        <row r="1317">
          <cell r="C1317" t="str">
            <v>ARGT6096G</v>
          </cell>
          <cell r="D1317" t="str">
            <v>CORE</v>
          </cell>
          <cell r="E1317" t="str">
            <v>CO26</v>
          </cell>
          <cell r="F1317">
            <v>3499</v>
          </cell>
          <cell r="G1317" t="str">
            <v>AS</v>
          </cell>
          <cell r="H1317" t="str">
            <v>ARRASMWTR</v>
          </cell>
          <cell r="I1317" t="str">
            <v>ARGT6096G009</v>
          </cell>
          <cell r="J1317" t="str">
            <v>44</v>
          </cell>
          <cell r="K1317" t="str">
            <v>TROUSER</v>
          </cell>
          <cell r="L1317" t="str">
            <v>NOD</v>
          </cell>
        </row>
        <row r="1318">
          <cell r="C1318" t="str">
            <v>ARGT6096G</v>
          </cell>
          <cell r="D1318" t="str">
            <v>CORE</v>
          </cell>
          <cell r="E1318" t="str">
            <v>CO26</v>
          </cell>
          <cell r="F1318">
            <v>3499</v>
          </cell>
          <cell r="G1318" t="str">
            <v>AS</v>
          </cell>
          <cell r="H1318" t="str">
            <v>ARRASMWTR</v>
          </cell>
          <cell r="I1318" t="str">
            <v>ARGT6096G010</v>
          </cell>
          <cell r="J1318" t="str">
            <v>46</v>
          </cell>
          <cell r="K1318" t="str">
            <v>TROUSER</v>
          </cell>
          <cell r="L1318" t="str">
            <v>NOD</v>
          </cell>
        </row>
        <row r="1319">
          <cell r="C1319" t="str">
            <v>ARGT6096G</v>
          </cell>
          <cell r="D1319" t="str">
            <v>CORE</v>
          </cell>
          <cell r="E1319" t="str">
            <v>CO26</v>
          </cell>
          <cell r="F1319">
            <v>3499</v>
          </cell>
          <cell r="G1319" t="str">
            <v>AS</v>
          </cell>
          <cell r="H1319" t="str">
            <v>ARRASMWTR</v>
          </cell>
          <cell r="I1319" t="str">
            <v>ARGT6096G011</v>
          </cell>
          <cell r="J1319" t="str">
            <v>48</v>
          </cell>
          <cell r="K1319" t="str">
            <v>TROUSER</v>
          </cell>
          <cell r="L1319" t="str">
            <v>NOD</v>
          </cell>
        </row>
        <row r="1320">
          <cell r="C1320" t="str">
            <v>ARGT6096G</v>
          </cell>
          <cell r="D1320" t="str">
            <v>CORE</v>
          </cell>
          <cell r="E1320" t="str">
            <v>CO26</v>
          </cell>
          <cell r="F1320">
            <v>3499</v>
          </cell>
          <cell r="G1320" t="str">
            <v>AS</v>
          </cell>
          <cell r="H1320" t="str">
            <v>ARRASMWTR</v>
          </cell>
          <cell r="I1320" t="str">
            <v>ARGT6096G012</v>
          </cell>
          <cell r="J1320" t="str">
            <v>50</v>
          </cell>
          <cell r="K1320" t="str">
            <v>TROUSER</v>
          </cell>
          <cell r="L1320" t="str">
            <v>NOD</v>
          </cell>
        </row>
        <row r="1321">
          <cell r="C1321" t="str">
            <v>ARGT6098G</v>
          </cell>
          <cell r="D1321" t="str">
            <v>CORE</v>
          </cell>
          <cell r="E1321" t="str">
            <v>CO26</v>
          </cell>
          <cell r="F1321">
            <v>3299</v>
          </cell>
          <cell r="G1321" t="str">
            <v>AS</v>
          </cell>
          <cell r="H1321" t="str">
            <v>ARRASMWTR</v>
          </cell>
          <cell r="I1321" t="str">
            <v>ARGT6098G001</v>
          </cell>
          <cell r="J1321" t="str">
            <v>28</v>
          </cell>
          <cell r="K1321" t="str">
            <v>TROUSER</v>
          </cell>
          <cell r="L1321" t="str">
            <v>NOD</v>
          </cell>
        </row>
        <row r="1322">
          <cell r="C1322" t="str">
            <v>ARGT6098G</v>
          </cell>
          <cell r="D1322" t="str">
            <v>CORE</v>
          </cell>
          <cell r="E1322" t="str">
            <v>CO26</v>
          </cell>
          <cell r="F1322">
            <v>3299</v>
          </cell>
          <cell r="G1322" t="str">
            <v>AS</v>
          </cell>
          <cell r="H1322" t="str">
            <v>ARRASMWTR</v>
          </cell>
          <cell r="I1322" t="str">
            <v>ARGT6098G002</v>
          </cell>
          <cell r="J1322" t="str">
            <v>30</v>
          </cell>
          <cell r="K1322" t="str">
            <v>TROUSER</v>
          </cell>
          <cell r="L1322" t="str">
            <v>NOD</v>
          </cell>
        </row>
        <row r="1323">
          <cell r="C1323" t="str">
            <v>ARGT6098G</v>
          </cell>
          <cell r="D1323" t="str">
            <v>CORE</v>
          </cell>
          <cell r="E1323" t="str">
            <v>CO26</v>
          </cell>
          <cell r="F1323">
            <v>3299</v>
          </cell>
          <cell r="G1323" t="str">
            <v>AS</v>
          </cell>
          <cell r="H1323" t="str">
            <v>ARRASMWTR</v>
          </cell>
          <cell r="I1323" t="str">
            <v>ARGT6098G003</v>
          </cell>
          <cell r="J1323" t="str">
            <v>32</v>
          </cell>
          <cell r="K1323" t="str">
            <v>TROUSER</v>
          </cell>
          <cell r="L1323" t="str">
            <v>NOD</v>
          </cell>
        </row>
        <row r="1324">
          <cell r="C1324" t="str">
            <v>ARGT6098G</v>
          </cell>
          <cell r="D1324" t="str">
            <v>CORE</v>
          </cell>
          <cell r="E1324" t="str">
            <v>CO26</v>
          </cell>
          <cell r="F1324">
            <v>3299</v>
          </cell>
          <cell r="G1324" t="str">
            <v>AS</v>
          </cell>
          <cell r="H1324" t="str">
            <v>ARRASMWTR</v>
          </cell>
          <cell r="I1324" t="str">
            <v>ARGT6098G004</v>
          </cell>
          <cell r="J1324" t="str">
            <v>34</v>
          </cell>
          <cell r="K1324" t="str">
            <v>TROUSER</v>
          </cell>
          <cell r="L1324" t="str">
            <v>NOD</v>
          </cell>
        </row>
        <row r="1325">
          <cell r="C1325" t="str">
            <v>ARGT6098G</v>
          </cell>
          <cell r="D1325" t="str">
            <v>CORE</v>
          </cell>
          <cell r="E1325" t="str">
            <v>CO26</v>
          </cell>
          <cell r="F1325">
            <v>3299</v>
          </cell>
          <cell r="G1325" t="str">
            <v>AS</v>
          </cell>
          <cell r="H1325" t="str">
            <v>ARRASMWTR</v>
          </cell>
          <cell r="I1325" t="str">
            <v>ARGT6098G005</v>
          </cell>
          <cell r="J1325" t="str">
            <v>36</v>
          </cell>
          <cell r="K1325" t="str">
            <v>TROUSER</v>
          </cell>
          <cell r="L1325" t="str">
            <v>NOD</v>
          </cell>
        </row>
        <row r="1326">
          <cell r="C1326" t="str">
            <v>ARGT6098G</v>
          </cell>
          <cell r="D1326" t="str">
            <v>CORE</v>
          </cell>
          <cell r="E1326" t="str">
            <v>CO26</v>
          </cell>
          <cell r="F1326">
            <v>3299</v>
          </cell>
          <cell r="G1326" t="str">
            <v>AS</v>
          </cell>
          <cell r="H1326" t="str">
            <v>ARRASMWTR</v>
          </cell>
          <cell r="I1326" t="str">
            <v>ARGT6098G006</v>
          </cell>
          <cell r="J1326" t="str">
            <v>38</v>
          </cell>
          <cell r="K1326" t="str">
            <v>TROUSER</v>
          </cell>
          <cell r="L1326" t="str">
            <v>NOD</v>
          </cell>
        </row>
        <row r="1327">
          <cell r="C1327" t="str">
            <v>ARGT6098G</v>
          </cell>
          <cell r="D1327" t="str">
            <v>CORE</v>
          </cell>
          <cell r="E1327" t="str">
            <v>CO26</v>
          </cell>
          <cell r="F1327">
            <v>3299</v>
          </cell>
          <cell r="G1327" t="str">
            <v>AS</v>
          </cell>
          <cell r="H1327" t="str">
            <v>ARRASMWTR</v>
          </cell>
          <cell r="I1327" t="str">
            <v>ARGT6098G007</v>
          </cell>
          <cell r="J1327" t="str">
            <v>40</v>
          </cell>
          <cell r="K1327" t="str">
            <v>TROUSER</v>
          </cell>
          <cell r="L1327" t="str">
            <v>NOD</v>
          </cell>
        </row>
        <row r="1328">
          <cell r="C1328" t="str">
            <v>ARGT6098G</v>
          </cell>
          <cell r="D1328" t="str">
            <v>CORE</v>
          </cell>
          <cell r="E1328" t="str">
            <v>CO26</v>
          </cell>
          <cell r="F1328">
            <v>3499</v>
          </cell>
          <cell r="G1328" t="str">
            <v>AS</v>
          </cell>
          <cell r="H1328" t="str">
            <v>ARRASMWTR</v>
          </cell>
          <cell r="I1328" t="str">
            <v>ARGT6098G008</v>
          </cell>
          <cell r="J1328" t="str">
            <v>42</v>
          </cell>
          <cell r="K1328" t="str">
            <v>TROUSER</v>
          </cell>
          <cell r="L1328" t="str">
            <v>NOD</v>
          </cell>
        </row>
        <row r="1329">
          <cell r="C1329" t="str">
            <v>ARGT6098G</v>
          </cell>
          <cell r="D1329" t="str">
            <v>CORE</v>
          </cell>
          <cell r="E1329" t="str">
            <v>CO26</v>
          </cell>
          <cell r="F1329">
            <v>3499</v>
          </cell>
          <cell r="G1329" t="str">
            <v>AS</v>
          </cell>
          <cell r="H1329" t="str">
            <v>ARRASMWTR</v>
          </cell>
          <cell r="I1329" t="str">
            <v>ARGT6098G009</v>
          </cell>
          <cell r="J1329" t="str">
            <v>44</v>
          </cell>
          <cell r="K1329" t="str">
            <v>TROUSER</v>
          </cell>
          <cell r="L1329" t="str">
            <v>NOD</v>
          </cell>
        </row>
        <row r="1330">
          <cell r="C1330" t="str">
            <v>ARGT6098G</v>
          </cell>
          <cell r="D1330" t="str">
            <v>CORE</v>
          </cell>
          <cell r="E1330" t="str">
            <v>CO26</v>
          </cell>
          <cell r="F1330">
            <v>3499</v>
          </cell>
          <cell r="G1330" t="str">
            <v>AS</v>
          </cell>
          <cell r="H1330" t="str">
            <v>ARRASMWTR</v>
          </cell>
          <cell r="I1330" t="str">
            <v>ARGT6098G010</v>
          </cell>
          <cell r="J1330" t="str">
            <v>46</v>
          </cell>
          <cell r="K1330" t="str">
            <v>TROUSER</v>
          </cell>
          <cell r="L1330" t="str">
            <v>NOD</v>
          </cell>
        </row>
        <row r="1331">
          <cell r="C1331" t="str">
            <v>ARGT6098G</v>
          </cell>
          <cell r="D1331" t="str">
            <v>CORE</v>
          </cell>
          <cell r="E1331" t="str">
            <v>CO26</v>
          </cell>
          <cell r="F1331">
            <v>3499</v>
          </cell>
          <cell r="G1331" t="str">
            <v>AS</v>
          </cell>
          <cell r="H1331" t="str">
            <v>ARRASMWTR</v>
          </cell>
          <cell r="I1331" t="str">
            <v>ARGT6098G011</v>
          </cell>
          <cell r="J1331" t="str">
            <v>48</v>
          </cell>
          <cell r="K1331" t="str">
            <v>TROUSER</v>
          </cell>
          <cell r="L1331" t="str">
            <v>NOD</v>
          </cell>
        </row>
        <row r="1332">
          <cell r="C1332" t="str">
            <v>ARGT6098G</v>
          </cell>
          <cell r="D1332" t="str">
            <v>CORE</v>
          </cell>
          <cell r="E1332" t="str">
            <v>CO26</v>
          </cell>
          <cell r="F1332">
            <v>3499</v>
          </cell>
          <cell r="G1332" t="str">
            <v>AS</v>
          </cell>
          <cell r="H1332" t="str">
            <v>ARRASMWTR</v>
          </cell>
          <cell r="I1332" t="str">
            <v>ARGT6098G012</v>
          </cell>
          <cell r="J1332" t="str">
            <v>50</v>
          </cell>
          <cell r="K1332" t="str">
            <v>TROUSER</v>
          </cell>
          <cell r="L1332" t="str">
            <v>NOD</v>
          </cell>
        </row>
        <row r="1333">
          <cell r="C1333" t="str">
            <v>ARGT6100G</v>
          </cell>
          <cell r="D1333" t="str">
            <v>CORE</v>
          </cell>
          <cell r="E1333" t="str">
            <v>CO26</v>
          </cell>
          <cell r="F1333">
            <v>2499</v>
          </cell>
          <cell r="G1333" t="str">
            <v>AS</v>
          </cell>
          <cell r="H1333" t="str">
            <v>ARRASMWTR</v>
          </cell>
          <cell r="I1333" t="str">
            <v>ARGT6100G001</v>
          </cell>
          <cell r="J1333" t="str">
            <v>28</v>
          </cell>
          <cell r="K1333" t="str">
            <v>TROUSER</v>
          </cell>
          <cell r="L1333" t="str">
            <v>NOD</v>
          </cell>
        </row>
        <row r="1334">
          <cell r="C1334" t="str">
            <v>ARGT6100G</v>
          </cell>
          <cell r="D1334" t="str">
            <v>CORE</v>
          </cell>
          <cell r="E1334" t="str">
            <v>CO26</v>
          </cell>
          <cell r="F1334">
            <v>2499</v>
          </cell>
          <cell r="G1334" t="str">
            <v>AS</v>
          </cell>
          <cell r="H1334" t="str">
            <v>ARRASMWTR</v>
          </cell>
          <cell r="I1334" t="str">
            <v>ARGT6100G002</v>
          </cell>
          <cell r="J1334" t="str">
            <v>30</v>
          </cell>
          <cell r="K1334" t="str">
            <v>TROUSER</v>
          </cell>
          <cell r="L1334" t="str">
            <v>NOD</v>
          </cell>
        </row>
        <row r="1335">
          <cell r="C1335" t="str">
            <v>ARGT6100G</v>
          </cell>
          <cell r="D1335" t="str">
            <v>CORE</v>
          </cell>
          <cell r="E1335" t="str">
            <v>CO26</v>
          </cell>
          <cell r="F1335">
            <v>2499</v>
          </cell>
          <cell r="G1335" t="str">
            <v>AS</v>
          </cell>
          <cell r="H1335" t="str">
            <v>ARRASMWTR</v>
          </cell>
          <cell r="I1335" t="str">
            <v>ARGT6100G003</v>
          </cell>
          <cell r="J1335" t="str">
            <v>32</v>
          </cell>
          <cell r="K1335" t="str">
            <v>TROUSER</v>
          </cell>
          <cell r="L1335" t="str">
            <v>NOD</v>
          </cell>
        </row>
        <row r="1336">
          <cell r="C1336" t="str">
            <v>ARGT6100G</v>
          </cell>
          <cell r="D1336" t="str">
            <v>CORE</v>
          </cell>
          <cell r="E1336" t="str">
            <v>CO26</v>
          </cell>
          <cell r="F1336">
            <v>2499</v>
          </cell>
          <cell r="G1336" t="str">
            <v>AS</v>
          </cell>
          <cell r="H1336" t="str">
            <v>ARRASMWTR</v>
          </cell>
          <cell r="I1336" t="str">
            <v>ARGT6100G004</v>
          </cell>
          <cell r="J1336" t="str">
            <v>34</v>
          </cell>
          <cell r="K1336" t="str">
            <v>TROUSER</v>
          </cell>
          <cell r="L1336" t="str">
            <v>NOD</v>
          </cell>
        </row>
        <row r="1337">
          <cell r="C1337" t="str">
            <v>ARGT6100G</v>
          </cell>
          <cell r="D1337" t="str">
            <v>CORE</v>
          </cell>
          <cell r="E1337" t="str">
            <v>CO26</v>
          </cell>
          <cell r="F1337">
            <v>2499</v>
          </cell>
          <cell r="G1337" t="str">
            <v>AS</v>
          </cell>
          <cell r="H1337" t="str">
            <v>ARRASMWTR</v>
          </cell>
          <cell r="I1337" t="str">
            <v>ARGT6100G005</v>
          </cell>
          <cell r="J1337" t="str">
            <v>36</v>
          </cell>
          <cell r="K1337" t="str">
            <v>TROUSER</v>
          </cell>
          <cell r="L1337" t="str">
            <v>NOD</v>
          </cell>
        </row>
        <row r="1338">
          <cell r="C1338" t="str">
            <v>ARGT6100G</v>
          </cell>
          <cell r="D1338" t="str">
            <v>CORE</v>
          </cell>
          <cell r="E1338" t="str">
            <v>CO26</v>
          </cell>
          <cell r="F1338">
            <v>2499</v>
          </cell>
          <cell r="G1338" t="str">
            <v>AS</v>
          </cell>
          <cell r="H1338" t="str">
            <v>ARRASMWTR</v>
          </cell>
          <cell r="I1338" t="str">
            <v>ARGT6100G006</v>
          </cell>
          <cell r="J1338" t="str">
            <v>38</v>
          </cell>
          <cell r="K1338" t="str">
            <v>TROUSER</v>
          </cell>
          <cell r="L1338" t="str">
            <v>NOD</v>
          </cell>
        </row>
        <row r="1339">
          <cell r="C1339" t="str">
            <v>ARGT6100G</v>
          </cell>
          <cell r="D1339" t="str">
            <v>CORE</v>
          </cell>
          <cell r="E1339" t="str">
            <v>CO26</v>
          </cell>
          <cell r="F1339">
            <v>2499</v>
          </cell>
          <cell r="G1339" t="str">
            <v>AS</v>
          </cell>
          <cell r="H1339" t="str">
            <v>ARRASMWTR</v>
          </cell>
          <cell r="I1339" t="str">
            <v>ARGT6100G007</v>
          </cell>
          <cell r="J1339" t="str">
            <v>40</v>
          </cell>
          <cell r="K1339" t="str">
            <v>TROUSER</v>
          </cell>
          <cell r="L1339" t="str">
            <v>NOD</v>
          </cell>
        </row>
        <row r="1340">
          <cell r="C1340" t="str">
            <v>ARGT6100G</v>
          </cell>
          <cell r="D1340" t="str">
            <v>CORE</v>
          </cell>
          <cell r="E1340" t="str">
            <v>CO26</v>
          </cell>
          <cell r="F1340">
            <v>2599</v>
          </cell>
          <cell r="G1340" t="str">
            <v>AS</v>
          </cell>
          <cell r="H1340" t="str">
            <v>ARRASMWTR</v>
          </cell>
          <cell r="I1340" t="str">
            <v>ARGT6100G008</v>
          </cell>
          <cell r="J1340" t="str">
            <v>42</v>
          </cell>
          <cell r="K1340" t="str">
            <v>TROUSER</v>
          </cell>
          <cell r="L1340" t="str">
            <v>NOD</v>
          </cell>
        </row>
        <row r="1341">
          <cell r="C1341" t="str">
            <v>ARGT6100G</v>
          </cell>
          <cell r="D1341" t="str">
            <v>CORE</v>
          </cell>
          <cell r="E1341" t="str">
            <v>CO26</v>
          </cell>
          <cell r="F1341">
            <v>2599</v>
          </cell>
          <cell r="G1341" t="str">
            <v>AS</v>
          </cell>
          <cell r="H1341" t="str">
            <v>ARRASMWTR</v>
          </cell>
          <cell r="I1341" t="str">
            <v>ARGT6100G009</v>
          </cell>
          <cell r="J1341" t="str">
            <v>44</v>
          </cell>
          <cell r="K1341" t="str">
            <v>TROUSER</v>
          </cell>
          <cell r="L1341" t="str">
            <v>NOD</v>
          </cell>
        </row>
        <row r="1342">
          <cell r="C1342" t="str">
            <v>ARGT6100G</v>
          </cell>
          <cell r="D1342" t="str">
            <v>CORE</v>
          </cell>
          <cell r="E1342" t="str">
            <v>CO26</v>
          </cell>
          <cell r="F1342">
            <v>2599</v>
          </cell>
          <cell r="G1342" t="str">
            <v>AS</v>
          </cell>
          <cell r="H1342" t="str">
            <v>ARRASMWTR</v>
          </cell>
          <cell r="I1342" t="str">
            <v>ARGT6100G010</v>
          </cell>
          <cell r="J1342" t="str">
            <v>46</v>
          </cell>
          <cell r="K1342" t="str">
            <v>TROUSER</v>
          </cell>
          <cell r="L1342" t="str">
            <v>NOD</v>
          </cell>
        </row>
        <row r="1343">
          <cell r="C1343" t="str">
            <v>ARGT6100G</v>
          </cell>
          <cell r="D1343" t="str">
            <v>CORE</v>
          </cell>
          <cell r="E1343" t="str">
            <v>CO26</v>
          </cell>
          <cell r="F1343">
            <v>2599</v>
          </cell>
          <cell r="G1343" t="str">
            <v>AS</v>
          </cell>
          <cell r="H1343" t="str">
            <v>ARRASMWTR</v>
          </cell>
          <cell r="I1343" t="str">
            <v>ARGT6100G011</v>
          </cell>
          <cell r="J1343" t="str">
            <v>48</v>
          </cell>
          <cell r="K1343" t="str">
            <v>TROUSER</v>
          </cell>
          <cell r="L1343" t="str">
            <v>NOD</v>
          </cell>
        </row>
        <row r="1344">
          <cell r="C1344" t="str">
            <v>ARGT6100G</v>
          </cell>
          <cell r="D1344" t="str">
            <v>CORE</v>
          </cell>
          <cell r="E1344" t="str">
            <v>CO26</v>
          </cell>
          <cell r="F1344">
            <v>2599</v>
          </cell>
          <cell r="G1344" t="str">
            <v>AS</v>
          </cell>
          <cell r="H1344" t="str">
            <v>ARRASMWTR</v>
          </cell>
          <cell r="I1344" t="str">
            <v>ARGT6100G012</v>
          </cell>
          <cell r="J1344" t="str">
            <v>50</v>
          </cell>
          <cell r="K1344" t="str">
            <v>TROUSER</v>
          </cell>
          <cell r="L1344" t="str">
            <v>NOD</v>
          </cell>
        </row>
        <row r="1345">
          <cell r="C1345" t="str">
            <v>ARGT6102G</v>
          </cell>
          <cell r="D1345" t="str">
            <v>CORE</v>
          </cell>
          <cell r="E1345" t="str">
            <v>CO26</v>
          </cell>
          <cell r="F1345">
            <v>2499</v>
          </cell>
          <cell r="G1345" t="str">
            <v>AS</v>
          </cell>
          <cell r="H1345" t="str">
            <v>ARRASMWTR</v>
          </cell>
          <cell r="I1345" t="str">
            <v>ARGT6102G001</v>
          </cell>
          <cell r="J1345" t="str">
            <v>28</v>
          </cell>
          <cell r="K1345" t="str">
            <v>TROUSER</v>
          </cell>
          <cell r="L1345" t="str">
            <v>NOD</v>
          </cell>
        </row>
        <row r="1346">
          <cell r="C1346" t="str">
            <v>ARGT6102G</v>
          </cell>
          <cell r="D1346" t="str">
            <v>CORE</v>
          </cell>
          <cell r="E1346" t="str">
            <v>CO26</v>
          </cell>
          <cell r="F1346">
            <v>2499</v>
          </cell>
          <cell r="G1346" t="str">
            <v>AS</v>
          </cell>
          <cell r="H1346" t="str">
            <v>ARRASMWTR</v>
          </cell>
          <cell r="I1346" t="str">
            <v>ARGT6102G002</v>
          </cell>
          <cell r="J1346" t="str">
            <v>30</v>
          </cell>
          <cell r="K1346" t="str">
            <v>TROUSER</v>
          </cell>
          <cell r="L1346" t="str">
            <v>NOD</v>
          </cell>
        </row>
        <row r="1347">
          <cell r="C1347" t="str">
            <v>ARGT6102G</v>
          </cell>
          <cell r="D1347" t="str">
            <v>CORE</v>
          </cell>
          <cell r="E1347" t="str">
            <v>CO26</v>
          </cell>
          <cell r="F1347">
            <v>2499</v>
          </cell>
          <cell r="G1347" t="str">
            <v>AS</v>
          </cell>
          <cell r="H1347" t="str">
            <v>ARRASMWTR</v>
          </cell>
          <cell r="I1347" t="str">
            <v>ARGT6102G003</v>
          </cell>
          <cell r="J1347" t="str">
            <v>32</v>
          </cell>
          <cell r="K1347" t="str">
            <v>TROUSER</v>
          </cell>
          <cell r="L1347" t="str">
            <v>NOD</v>
          </cell>
        </row>
        <row r="1348">
          <cell r="C1348" t="str">
            <v>ARGT6102G</v>
          </cell>
          <cell r="D1348" t="str">
            <v>CORE</v>
          </cell>
          <cell r="E1348" t="str">
            <v>CO26</v>
          </cell>
          <cell r="F1348">
            <v>2499</v>
          </cell>
          <cell r="G1348" t="str">
            <v>AS</v>
          </cell>
          <cell r="H1348" t="str">
            <v>ARRASMWTR</v>
          </cell>
          <cell r="I1348" t="str">
            <v>ARGT6102G004</v>
          </cell>
          <cell r="J1348" t="str">
            <v>34</v>
          </cell>
          <cell r="K1348" t="str">
            <v>TROUSER</v>
          </cell>
          <cell r="L1348" t="str">
            <v>NOD</v>
          </cell>
        </row>
        <row r="1349">
          <cell r="C1349" t="str">
            <v>ARGT6102G</v>
          </cell>
          <cell r="D1349" t="str">
            <v>CORE</v>
          </cell>
          <cell r="E1349" t="str">
            <v>CO26</v>
          </cell>
          <cell r="F1349">
            <v>2499</v>
          </cell>
          <cell r="G1349" t="str">
            <v>AS</v>
          </cell>
          <cell r="H1349" t="str">
            <v>ARRASMWTR</v>
          </cell>
          <cell r="I1349" t="str">
            <v>ARGT6102G005</v>
          </cell>
          <cell r="J1349" t="str">
            <v>36</v>
          </cell>
          <cell r="K1349" t="str">
            <v>TROUSER</v>
          </cell>
          <cell r="L1349" t="str">
            <v>NOD</v>
          </cell>
        </row>
        <row r="1350">
          <cell r="C1350" t="str">
            <v>ARGT6102G</v>
          </cell>
          <cell r="D1350" t="str">
            <v>CORE</v>
          </cell>
          <cell r="E1350" t="str">
            <v>CO26</v>
          </cell>
          <cell r="F1350">
            <v>2499</v>
          </cell>
          <cell r="G1350" t="str">
            <v>AS</v>
          </cell>
          <cell r="H1350" t="str">
            <v>ARRASMWTR</v>
          </cell>
          <cell r="I1350" t="str">
            <v>ARGT6102G006</v>
          </cell>
          <cell r="J1350" t="str">
            <v>38</v>
          </cell>
          <cell r="K1350" t="str">
            <v>TROUSER</v>
          </cell>
          <cell r="L1350" t="str">
            <v>NOD</v>
          </cell>
        </row>
        <row r="1351">
          <cell r="C1351" t="str">
            <v>ARGT6102G</v>
          </cell>
          <cell r="D1351" t="str">
            <v>CORE</v>
          </cell>
          <cell r="E1351" t="str">
            <v>CO26</v>
          </cell>
          <cell r="F1351">
            <v>2499</v>
          </cell>
          <cell r="G1351" t="str">
            <v>AS</v>
          </cell>
          <cell r="H1351" t="str">
            <v>ARRASMWTR</v>
          </cell>
          <cell r="I1351" t="str">
            <v>ARGT6102G007</v>
          </cell>
          <cell r="J1351" t="str">
            <v>40</v>
          </cell>
          <cell r="K1351" t="str">
            <v>TROUSER</v>
          </cell>
          <cell r="L1351" t="str">
            <v>NOD</v>
          </cell>
        </row>
        <row r="1352">
          <cell r="C1352" t="str">
            <v>ARGT6102G</v>
          </cell>
          <cell r="D1352" t="str">
            <v>CORE</v>
          </cell>
          <cell r="E1352" t="str">
            <v>CO26</v>
          </cell>
          <cell r="F1352">
            <v>2599</v>
          </cell>
          <cell r="G1352" t="str">
            <v>AS</v>
          </cell>
          <cell r="H1352" t="str">
            <v>ARRASMWTR</v>
          </cell>
          <cell r="I1352" t="str">
            <v>ARGT6102G008</v>
          </cell>
          <cell r="J1352" t="str">
            <v>42</v>
          </cell>
          <cell r="K1352" t="str">
            <v>TROUSER</v>
          </cell>
          <cell r="L1352" t="str">
            <v>NOD</v>
          </cell>
        </row>
        <row r="1353">
          <cell r="C1353" t="str">
            <v>ARGT6102G</v>
          </cell>
          <cell r="D1353" t="str">
            <v>CORE</v>
          </cell>
          <cell r="E1353" t="str">
            <v>CO26</v>
          </cell>
          <cell r="F1353">
            <v>2599</v>
          </cell>
          <cell r="G1353" t="str">
            <v>AS</v>
          </cell>
          <cell r="H1353" t="str">
            <v>ARRASMWTR</v>
          </cell>
          <cell r="I1353" t="str">
            <v>ARGT6102G009</v>
          </cell>
          <cell r="J1353" t="str">
            <v>44</v>
          </cell>
          <cell r="K1353" t="str">
            <v>TROUSER</v>
          </cell>
          <cell r="L1353" t="str">
            <v>NOD</v>
          </cell>
        </row>
        <row r="1354">
          <cell r="C1354" t="str">
            <v>ARGT6102G</v>
          </cell>
          <cell r="D1354" t="str">
            <v>CORE</v>
          </cell>
          <cell r="E1354" t="str">
            <v>CO26</v>
          </cell>
          <cell r="F1354">
            <v>2599</v>
          </cell>
          <cell r="G1354" t="str">
            <v>AS</v>
          </cell>
          <cell r="H1354" t="str">
            <v>ARRASMWTR</v>
          </cell>
          <cell r="I1354" t="str">
            <v>ARGT6102G010</v>
          </cell>
          <cell r="J1354" t="str">
            <v>46</v>
          </cell>
          <cell r="K1354" t="str">
            <v>TROUSER</v>
          </cell>
          <cell r="L1354" t="str">
            <v>NOD</v>
          </cell>
        </row>
        <row r="1355">
          <cell r="C1355" t="str">
            <v>ARGT6102G</v>
          </cell>
          <cell r="D1355" t="str">
            <v>CORE</v>
          </cell>
          <cell r="E1355" t="str">
            <v>CO26</v>
          </cell>
          <cell r="F1355">
            <v>2599</v>
          </cell>
          <cell r="G1355" t="str">
            <v>AS</v>
          </cell>
          <cell r="H1355" t="str">
            <v>ARRASMWTR</v>
          </cell>
          <cell r="I1355" t="str">
            <v>ARGT6102G011</v>
          </cell>
          <cell r="J1355" t="str">
            <v>48</v>
          </cell>
          <cell r="K1355" t="str">
            <v>TROUSER</v>
          </cell>
          <cell r="L1355" t="str">
            <v>NOD</v>
          </cell>
        </row>
        <row r="1356">
          <cell r="C1356" t="str">
            <v>ARGT6102G</v>
          </cell>
          <cell r="D1356" t="str">
            <v>CORE</v>
          </cell>
          <cell r="E1356" t="str">
            <v>CO26</v>
          </cell>
          <cell r="F1356">
            <v>2599</v>
          </cell>
          <cell r="G1356" t="str">
            <v>AS</v>
          </cell>
          <cell r="H1356" t="str">
            <v>ARRASMWTR</v>
          </cell>
          <cell r="I1356" t="str">
            <v>ARGT6102G012</v>
          </cell>
          <cell r="J1356" t="str">
            <v>50</v>
          </cell>
          <cell r="K1356" t="str">
            <v>TROUSER</v>
          </cell>
          <cell r="L1356" t="str">
            <v>NOD</v>
          </cell>
        </row>
        <row r="1357">
          <cell r="C1357" t="str">
            <v>ARGT6104G</v>
          </cell>
          <cell r="D1357" t="str">
            <v>CORE</v>
          </cell>
          <cell r="E1357" t="str">
            <v>CO26</v>
          </cell>
          <cell r="F1357">
            <v>2499</v>
          </cell>
          <cell r="G1357" t="str">
            <v>AS</v>
          </cell>
          <cell r="H1357" t="str">
            <v>ARRASMWTR</v>
          </cell>
          <cell r="I1357" t="str">
            <v>ARGT6104G001</v>
          </cell>
          <cell r="J1357" t="str">
            <v>28</v>
          </cell>
          <cell r="K1357" t="str">
            <v>TROUSER</v>
          </cell>
          <cell r="L1357" t="str">
            <v>NOD</v>
          </cell>
        </row>
        <row r="1358">
          <cell r="C1358" t="str">
            <v>ARGT6104G</v>
          </cell>
          <cell r="D1358" t="str">
            <v>CORE</v>
          </cell>
          <cell r="E1358" t="str">
            <v>CO26</v>
          </cell>
          <cell r="F1358">
            <v>2499</v>
          </cell>
          <cell r="G1358" t="str">
            <v>AS</v>
          </cell>
          <cell r="H1358" t="str">
            <v>ARRASMWTR</v>
          </cell>
          <cell r="I1358" t="str">
            <v>ARGT6104G002</v>
          </cell>
          <cell r="J1358" t="str">
            <v>30</v>
          </cell>
          <cell r="K1358" t="str">
            <v>TROUSER</v>
          </cell>
          <cell r="L1358" t="str">
            <v>NOD</v>
          </cell>
        </row>
        <row r="1359">
          <cell r="C1359" t="str">
            <v>ARGT6104G</v>
          </cell>
          <cell r="D1359" t="str">
            <v>CORE</v>
          </cell>
          <cell r="E1359" t="str">
            <v>CO26</v>
          </cell>
          <cell r="F1359">
            <v>2499</v>
          </cell>
          <cell r="G1359" t="str">
            <v>AS</v>
          </cell>
          <cell r="H1359" t="str">
            <v>ARRASMWTR</v>
          </cell>
          <cell r="I1359" t="str">
            <v>ARGT6104G003</v>
          </cell>
          <cell r="J1359" t="str">
            <v>32</v>
          </cell>
          <cell r="K1359" t="str">
            <v>TROUSER</v>
          </cell>
          <cell r="L1359" t="str">
            <v>NOD</v>
          </cell>
        </row>
        <row r="1360">
          <cell r="C1360" t="str">
            <v>ARGT6104G</v>
          </cell>
          <cell r="D1360" t="str">
            <v>CORE</v>
          </cell>
          <cell r="E1360" t="str">
            <v>CO26</v>
          </cell>
          <cell r="F1360">
            <v>2499</v>
          </cell>
          <cell r="G1360" t="str">
            <v>AS</v>
          </cell>
          <cell r="H1360" t="str">
            <v>ARRASMWTR</v>
          </cell>
          <cell r="I1360" t="str">
            <v>ARGT6104G004</v>
          </cell>
          <cell r="J1360" t="str">
            <v>34</v>
          </cell>
          <cell r="K1360" t="str">
            <v>TROUSER</v>
          </cell>
          <cell r="L1360" t="str">
            <v>NOD</v>
          </cell>
        </row>
        <row r="1361">
          <cell r="C1361" t="str">
            <v>ARGT6104G</v>
          </cell>
          <cell r="D1361" t="str">
            <v>CORE</v>
          </cell>
          <cell r="E1361" t="str">
            <v>CO26</v>
          </cell>
          <cell r="F1361">
            <v>2499</v>
          </cell>
          <cell r="G1361" t="str">
            <v>AS</v>
          </cell>
          <cell r="H1361" t="str">
            <v>ARRASMWTR</v>
          </cell>
          <cell r="I1361" t="str">
            <v>ARGT6104G005</v>
          </cell>
          <cell r="J1361" t="str">
            <v>36</v>
          </cell>
          <cell r="K1361" t="str">
            <v>TROUSER</v>
          </cell>
          <cell r="L1361" t="str">
            <v>NOD</v>
          </cell>
        </row>
        <row r="1362">
          <cell r="C1362" t="str">
            <v>ARGT6104G</v>
          </cell>
          <cell r="D1362" t="str">
            <v>CORE</v>
          </cell>
          <cell r="E1362" t="str">
            <v>CO26</v>
          </cell>
          <cell r="F1362">
            <v>2499</v>
          </cell>
          <cell r="G1362" t="str">
            <v>AS</v>
          </cell>
          <cell r="H1362" t="str">
            <v>ARRASMWTR</v>
          </cell>
          <cell r="I1362" t="str">
            <v>ARGT6104G006</v>
          </cell>
          <cell r="J1362" t="str">
            <v>38</v>
          </cell>
          <cell r="K1362" t="str">
            <v>TROUSER</v>
          </cell>
          <cell r="L1362" t="str">
            <v>NOD</v>
          </cell>
        </row>
        <row r="1363">
          <cell r="C1363" t="str">
            <v>ARGT6104G</v>
          </cell>
          <cell r="D1363" t="str">
            <v>CORE</v>
          </cell>
          <cell r="E1363" t="str">
            <v>CO26</v>
          </cell>
          <cell r="F1363">
            <v>2499</v>
          </cell>
          <cell r="G1363" t="str">
            <v>AS</v>
          </cell>
          <cell r="H1363" t="str">
            <v>ARRASMWTR</v>
          </cell>
          <cell r="I1363" t="str">
            <v>ARGT6104G007</v>
          </cell>
          <cell r="J1363" t="str">
            <v>40</v>
          </cell>
          <cell r="K1363" t="str">
            <v>TROUSER</v>
          </cell>
          <cell r="L1363" t="str">
            <v>NOD</v>
          </cell>
        </row>
        <row r="1364">
          <cell r="C1364" t="str">
            <v>ARGT6104G</v>
          </cell>
          <cell r="D1364" t="str">
            <v>CORE</v>
          </cell>
          <cell r="E1364" t="str">
            <v>CO26</v>
          </cell>
          <cell r="F1364">
            <v>2599</v>
          </cell>
          <cell r="G1364" t="str">
            <v>AS</v>
          </cell>
          <cell r="H1364" t="str">
            <v>ARRASMWTR</v>
          </cell>
          <cell r="I1364" t="str">
            <v>ARGT6104G008</v>
          </cell>
          <cell r="J1364" t="str">
            <v>42</v>
          </cell>
          <cell r="K1364" t="str">
            <v>TROUSER</v>
          </cell>
          <cell r="L1364" t="str">
            <v>NOD</v>
          </cell>
        </row>
        <row r="1365">
          <cell r="C1365" t="str">
            <v>ARGT6104G</v>
          </cell>
          <cell r="D1365" t="str">
            <v>CORE</v>
          </cell>
          <cell r="E1365" t="str">
            <v>CO26</v>
          </cell>
          <cell r="F1365">
            <v>2599</v>
          </cell>
          <cell r="G1365" t="str">
            <v>AS</v>
          </cell>
          <cell r="H1365" t="str">
            <v>ARRASMWTR</v>
          </cell>
          <cell r="I1365" t="str">
            <v>ARGT6104G009</v>
          </cell>
          <cell r="J1365" t="str">
            <v>44</v>
          </cell>
          <cell r="K1365" t="str">
            <v>TROUSER</v>
          </cell>
          <cell r="L1365" t="str">
            <v>NOD</v>
          </cell>
        </row>
        <row r="1366">
          <cell r="C1366" t="str">
            <v>ARGT6104G</v>
          </cell>
          <cell r="D1366" t="str">
            <v>CORE</v>
          </cell>
          <cell r="E1366" t="str">
            <v>CO26</v>
          </cell>
          <cell r="F1366">
            <v>2599</v>
          </cell>
          <cell r="G1366" t="str">
            <v>AS</v>
          </cell>
          <cell r="H1366" t="str">
            <v>ARRASMWTR</v>
          </cell>
          <cell r="I1366" t="str">
            <v>ARGT6104G010</v>
          </cell>
          <cell r="J1366" t="str">
            <v>46</v>
          </cell>
          <cell r="K1366" t="str">
            <v>TROUSER</v>
          </cell>
          <cell r="L1366" t="str">
            <v>NOD</v>
          </cell>
        </row>
        <row r="1367">
          <cell r="C1367" t="str">
            <v>ARGT6104G</v>
          </cell>
          <cell r="D1367" t="str">
            <v>CORE</v>
          </cell>
          <cell r="E1367" t="str">
            <v>CO26</v>
          </cell>
          <cell r="F1367">
            <v>2599</v>
          </cell>
          <cell r="G1367" t="str">
            <v>AS</v>
          </cell>
          <cell r="H1367" t="str">
            <v>ARRASMWTR</v>
          </cell>
          <cell r="I1367" t="str">
            <v>ARGT6104G011</v>
          </cell>
          <cell r="J1367" t="str">
            <v>48</v>
          </cell>
          <cell r="K1367" t="str">
            <v>TROUSER</v>
          </cell>
          <cell r="L1367" t="str">
            <v>NOD</v>
          </cell>
        </row>
        <row r="1368">
          <cell r="C1368" t="str">
            <v>ARGT6104G</v>
          </cell>
          <cell r="D1368" t="str">
            <v>CORE</v>
          </cell>
          <cell r="E1368" t="str">
            <v>CO26</v>
          </cell>
          <cell r="F1368">
            <v>2599</v>
          </cell>
          <cell r="G1368" t="str">
            <v>AS</v>
          </cell>
          <cell r="H1368" t="str">
            <v>ARRASMWTR</v>
          </cell>
          <cell r="I1368" t="str">
            <v>ARGT6104G012</v>
          </cell>
          <cell r="J1368" t="str">
            <v>50</v>
          </cell>
          <cell r="K1368" t="str">
            <v>TROUSER</v>
          </cell>
          <cell r="L1368" t="str">
            <v>NOD</v>
          </cell>
        </row>
        <row r="1369">
          <cell r="C1369" t="str">
            <v>ARGT6106G</v>
          </cell>
          <cell r="D1369" t="str">
            <v>CORE</v>
          </cell>
          <cell r="E1369" t="str">
            <v>CO26</v>
          </cell>
          <cell r="F1369">
            <v>2499</v>
          </cell>
          <cell r="G1369" t="str">
            <v>AS</v>
          </cell>
          <cell r="H1369" t="str">
            <v>ARRASMWTR</v>
          </cell>
          <cell r="I1369" t="str">
            <v>ARGT6106G001</v>
          </cell>
          <cell r="J1369" t="str">
            <v>28</v>
          </cell>
          <cell r="K1369" t="str">
            <v>TROUSER</v>
          </cell>
          <cell r="L1369" t="str">
            <v>NOD</v>
          </cell>
        </row>
        <row r="1370">
          <cell r="C1370" t="str">
            <v>ARGT6106G</v>
          </cell>
          <cell r="D1370" t="str">
            <v>CORE</v>
          </cell>
          <cell r="E1370" t="str">
            <v>CO26</v>
          </cell>
          <cell r="F1370">
            <v>2499</v>
          </cell>
          <cell r="G1370" t="str">
            <v>AS</v>
          </cell>
          <cell r="H1370" t="str">
            <v>ARRASMWTR</v>
          </cell>
          <cell r="I1370" t="str">
            <v>ARGT6106G002</v>
          </cell>
          <cell r="J1370" t="str">
            <v>30</v>
          </cell>
          <cell r="K1370" t="str">
            <v>TROUSER</v>
          </cell>
          <cell r="L1370" t="str">
            <v>NOD</v>
          </cell>
        </row>
        <row r="1371">
          <cell r="C1371" t="str">
            <v>ARGT6106G</v>
          </cell>
          <cell r="D1371" t="str">
            <v>CORE</v>
          </cell>
          <cell r="E1371" t="str">
            <v>CO26</v>
          </cell>
          <cell r="F1371">
            <v>2499</v>
          </cell>
          <cell r="G1371" t="str">
            <v>AS</v>
          </cell>
          <cell r="H1371" t="str">
            <v>ARRASMWTR</v>
          </cell>
          <cell r="I1371" t="str">
            <v>ARGT6106G003</v>
          </cell>
          <cell r="J1371" t="str">
            <v>32</v>
          </cell>
          <cell r="K1371" t="str">
            <v>TROUSER</v>
          </cell>
          <cell r="L1371" t="str">
            <v>NOD</v>
          </cell>
        </row>
        <row r="1372">
          <cell r="C1372" t="str">
            <v>ARGT6106G</v>
          </cell>
          <cell r="D1372" t="str">
            <v>CORE</v>
          </cell>
          <cell r="E1372" t="str">
            <v>CO26</v>
          </cell>
          <cell r="F1372">
            <v>2499</v>
          </cell>
          <cell r="G1372" t="str">
            <v>AS</v>
          </cell>
          <cell r="H1372" t="str">
            <v>ARRASMWTR</v>
          </cell>
          <cell r="I1372" t="str">
            <v>ARGT6106G004</v>
          </cell>
          <cell r="J1372" t="str">
            <v>34</v>
          </cell>
          <cell r="K1372" t="str">
            <v>TROUSER</v>
          </cell>
          <cell r="L1372" t="str">
            <v>NOD</v>
          </cell>
        </row>
        <row r="1373">
          <cell r="C1373" t="str">
            <v>ARGT6106G</v>
          </cell>
          <cell r="D1373" t="str">
            <v>CORE</v>
          </cell>
          <cell r="E1373" t="str">
            <v>CO26</v>
          </cell>
          <cell r="F1373">
            <v>2499</v>
          </cell>
          <cell r="G1373" t="str">
            <v>AS</v>
          </cell>
          <cell r="H1373" t="str">
            <v>ARRASMWTR</v>
          </cell>
          <cell r="I1373" t="str">
            <v>ARGT6106G005</v>
          </cell>
          <cell r="J1373" t="str">
            <v>36</v>
          </cell>
          <cell r="K1373" t="str">
            <v>TROUSER</v>
          </cell>
          <cell r="L1373" t="str">
            <v>NOD</v>
          </cell>
        </row>
        <row r="1374">
          <cell r="C1374" t="str">
            <v>ARGT6106G</v>
          </cell>
          <cell r="D1374" t="str">
            <v>CORE</v>
          </cell>
          <cell r="E1374" t="str">
            <v>CO26</v>
          </cell>
          <cell r="F1374">
            <v>2499</v>
          </cell>
          <cell r="G1374" t="str">
            <v>AS</v>
          </cell>
          <cell r="H1374" t="str">
            <v>ARRASMWTR</v>
          </cell>
          <cell r="I1374" t="str">
            <v>ARGT6106G006</v>
          </cell>
          <cell r="J1374" t="str">
            <v>38</v>
          </cell>
          <cell r="K1374" t="str">
            <v>TROUSER</v>
          </cell>
          <cell r="L1374" t="str">
            <v>NOD</v>
          </cell>
        </row>
        <row r="1375">
          <cell r="C1375" t="str">
            <v>ARGT6106G</v>
          </cell>
          <cell r="D1375" t="str">
            <v>CORE</v>
          </cell>
          <cell r="E1375" t="str">
            <v>CO26</v>
          </cell>
          <cell r="F1375">
            <v>2499</v>
          </cell>
          <cell r="G1375" t="str">
            <v>AS</v>
          </cell>
          <cell r="H1375" t="str">
            <v>ARRASMWTR</v>
          </cell>
          <cell r="I1375" t="str">
            <v>ARGT6106G007</v>
          </cell>
          <cell r="J1375" t="str">
            <v>40</v>
          </cell>
          <cell r="K1375" t="str">
            <v>TROUSER</v>
          </cell>
          <cell r="L1375" t="str">
            <v>NOD</v>
          </cell>
        </row>
        <row r="1376">
          <cell r="C1376" t="str">
            <v>ARGT6106G</v>
          </cell>
          <cell r="D1376" t="str">
            <v>CORE</v>
          </cell>
          <cell r="E1376" t="str">
            <v>CO26</v>
          </cell>
          <cell r="F1376">
            <v>2599</v>
          </cell>
          <cell r="G1376" t="str">
            <v>AS</v>
          </cell>
          <cell r="H1376" t="str">
            <v>ARRASMWTR</v>
          </cell>
          <cell r="I1376" t="str">
            <v>ARGT6106G008</v>
          </cell>
          <cell r="J1376" t="str">
            <v>42</v>
          </cell>
          <cell r="K1376" t="str">
            <v>TROUSER</v>
          </cell>
          <cell r="L1376" t="str">
            <v>NOD</v>
          </cell>
        </row>
        <row r="1377">
          <cell r="C1377" t="str">
            <v>ARGT6106G</v>
          </cell>
          <cell r="D1377" t="str">
            <v>CORE</v>
          </cell>
          <cell r="E1377" t="str">
            <v>CO26</v>
          </cell>
          <cell r="F1377">
            <v>2599</v>
          </cell>
          <cell r="G1377" t="str">
            <v>AS</v>
          </cell>
          <cell r="H1377" t="str">
            <v>ARRASMWTR</v>
          </cell>
          <cell r="I1377" t="str">
            <v>ARGT6106G009</v>
          </cell>
          <cell r="J1377" t="str">
            <v>44</v>
          </cell>
          <cell r="K1377" t="str">
            <v>TROUSER</v>
          </cell>
          <cell r="L1377" t="str">
            <v>NOD</v>
          </cell>
        </row>
        <row r="1378">
          <cell r="C1378" t="str">
            <v>ARGT6106G</v>
          </cell>
          <cell r="D1378" t="str">
            <v>CORE</v>
          </cell>
          <cell r="E1378" t="str">
            <v>CO26</v>
          </cell>
          <cell r="F1378">
            <v>2599</v>
          </cell>
          <cell r="G1378" t="str">
            <v>AS</v>
          </cell>
          <cell r="H1378" t="str">
            <v>ARRASMWTR</v>
          </cell>
          <cell r="I1378" t="str">
            <v>ARGT6106G010</v>
          </cell>
          <cell r="J1378" t="str">
            <v>46</v>
          </cell>
          <cell r="K1378" t="str">
            <v>TROUSER</v>
          </cell>
          <cell r="L1378" t="str">
            <v>NOD</v>
          </cell>
        </row>
        <row r="1379">
          <cell r="C1379" t="str">
            <v>ARGT6106G</v>
          </cell>
          <cell r="D1379" t="str">
            <v>CORE</v>
          </cell>
          <cell r="E1379" t="str">
            <v>CO26</v>
          </cell>
          <cell r="F1379">
            <v>2599</v>
          </cell>
          <cell r="G1379" t="str">
            <v>AS</v>
          </cell>
          <cell r="H1379" t="str">
            <v>ARRASMWTR</v>
          </cell>
          <cell r="I1379" t="str">
            <v>ARGT6106G011</v>
          </cell>
          <cell r="J1379" t="str">
            <v>48</v>
          </cell>
          <cell r="K1379" t="str">
            <v>TROUSER</v>
          </cell>
          <cell r="L1379" t="str">
            <v>NOD</v>
          </cell>
        </row>
        <row r="1380">
          <cell r="C1380" t="str">
            <v>ARGT6106G</v>
          </cell>
          <cell r="D1380" t="str">
            <v>CORE</v>
          </cell>
          <cell r="E1380" t="str">
            <v>CO26</v>
          </cell>
          <cell r="F1380">
            <v>2599</v>
          </cell>
          <cell r="G1380" t="str">
            <v>AS</v>
          </cell>
          <cell r="H1380" t="str">
            <v>ARRASMWTR</v>
          </cell>
          <cell r="I1380" t="str">
            <v>ARGT6106G012</v>
          </cell>
          <cell r="J1380" t="str">
            <v>50</v>
          </cell>
          <cell r="K1380" t="str">
            <v>TROUSER</v>
          </cell>
          <cell r="L1380" t="str">
            <v>NOD</v>
          </cell>
        </row>
        <row r="1381">
          <cell r="C1381" t="str">
            <v>ARGT6108G</v>
          </cell>
          <cell r="D1381" t="str">
            <v>CORE</v>
          </cell>
          <cell r="E1381" t="str">
            <v>CO26</v>
          </cell>
          <cell r="F1381">
            <v>2499</v>
          </cell>
          <cell r="G1381" t="str">
            <v>AS</v>
          </cell>
          <cell r="H1381" t="str">
            <v>ARRASMWTR</v>
          </cell>
          <cell r="I1381" t="str">
            <v>ARGT6108G001</v>
          </cell>
          <cell r="J1381" t="str">
            <v>28</v>
          </cell>
          <cell r="K1381" t="str">
            <v>TROUSER</v>
          </cell>
          <cell r="L1381" t="str">
            <v>NOD</v>
          </cell>
        </row>
        <row r="1382">
          <cell r="C1382" t="str">
            <v>ARGT6108G</v>
          </cell>
          <cell r="D1382" t="str">
            <v>CORE</v>
          </cell>
          <cell r="E1382" t="str">
            <v>CO26</v>
          </cell>
          <cell r="F1382">
            <v>2499</v>
          </cell>
          <cell r="G1382" t="str">
            <v>AS</v>
          </cell>
          <cell r="H1382" t="str">
            <v>ARRASMWTR</v>
          </cell>
          <cell r="I1382" t="str">
            <v>ARGT6108G002</v>
          </cell>
          <cell r="J1382" t="str">
            <v>30</v>
          </cell>
          <cell r="K1382" t="str">
            <v>TROUSER</v>
          </cell>
          <cell r="L1382" t="str">
            <v>NOD</v>
          </cell>
        </row>
        <row r="1383">
          <cell r="C1383" t="str">
            <v>ARGT6108G</v>
          </cell>
          <cell r="D1383" t="str">
            <v>CORE</v>
          </cell>
          <cell r="E1383" t="str">
            <v>CO26</v>
          </cell>
          <cell r="F1383">
            <v>2499</v>
          </cell>
          <cell r="G1383" t="str">
            <v>AS</v>
          </cell>
          <cell r="H1383" t="str">
            <v>ARRASMWTR</v>
          </cell>
          <cell r="I1383" t="str">
            <v>ARGT6108G003</v>
          </cell>
          <cell r="J1383" t="str">
            <v>32</v>
          </cell>
          <cell r="K1383" t="str">
            <v>TROUSER</v>
          </cell>
          <cell r="L1383" t="str">
            <v>NOD</v>
          </cell>
        </row>
        <row r="1384">
          <cell r="C1384" t="str">
            <v>ARGT6108G</v>
          </cell>
          <cell r="D1384" t="str">
            <v>CORE</v>
          </cell>
          <cell r="E1384" t="str">
            <v>CO26</v>
          </cell>
          <cell r="F1384">
            <v>2499</v>
          </cell>
          <cell r="G1384" t="str">
            <v>AS</v>
          </cell>
          <cell r="H1384" t="str">
            <v>ARRASMWTR</v>
          </cell>
          <cell r="I1384" t="str">
            <v>ARGT6108G004</v>
          </cell>
          <cell r="J1384" t="str">
            <v>34</v>
          </cell>
          <cell r="K1384" t="str">
            <v>TROUSER</v>
          </cell>
          <cell r="L1384" t="str">
            <v>NOD</v>
          </cell>
        </row>
        <row r="1385">
          <cell r="C1385" t="str">
            <v>ARGT6108G</v>
          </cell>
          <cell r="D1385" t="str">
            <v>CORE</v>
          </cell>
          <cell r="E1385" t="str">
            <v>CO26</v>
          </cell>
          <cell r="F1385">
            <v>2499</v>
          </cell>
          <cell r="G1385" t="str">
            <v>AS</v>
          </cell>
          <cell r="H1385" t="str">
            <v>ARRASMWTR</v>
          </cell>
          <cell r="I1385" t="str">
            <v>ARGT6108G005</v>
          </cell>
          <cell r="J1385" t="str">
            <v>36</v>
          </cell>
          <cell r="K1385" t="str">
            <v>TROUSER</v>
          </cell>
          <cell r="L1385" t="str">
            <v>NOD</v>
          </cell>
        </row>
        <row r="1386">
          <cell r="C1386" t="str">
            <v>ARGT6108G</v>
          </cell>
          <cell r="D1386" t="str">
            <v>CORE</v>
          </cell>
          <cell r="E1386" t="str">
            <v>CO26</v>
          </cell>
          <cell r="F1386">
            <v>2499</v>
          </cell>
          <cell r="G1386" t="str">
            <v>AS</v>
          </cell>
          <cell r="H1386" t="str">
            <v>ARRASMWTR</v>
          </cell>
          <cell r="I1386" t="str">
            <v>ARGT6108G006</v>
          </cell>
          <cell r="J1386" t="str">
            <v>38</v>
          </cell>
          <cell r="K1386" t="str">
            <v>TROUSER</v>
          </cell>
          <cell r="L1386" t="str">
            <v>NOD</v>
          </cell>
        </row>
        <row r="1387">
          <cell r="C1387" t="str">
            <v>ARGT6108G</v>
          </cell>
          <cell r="D1387" t="str">
            <v>CORE</v>
          </cell>
          <cell r="E1387" t="str">
            <v>CO26</v>
          </cell>
          <cell r="F1387">
            <v>2499</v>
          </cell>
          <cell r="G1387" t="str">
            <v>AS</v>
          </cell>
          <cell r="H1387" t="str">
            <v>ARRASMWTR</v>
          </cell>
          <cell r="I1387" t="str">
            <v>ARGT6108G007</v>
          </cell>
          <cell r="J1387" t="str">
            <v>40</v>
          </cell>
          <cell r="K1387" t="str">
            <v>TROUSER</v>
          </cell>
          <cell r="L1387" t="str">
            <v>NOD</v>
          </cell>
        </row>
        <row r="1388">
          <cell r="C1388" t="str">
            <v>ARGT6108G</v>
          </cell>
          <cell r="D1388" t="str">
            <v>CORE</v>
          </cell>
          <cell r="E1388" t="str">
            <v>CO26</v>
          </cell>
          <cell r="F1388">
            <v>2599</v>
          </cell>
          <cell r="G1388" t="str">
            <v>AS</v>
          </cell>
          <cell r="H1388" t="str">
            <v>ARRASMWTR</v>
          </cell>
          <cell r="I1388" t="str">
            <v>ARGT6108G008</v>
          </cell>
          <cell r="J1388" t="str">
            <v>42</v>
          </cell>
          <cell r="K1388" t="str">
            <v>TROUSER</v>
          </cell>
          <cell r="L1388" t="str">
            <v>NOD</v>
          </cell>
        </row>
        <row r="1389">
          <cell r="C1389" t="str">
            <v>ARGT6108G</v>
          </cell>
          <cell r="D1389" t="str">
            <v>CORE</v>
          </cell>
          <cell r="E1389" t="str">
            <v>CO26</v>
          </cell>
          <cell r="F1389">
            <v>2599</v>
          </cell>
          <cell r="G1389" t="str">
            <v>AS</v>
          </cell>
          <cell r="H1389" t="str">
            <v>ARRASMWTR</v>
          </cell>
          <cell r="I1389" t="str">
            <v>ARGT6108G009</v>
          </cell>
          <cell r="J1389" t="str">
            <v>44</v>
          </cell>
          <cell r="K1389" t="str">
            <v>TROUSER</v>
          </cell>
          <cell r="L1389" t="str">
            <v>NOD</v>
          </cell>
        </row>
        <row r="1390">
          <cell r="C1390" t="str">
            <v>ARGT6108G</v>
          </cell>
          <cell r="D1390" t="str">
            <v>CORE</v>
          </cell>
          <cell r="E1390" t="str">
            <v>CO26</v>
          </cell>
          <cell r="F1390">
            <v>2599</v>
          </cell>
          <cell r="G1390" t="str">
            <v>AS</v>
          </cell>
          <cell r="H1390" t="str">
            <v>ARRASMWTR</v>
          </cell>
          <cell r="I1390" t="str">
            <v>ARGT6108G010</v>
          </cell>
          <cell r="J1390" t="str">
            <v>46</v>
          </cell>
          <cell r="K1390" t="str">
            <v>TROUSER</v>
          </cell>
          <cell r="L1390" t="str">
            <v>NOD</v>
          </cell>
        </row>
        <row r="1391">
          <cell r="C1391" t="str">
            <v>ARGT6108G</v>
          </cell>
          <cell r="D1391" t="str">
            <v>CORE</v>
          </cell>
          <cell r="E1391" t="str">
            <v>CO26</v>
          </cell>
          <cell r="F1391">
            <v>2599</v>
          </cell>
          <cell r="G1391" t="str">
            <v>AS</v>
          </cell>
          <cell r="H1391" t="str">
            <v>ARRASMWTR</v>
          </cell>
          <cell r="I1391" t="str">
            <v>ARGT6108G011</v>
          </cell>
          <cell r="J1391" t="str">
            <v>48</v>
          </cell>
          <cell r="K1391" t="str">
            <v>TROUSER</v>
          </cell>
          <cell r="L1391" t="str">
            <v>NOD</v>
          </cell>
        </row>
        <row r="1392">
          <cell r="C1392" t="str">
            <v>ARGT6108G</v>
          </cell>
          <cell r="D1392" t="str">
            <v>CORE</v>
          </cell>
          <cell r="E1392" t="str">
            <v>CO26</v>
          </cell>
          <cell r="F1392">
            <v>2599</v>
          </cell>
          <cell r="G1392" t="str">
            <v>AS</v>
          </cell>
          <cell r="H1392" t="str">
            <v>ARRASMWTR</v>
          </cell>
          <cell r="I1392" t="str">
            <v>ARGT6108G012</v>
          </cell>
          <cell r="J1392" t="str">
            <v>50</v>
          </cell>
          <cell r="K1392" t="str">
            <v>TROUSER</v>
          </cell>
          <cell r="L1392" t="str">
            <v>NOD</v>
          </cell>
        </row>
        <row r="1393">
          <cell r="C1393" t="str">
            <v>ARGT6118G</v>
          </cell>
          <cell r="D1393" t="str">
            <v>CORE</v>
          </cell>
          <cell r="E1393" t="str">
            <v>CO26</v>
          </cell>
          <cell r="F1393">
            <v>2599</v>
          </cell>
          <cell r="G1393" t="str">
            <v>AR</v>
          </cell>
          <cell r="H1393" t="str">
            <v>ARRARMWTR</v>
          </cell>
          <cell r="I1393" t="str">
            <v>ARGT6118G001</v>
          </cell>
          <cell r="J1393" t="str">
            <v>28</v>
          </cell>
          <cell r="K1393" t="str">
            <v>TROUSER</v>
          </cell>
          <cell r="L1393" t="str">
            <v>NOD</v>
          </cell>
        </row>
        <row r="1394">
          <cell r="C1394" t="str">
            <v>ARGT6118G</v>
          </cell>
          <cell r="D1394" t="str">
            <v>CORE</v>
          </cell>
          <cell r="E1394" t="str">
            <v>CO26</v>
          </cell>
          <cell r="F1394">
            <v>2599</v>
          </cell>
          <cell r="G1394" t="str">
            <v>AR</v>
          </cell>
          <cell r="H1394" t="str">
            <v>ARRARMWTR</v>
          </cell>
          <cell r="I1394" t="str">
            <v>ARGT6118G002</v>
          </cell>
          <cell r="J1394" t="str">
            <v>30</v>
          </cell>
          <cell r="K1394" t="str">
            <v>TROUSER</v>
          </cell>
          <cell r="L1394" t="str">
            <v>NOD</v>
          </cell>
        </row>
        <row r="1395">
          <cell r="C1395" t="str">
            <v>ARGT6118G</v>
          </cell>
          <cell r="D1395" t="str">
            <v>CORE</v>
          </cell>
          <cell r="E1395" t="str">
            <v>CO26</v>
          </cell>
          <cell r="F1395">
            <v>2599</v>
          </cell>
          <cell r="G1395" t="str">
            <v>AR</v>
          </cell>
          <cell r="H1395" t="str">
            <v>ARRARMWTR</v>
          </cell>
          <cell r="I1395" t="str">
            <v>ARGT6118G003</v>
          </cell>
          <cell r="J1395" t="str">
            <v>32</v>
          </cell>
          <cell r="K1395" t="str">
            <v>TROUSER</v>
          </cell>
          <cell r="L1395" t="str">
            <v>NOD</v>
          </cell>
        </row>
        <row r="1396">
          <cell r="C1396" t="str">
            <v>ARGT6118G</v>
          </cell>
          <cell r="D1396" t="str">
            <v>CORE</v>
          </cell>
          <cell r="E1396" t="str">
            <v>CO26</v>
          </cell>
          <cell r="F1396">
            <v>2599</v>
          </cell>
          <cell r="G1396" t="str">
            <v>AR</v>
          </cell>
          <cell r="H1396" t="str">
            <v>ARRARMWTR</v>
          </cell>
          <cell r="I1396" t="str">
            <v>ARGT6118G004</v>
          </cell>
          <cell r="J1396" t="str">
            <v>34</v>
          </cell>
          <cell r="K1396" t="str">
            <v>TROUSER</v>
          </cell>
          <cell r="L1396" t="str">
            <v>NOD</v>
          </cell>
        </row>
        <row r="1397">
          <cell r="C1397" t="str">
            <v>ARGT6118G</v>
          </cell>
          <cell r="D1397" t="str">
            <v>CORE</v>
          </cell>
          <cell r="E1397" t="str">
            <v>CO26</v>
          </cell>
          <cell r="F1397">
            <v>2599</v>
          </cell>
          <cell r="G1397" t="str">
            <v>AR</v>
          </cell>
          <cell r="H1397" t="str">
            <v>ARRARMWTR</v>
          </cell>
          <cell r="I1397" t="str">
            <v>ARGT6118G005</v>
          </cell>
          <cell r="J1397" t="str">
            <v>36</v>
          </cell>
          <cell r="K1397" t="str">
            <v>TROUSER</v>
          </cell>
          <cell r="L1397" t="str">
            <v>NOD</v>
          </cell>
        </row>
        <row r="1398">
          <cell r="C1398" t="str">
            <v>ARGT6118G</v>
          </cell>
          <cell r="D1398" t="str">
            <v>CORE</v>
          </cell>
          <cell r="E1398" t="str">
            <v>CO26</v>
          </cell>
          <cell r="F1398">
            <v>2599</v>
          </cell>
          <cell r="G1398" t="str">
            <v>AR</v>
          </cell>
          <cell r="H1398" t="str">
            <v>ARRARMWTR</v>
          </cell>
          <cell r="I1398" t="str">
            <v>ARGT6118G006</v>
          </cell>
          <cell r="J1398" t="str">
            <v>38</v>
          </cell>
          <cell r="K1398" t="str">
            <v>TROUSER</v>
          </cell>
          <cell r="L1398" t="str">
            <v>NOD</v>
          </cell>
        </row>
        <row r="1399">
          <cell r="C1399" t="str">
            <v>ARGT6118G</v>
          </cell>
          <cell r="D1399" t="str">
            <v>CORE</v>
          </cell>
          <cell r="E1399" t="str">
            <v>CO26</v>
          </cell>
          <cell r="F1399">
            <v>2599</v>
          </cell>
          <cell r="G1399" t="str">
            <v>AR</v>
          </cell>
          <cell r="H1399" t="str">
            <v>ARRARMWTR</v>
          </cell>
          <cell r="I1399" t="str">
            <v>ARGT6118G007</v>
          </cell>
          <cell r="J1399" t="str">
            <v>40</v>
          </cell>
          <cell r="K1399" t="str">
            <v>TROUSER</v>
          </cell>
          <cell r="L1399" t="str">
            <v>NOD</v>
          </cell>
        </row>
        <row r="1400">
          <cell r="C1400" t="str">
            <v>ARGT6118G</v>
          </cell>
          <cell r="D1400" t="str">
            <v>CORE</v>
          </cell>
          <cell r="E1400" t="str">
            <v>CO26</v>
          </cell>
          <cell r="F1400">
            <v>2599</v>
          </cell>
          <cell r="G1400" t="str">
            <v>AR</v>
          </cell>
          <cell r="H1400" t="str">
            <v>ARRARMWTR</v>
          </cell>
          <cell r="I1400" t="str">
            <v>ARGT6118G008</v>
          </cell>
          <cell r="J1400" t="str">
            <v>42</v>
          </cell>
          <cell r="K1400" t="str">
            <v>TROUSER</v>
          </cell>
          <cell r="L1400" t="str">
            <v>NOD</v>
          </cell>
        </row>
        <row r="1401">
          <cell r="C1401" t="str">
            <v>ARGT6118G</v>
          </cell>
          <cell r="D1401" t="str">
            <v>CORE</v>
          </cell>
          <cell r="E1401" t="str">
            <v>CO26</v>
          </cell>
          <cell r="F1401">
            <v>2599</v>
          </cell>
          <cell r="G1401" t="str">
            <v>AR</v>
          </cell>
          <cell r="H1401" t="str">
            <v>ARRARMWTR</v>
          </cell>
          <cell r="I1401" t="str">
            <v>ARGT6118G009</v>
          </cell>
          <cell r="J1401" t="str">
            <v>44</v>
          </cell>
          <cell r="K1401" t="str">
            <v>TROUSER</v>
          </cell>
          <cell r="L1401" t="str">
            <v>NOD</v>
          </cell>
        </row>
        <row r="1402">
          <cell r="C1402" t="str">
            <v>ARGT6118G</v>
          </cell>
          <cell r="D1402" t="str">
            <v>CORE</v>
          </cell>
          <cell r="E1402" t="str">
            <v>CO26</v>
          </cell>
          <cell r="F1402">
            <v>2599</v>
          </cell>
          <cell r="G1402" t="str">
            <v>AR</v>
          </cell>
          <cell r="H1402" t="str">
            <v>ARRARMWTR</v>
          </cell>
          <cell r="I1402" t="str">
            <v>ARGT6118G010</v>
          </cell>
          <cell r="J1402" t="str">
            <v>46</v>
          </cell>
          <cell r="K1402" t="str">
            <v>TROUSER</v>
          </cell>
          <cell r="L1402" t="str">
            <v>NOD</v>
          </cell>
        </row>
        <row r="1403">
          <cell r="C1403" t="str">
            <v>ARGT6118G</v>
          </cell>
          <cell r="D1403" t="str">
            <v>CORE</v>
          </cell>
          <cell r="E1403" t="str">
            <v>CO26</v>
          </cell>
          <cell r="F1403">
            <v>2599</v>
          </cell>
          <cell r="G1403" t="str">
            <v>AR</v>
          </cell>
          <cell r="H1403" t="str">
            <v>ARRARMWTR</v>
          </cell>
          <cell r="I1403" t="str">
            <v>ARGT6118G011</v>
          </cell>
          <cell r="J1403" t="str">
            <v>48</v>
          </cell>
          <cell r="K1403" t="str">
            <v>TROUSER</v>
          </cell>
          <cell r="L1403" t="str">
            <v>NOD</v>
          </cell>
        </row>
        <row r="1404">
          <cell r="C1404" t="str">
            <v>ARGT6118G</v>
          </cell>
          <cell r="D1404" t="str">
            <v>CORE</v>
          </cell>
          <cell r="E1404" t="str">
            <v>CO26</v>
          </cell>
          <cell r="F1404">
            <v>2599</v>
          </cell>
          <cell r="G1404" t="str">
            <v>AR</v>
          </cell>
          <cell r="H1404" t="str">
            <v>ARRARMWTR</v>
          </cell>
          <cell r="I1404" t="str">
            <v>ARGT6118G012</v>
          </cell>
          <cell r="J1404" t="str">
            <v>50</v>
          </cell>
          <cell r="K1404" t="str">
            <v>TROUSER</v>
          </cell>
          <cell r="L1404" t="str">
            <v>NOD</v>
          </cell>
        </row>
        <row r="1405">
          <cell r="C1405" t="str">
            <v>ARGT6119G</v>
          </cell>
          <cell r="D1405" t="str">
            <v>CORE</v>
          </cell>
          <cell r="E1405" t="str">
            <v>CO26</v>
          </cell>
          <cell r="F1405">
            <v>2599</v>
          </cell>
          <cell r="G1405" t="str">
            <v>AR</v>
          </cell>
          <cell r="H1405" t="str">
            <v>ARRARMWTR</v>
          </cell>
          <cell r="I1405" t="str">
            <v>ARGT6119G001</v>
          </cell>
          <cell r="J1405" t="str">
            <v>28</v>
          </cell>
          <cell r="K1405" t="str">
            <v>TROUSER</v>
          </cell>
          <cell r="L1405" t="str">
            <v>NOD</v>
          </cell>
        </row>
        <row r="1406">
          <cell r="C1406" t="str">
            <v>ARGT6119G</v>
          </cell>
          <cell r="D1406" t="str">
            <v>CORE</v>
          </cell>
          <cell r="E1406" t="str">
            <v>CO26</v>
          </cell>
          <cell r="F1406">
            <v>2599</v>
          </cell>
          <cell r="G1406" t="str">
            <v>AR</v>
          </cell>
          <cell r="H1406" t="str">
            <v>ARRARMWTR</v>
          </cell>
          <cell r="I1406" t="str">
            <v>ARGT6119G002</v>
          </cell>
          <cell r="J1406" t="str">
            <v>30</v>
          </cell>
          <cell r="K1406" t="str">
            <v>TROUSER</v>
          </cell>
          <cell r="L1406" t="str">
            <v>NOD</v>
          </cell>
        </row>
        <row r="1407">
          <cell r="C1407" t="str">
            <v>ARGT6119G</v>
          </cell>
          <cell r="D1407" t="str">
            <v>CORE</v>
          </cell>
          <cell r="E1407" t="str">
            <v>CO26</v>
          </cell>
          <cell r="F1407">
            <v>2599</v>
          </cell>
          <cell r="G1407" t="str">
            <v>AR</v>
          </cell>
          <cell r="H1407" t="str">
            <v>ARRARMWTR</v>
          </cell>
          <cell r="I1407" t="str">
            <v>ARGT6119G003</v>
          </cell>
          <cell r="J1407" t="str">
            <v>32</v>
          </cell>
          <cell r="K1407" t="str">
            <v>TROUSER</v>
          </cell>
          <cell r="L1407" t="str">
            <v>NOD</v>
          </cell>
        </row>
        <row r="1408">
          <cell r="C1408" t="str">
            <v>ARGT6119G</v>
          </cell>
          <cell r="D1408" t="str">
            <v>CORE</v>
          </cell>
          <cell r="E1408" t="str">
            <v>CO26</v>
          </cell>
          <cell r="F1408">
            <v>2599</v>
          </cell>
          <cell r="G1408" t="str">
            <v>AR</v>
          </cell>
          <cell r="H1408" t="str">
            <v>ARRARMWTR</v>
          </cell>
          <cell r="I1408" t="str">
            <v>ARGT6119G004</v>
          </cell>
          <cell r="J1408" t="str">
            <v>34</v>
          </cell>
          <cell r="K1408" t="str">
            <v>TROUSER</v>
          </cell>
          <cell r="L1408" t="str">
            <v>NOD</v>
          </cell>
        </row>
        <row r="1409">
          <cell r="C1409" t="str">
            <v>ARGT6119G</v>
          </cell>
          <cell r="D1409" t="str">
            <v>CORE</v>
          </cell>
          <cell r="E1409" t="str">
            <v>CO26</v>
          </cell>
          <cell r="F1409">
            <v>2599</v>
          </cell>
          <cell r="G1409" t="str">
            <v>AR</v>
          </cell>
          <cell r="H1409" t="str">
            <v>ARRARMWTR</v>
          </cell>
          <cell r="I1409" t="str">
            <v>ARGT6119G005</v>
          </cell>
          <cell r="J1409" t="str">
            <v>36</v>
          </cell>
          <cell r="K1409" t="str">
            <v>TROUSER</v>
          </cell>
          <cell r="L1409" t="str">
            <v>NOD</v>
          </cell>
        </row>
        <row r="1410">
          <cell r="C1410" t="str">
            <v>ARGT6119G</v>
          </cell>
          <cell r="D1410" t="str">
            <v>CORE</v>
          </cell>
          <cell r="E1410" t="str">
            <v>CO26</v>
          </cell>
          <cell r="F1410">
            <v>2599</v>
          </cell>
          <cell r="G1410" t="str">
            <v>AR</v>
          </cell>
          <cell r="H1410" t="str">
            <v>ARRARMWTR</v>
          </cell>
          <cell r="I1410" t="str">
            <v>ARGT6119G006</v>
          </cell>
          <cell r="J1410" t="str">
            <v>38</v>
          </cell>
          <cell r="K1410" t="str">
            <v>TROUSER</v>
          </cell>
          <cell r="L1410" t="str">
            <v>NOD</v>
          </cell>
        </row>
        <row r="1411">
          <cell r="C1411" t="str">
            <v>ARGT6119G</v>
          </cell>
          <cell r="D1411" t="str">
            <v>CORE</v>
          </cell>
          <cell r="E1411" t="str">
            <v>CO26</v>
          </cell>
          <cell r="F1411">
            <v>2599</v>
          </cell>
          <cell r="G1411" t="str">
            <v>AR</v>
          </cell>
          <cell r="H1411" t="str">
            <v>ARRARMWTR</v>
          </cell>
          <cell r="I1411" t="str">
            <v>ARGT6119G007</v>
          </cell>
          <cell r="J1411" t="str">
            <v>40</v>
          </cell>
          <cell r="K1411" t="str">
            <v>TROUSER</v>
          </cell>
          <cell r="L1411" t="str">
            <v>NOD</v>
          </cell>
        </row>
        <row r="1412">
          <cell r="C1412" t="str">
            <v>ARGT6119G</v>
          </cell>
          <cell r="D1412" t="str">
            <v>CORE</v>
          </cell>
          <cell r="E1412" t="str">
            <v>CO26</v>
          </cell>
          <cell r="F1412">
            <v>2599</v>
          </cell>
          <cell r="G1412" t="str">
            <v>AR</v>
          </cell>
          <cell r="H1412" t="str">
            <v>ARRARMWTR</v>
          </cell>
          <cell r="I1412" t="str">
            <v>ARGT6119G008</v>
          </cell>
          <cell r="J1412" t="str">
            <v>42</v>
          </cell>
          <cell r="K1412" t="str">
            <v>TROUSER</v>
          </cell>
          <cell r="L1412" t="str">
            <v>NOD</v>
          </cell>
        </row>
        <row r="1413">
          <cell r="C1413" t="str">
            <v>ARGT6119G</v>
          </cell>
          <cell r="D1413" t="str">
            <v>CORE</v>
          </cell>
          <cell r="E1413" t="str">
            <v>CO26</v>
          </cell>
          <cell r="F1413">
            <v>2599</v>
          </cell>
          <cell r="G1413" t="str">
            <v>AR</v>
          </cell>
          <cell r="H1413" t="str">
            <v>ARRARMWTR</v>
          </cell>
          <cell r="I1413" t="str">
            <v>ARGT6119G009</v>
          </cell>
          <cell r="J1413" t="str">
            <v>44</v>
          </cell>
          <cell r="K1413" t="str">
            <v>TROUSER</v>
          </cell>
          <cell r="L1413" t="str">
            <v>NOD</v>
          </cell>
        </row>
        <row r="1414">
          <cell r="C1414" t="str">
            <v>ARGT6119G</v>
          </cell>
          <cell r="D1414" t="str">
            <v>CORE</v>
          </cell>
          <cell r="E1414" t="str">
            <v>CO26</v>
          </cell>
          <cell r="F1414">
            <v>2599</v>
          </cell>
          <cell r="G1414" t="str">
            <v>AR</v>
          </cell>
          <cell r="H1414" t="str">
            <v>ARRARMWTR</v>
          </cell>
          <cell r="I1414" t="str">
            <v>ARGT6119G010</v>
          </cell>
          <cell r="J1414" t="str">
            <v>46</v>
          </cell>
          <cell r="K1414" t="str">
            <v>TROUSER</v>
          </cell>
          <cell r="L1414" t="str">
            <v>NOD</v>
          </cell>
        </row>
        <row r="1415">
          <cell r="C1415" t="str">
            <v>ARGT6119G</v>
          </cell>
          <cell r="D1415" t="str">
            <v>CORE</v>
          </cell>
          <cell r="E1415" t="str">
            <v>CO26</v>
          </cell>
          <cell r="F1415">
            <v>2599</v>
          </cell>
          <cell r="G1415" t="str">
            <v>AR</v>
          </cell>
          <cell r="H1415" t="str">
            <v>ARRARMWTR</v>
          </cell>
          <cell r="I1415" t="str">
            <v>ARGT6119G011</v>
          </cell>
          <cell r="J1415" t="str">
            <v>48</v>
          </cell>
          <cell r="K1415" t="str">
            <v>TROUSER</v>
          </cell>
          <cell r="L1415" t="str">
            <v>NOD</v>
          </cell>
        </row>
        <row r="1416">
          <cell r="C1416" t="str">
            <v>ARGT6119G</v>
          </cell>
          <cell r="D1416" t="str">
            <v>CORE</v>
          </cell>
          <cell r="E1416" t="str">
            <v>CO26</v>
          </cell>
          <cell r="F1416">
            <v>2599</v>
          </cell>
          <cell r="G1416" t="str">
            <v>AR</v>
          </cell>
          <cell r="H1416" t="str">
            <v>ARRARMWTR</v>
          </cell>
          <cell r="I1416" t="str">
            <v>ARGT6119G012</v>
          </cell>
          <cell r="J1416" t="str">
            <v>50</v>
          </cell>
          <cell r="K1416" t="str">
            <v>TROUSER</v>
          </cell>
          <cell r="L1416" t="str">
            <v>NOD</v>
          </cell>
        </row>
        <row r="1417">
          <cell r="C1417" t="str">
            <v>ARGT6120G</v>
          </cell>
          <cell r="D1417" t="str">
            <v>CORE</v>
          </cell>
          <cell r="E1417" t="str">
            <v>CO26</v>
          </cell>
          <cell r="F1417">
            <v>2599</v>
          </cell>
          <cell r="G1417" t="str">
            <v>AR</v>
          </cell>
          <cell r="H1417" t="str">
            <v>ARRARMWTR</v>
          </cell>
          <cell r="I1417" t="str">
            <v>ARGT6120G001</v>
          </cell>
          <cell r="J1417" t="str">
            <v>28</v>
          </cell>
          <cell r="K1417" t="str">
            <v>TROUSER</v>
          </cell>
          <cell r="L1417" t="str">
            <v>NOD</v>
          </cell>
        </row>
        <row r="1418">
          <cell r="C1418" t="str">
            <v>ARGT6120G</v>
          </cell>
          <cell r="D1418" t="str">
            <v>CORE</v>
          </cell>
          <cell r="E1418" t="str">
            <v>CO26</v>
          </cell>
          <cell r="F1418">
            <v>2599</v>
          </cell>
          <cell r="G1418" t="str">
            <v>AR</v>
          </cell>
          <cell r="H1418" t="str">
            <v>ARRARMWTR</v>
          </cell>
          <cell r="I1418" t="str">
            <v>ARGT6120G002</v>
          </cell>
          <cell r="J1418" t="str">
            <v>30</v>
          </cell>
          <cell r="K1418" t="str">
            <v>TROUSER</v>
          </cell>
          <cell r="L1418" t="str">
            <v>NOD</v>
          </cell>
        </row>
        <row r="1419">
          <cell r="C1419" t="str">
            <v>ARGT6120G</v>
          </cell>
          <cell r="D1419" t="str">
            <v>CORE</v>
          </cell>
          <cell r="E1419" t="str">
            <v>CO26</v>
          </cell>
          <cell r="F1419">
            <v>2599</v>
          </cell>
          <cell r="G1419" t="str">
            <v>AR</v>
          </cell>
          <cell r="H1419" t="str">
            <v>ARRARMWTR</v>
          </cell>
          <cell r="I1419" t="str">
            <v>ARGT6120G003</v>
          </cell>
          <cell r="J1419" t="str">
            <v>32</v>
          </cell>
          <cell r="K1419" t="str">
            <v>TROUSER</v>
          </cell>
          <cell r="L1419" t="str">
            <v>NOD</v>
          </cell>
        </row>
        <row r="1420">
          <cell r="C1420" t="str">
            <v>ARGT6120G</v>
          </cell>
          <cell r="D1420" t="str">
            <v>CORE</v>
          </cell>
          <cell r="E1420" t="str">
            <v>CO26</v>
          </cell>
          <cell r="F1420">
            <v>2599</v>
          </cell>
          <cell r="G1420" t="str">
            <v>AR</v>
          </cell>
          <cell r="H1420" t="str">
            <v>ARRARMWTR</v>
          </cell>
          <cell r="I1420" t="str">
            <v>ARGT6120G004</v>
          </cell>
          <cell r="J1420" t="str">
            <v>34</v>
          </cell>
          <cell r="K1420" t="str">
            <v>TROUSER</v>
          </cell>
          <cell r="L1420" t="str">
            <v>NOD</v>
          </cell>
        </row>
        <row r="1421">
          <cell r="C1421" t="str">
            <v>ARGT6120G</v>
          </cell>
          <cell r="D1421" t="str">
            <v>CORE</v>
          </cell>
          <cell r="E1421" t="str">
            <v>CO26</v>
          </cell>
          <cell r="F1421">
            <v>2599</v>
          </cell>
          <cell r="G1421" t="str">
            <v>AR</v>
          </cell>
          <cell r="H1421" t="str">
            <v>ARRARMWTR</v>
          </cell>
          <cell r="I1421" t="str">
            <v>ARGT6120G005</v>
          </cell>
          <cell r="J1421" t="str">
            <v>36</v>
          </cell>
          <cell r="K1421" t="str">
            <v>TROUSER</v>
          </cell>
          <cell r="L1421" t="str">
            <v>NOD</v>
          </cell>
        </row>
        <row r="1422">
          <cell r="C1422" t="str">
            <v>ARGT6120G</v>
          </cell>
          <cell r="D1422" t="str">
            <v>CORE</v>
          </cell>
          <cell r="E1422" t="str">
            <v>CO26</v>
          </cell>
          <cell r="F1422">
            <v>2599</v>
          </cell>
          <cell r="G1422" t="str">
            <v>AR</v>
          </cell>
          <cell r="H1422" t="str">
            <v>ARRARMWTR</v>
          </cell>
          <cell r="I1422" t="str">
            <v>ARGT6120G006</v>
          </cell>
          <cell r="J1422" t="str">
            <v>38</v>
          </cell>
          <cell r="K1422" t="str">
            <v>TROUSER</v>
          </cell>
          <cell r="L1422" t="str">
            <v>NOD</v>
          </cell>
        </row>
        <row r="1423">
          <cell r="C1423" t="str">
            <v>ARGT6120G</v>
          </cell>
          <cell r="D1423" t="str">
            <v>CORE</v>
          </cell>
          <cell r="E1423" t="str">
            <v>CO26</v>
          </cell>
          <cell r="F1423">
            <v>2599</v>
          </cell>
          <cell r="G1423" t="str">
            <v>AR</v>
          </cell>
          <cell r="H1423" t="str">
            <v>ARRARMWTR</v>
          </cell>
          <cell r="I1423" t="str">
            <v>ARGT6120G007</v>
          </cell>
          <cell r="J1423" t="str">
            <v>40</v>
          </cell>
          <cell r="K1423" t="str">
            <v>TROUSER</v>
          </cell>
          <cell r="L1423" t="str">
            <v>NOD</v>
          </cell>
        </row>
        <row r="1424">
          <cell r="C1424" t="str">
            <v>ARGT6120G</v>
          </cell>
          <cell r="D1424" t="str">
            <v>CORE</v>
          </cell>
          <cell r="E1424" t="str">
            <v>CO26</v>
          </cell>
          <cell r="F1424">
            <v>2599</v>
          </cell>
          <cell r="G1424" t="str">
            <v>AR</v>
          </cell>
          <cell r="H1424" t="str">
            <v>ARRARMWTR</v>
          </cell>
          <cell r="I1424" t="str">
            <v>ARGT6120G008</v>
          </cell>
          <cell r="J1424" t="str">
            <v>42</v>
          </cell>
          <cell r="K1424" t="str">
            <v>TROUSER</v>
          </cell>
          <cell r="L1424" t="str">
            <v>NOD</v>
          </cell>
        </row>
        <row r="1425">
          <cell r="C1425" t="str">
            <v>ARGT6120G</v>
          </cell>
          <cell r="D1425" t="str">
            <v>CORE</v>
          </cell>
          <cell r="E1425" t="str">
            <v>CO26</v>
          </cell>
          <cell r="F1425">
            <v>2599</v>
          </cell>
          <cell r="G1425" t="str">
            <v>AR</v>
          </cell>
          <cell r="H1425" t="str">
            <v>ARRARMWTR</v>
          </cell>
          <cell r="I1425" t="str">
            <v>ARGT6120G009</v>
          </cell>
          <cell r="J1425" t="str">
            <v>44</v>
          </cell>
          <cell r="K1425" t="str">
            <v>TROUSER</v>
          </cell>
          <cell r="L1425" t="str">
            <v>NOD</v>
          </cell>
        </row>
        <row r="1426">
          <cell r="C1426" t="str">
            <v>ARGT6120G</v>
          </cell>
          <cell r="D1426" t="str">
            <v>CORE</v>
          </cell>
          <cell r="E1426" t="str">
            <v>CO26</v>
          </cell>
          <cell r="F1426">
            <v>2599</v>
          </cell>
          <cell r="G1426" t="str">
            <v>AR</v>
          </cell>
          <cell r="H1426" t="str">
            <v>ARRARMWTR</v>
          </cell>
          <cell r="I1426" t="str">
            <v>ARGT6120G010</v>
          </cell>
          <cell r="J1426" t="str">
            <v>46</v>
          </cell>
          <cell r="K1426" t="str">
            <v>TROUSER</v>
          </cell>
          <cell r="L1426" t="str">
            <v>NOD</v>
          </cell>
        </row>
        <row r="1427">
          <cell r="C1427" t="str">
            <v>ARGT6120G</v>
          </cell>
          <cell r="D1427" t="str">
            <v>CORE</v>
          </cell>
          <cell r="E1427" t="str">
            <v>CO26</v>
          </cell>
          <cell r="F1427">
            <v>2599</v>
          </cell>
          <cell r="G1427" t="str">
            <v>AR</v>
          </cell>
          <cell r="H1427" t="str">
            <v>ARRARMWTR</v>
          </cell>
          <cell r="I1427" t="str">
            <v>ARGT6120G011</v>
          </cell>
          <cell r="J1427" t="str">
            <v>48</v>
          </cell>
          <cell r="K1427" t="str">
            <v>TROUSER</v>
          </cell>
          <cell r="L1427" t="str">
            <v>NOD</v>
          </cell>
        </row>
        <row r="1428">
          <cell r="C1428" t="str">
            <v>ARGT6120G</v>
          </cell>
          <cell r="D1428" t="str">
            <v>CORE</v>
          </cell>
          <cell r="E1428" t="str">
            <v>CO26</v>
          </cell>
          <cell r="F1428">
            <v>2599</v>
          </cell>
          <cell r="G1428" t="str">
            <v>AR</v>
          </cell>
          <cell r="H1428" t="str">
            <v>ARRARMWTR</v>
          </cell>
          <cell r="I1428" t="str">
            <v>ARGT6120G012</v>
          </cell>
          <cell r="J1428" t="str">
            <v>50</v>
          </cell>
          <cell r="K1428" t="str">
            <v>TROUSER</v>
          </cell>
          <cell r="L1428" t="str">
            <v>NOD</v>
          </cell>
        </row>
        <row r="1429">
          <cell r="C1429" t="str">
            <v>ARGT6122G</v>
          </cell>
          <cell r="D1429" t="str">
            <v>CORE</v>
          </cell>
          <cell r="E1429" t="str">
            <v>CO26</v>
          </cell>
          <cell r="F1429">
            <v>2599</v>
          </cell>
          <cell r="G1429" t="str">
            <v>AR</v>
          </cell>
          <cell r="H1429" t="str">
            <v>ARRARMWTR</v>
          </cell>
          <cell r="I1429" t="str">
            <v>ARGT6122G001</v>
          </cell>
          <cell r="J1429" t="str">
            <v>28</v>
          </cell>
          <cell r="K1429" t="str">
            <v>TROUSER</v>
          </cell>
          <cell r="L1429" t="str">
            <v>NOD</v>
          </cell>
        </row>
        <row r="1430">
          <cell r="C1430" t="str">
            <v>ARGT6122G</v>
          </cell>
          <cell r="D1430" t="str">
            <v>CORE</v>
          </cell>
          <cell r="E1430" t="str">
            <v>CO26</v>
          </cell>
          <cell r="F1430">
            <v>2599</v>
          </cell>
          <cell r="G1430" t="str">
            <v>AR</v>
          </cell>
          <cell r="H1430" t="str">
            <v>ARRARMWTR</v>
          </cell>
          <cell r="I1430" t="str">
            <v>ARGT6122G002</v>
          </cell>
          <cell r="J1430" t="str">
            <v>30</v>
          </cell>
          <cell r="K1430" t="str">
            <v>TROUSER</v>
          </cell>
          <cell r="L1430" t="str">
            <v>NOD</v>
          </cell>
        </row>
        <row r="1431">
          <cell r="C1431" t="str">
            <v>ARGT6122G</v>
          </cell>
          <cell r="D1431" t="str">
            <v>CORE</v>
          </cell>
          <cell r="E1431" t="str">
            <v>CO26</v>
          </cell>
          <cell r="F1431">
            <v>2599</v>
          </cell>
          <cell r="G1431" t="str">
            <v>AR</v>
          </cell>
          <cell r="H1431" t="str">
            <v>ARRARMWTR</v>
          </cell>
          <cell r="I1431" t="str">
            <v>ARGT6122G003</v>
          </cell>
          <cell r="J1431" t="str">
            <v>32</v>
          </cell>
          <cell r="K1431" t="str">
            <v>TROUSER</v>
          </cell>
          <cell r="L1431" t="str">
            <v>NOD</v>
          </cell>
        </row>
        <row r="1432">
          <cell r="C1432" t="str">
            <v>ARGT6122G</v>
          </cell>
          <cell r="D1432" t="str">
            <v>CORE</v>
          </cell>
          <cell r="E1432" t="str">
            <v>CO26</v>
          </cell>
          <cell r="F1432">
            <v>2599</v>
          </cell>
          <cell r="G1432" t="str">
            <v>AR</v>
          </cell>
          <cell r="H1432" t="str">
            <v>ARRARMWTR</v>
          </cell>
          <cell r="I1432" t="str">
            <v>ARGT6122G004</v>
          </cell>
          <cell r="J1432" t="str">
            <v>34</v>
          </cell>
          <cell r="K1432" t="str">
            <v>TROUSER</v>
          </cell>
          <cell r="L1432" t="str">
            <v>NOD</v>
          </cell>
        </row>
        <row r="1433">
          <cell r="C1433" t="str">
            <v>ARGT6122G</v>
          </cell>
          <cell r="D1433" t="str">
            <v>CORE</v>
          </cell>
          <cell r="E1433" t="str">
            <v>CO26</v>
          </cell>
          <cell r="F1433">
            <v>2599</v>
          </cell>
          <cell r="G1433" t="str">
            <v>AR</v>
          </cell>
          <cell r="H1433" t="str">
            <v>ARRARMWTR</v>
          </cell>
          <cell r="I1433" t="str">
            <v>ARGT6122G005</v>
          </cell>
          <cell r="J1433" t="str">
            <v>36</v>
          </cell>
          <cell r="K1433" t="str">
            <v>TROUSER</v>
          </cell>
          <cell r="L1433" t="str">
            <v>NOD</v>
          </cell>
        </row>
        <row r="1434">
          <cell r="C1434" t="str">
            <v>ARGT6122G</v>
          </cell>
          <cell r="D1434" t="str">
            <v>CORE</v>
          </cell>
          <cell r="E1434" t="str">
            <v>CO26</v>
          </cell>
          <cell r="F1434">
            <v>2599</v>
          </cell>
          <cell r="G1434" t="str">
            <v>AR</v>
          </cell>
          <cell r="H1434" t="str">
            <v>ARRARMWTR</v>
          </cell>
          <cell r="I1434" t="str">
            <v>ARGT6122G006</v>
          </cell>
          <cell r="J1434" t="str">
            <v>38</v>
          </cell>
          <cell r="K1434" t="str">
            <v>TROUSER</v>
          </cell>
          <cell r="L1434" t="str">
            <v>NOD</v>
          </cell>
        </row>
        <row r="1435">
          <cell r="C1435" t="str">
            <v>ARGT6122G</v>
          </cell>
          <cell r="D1435" t="str">
            <v>CORE</v>
          </cell>
          <cell r="E1435" t="str">
            <v>CO26</v>
          </cell>
          <cell r="F1435">
            <v>2599</v>
          </cell>
          <cell r="G1435" t="str">
            <v>AR</v>
          </cell>
          <cell r="H1435" t="str">
            <v>ARRARMWTR</v>
          </cell>
          <cell r="I1435" t="str">
            <v>ARGT6122G007</v>
          </cell>
          <cell r="J1435" t="str">
            <v>40</v>
          </cell>
          <cell r="K1435" t="str">
            <v>TROUSER</v>
          </cell>
          <cell r="L1435" t="str">
            <v>NOD</v>
          </cell>
        </row>
        <row r="1436">
          <cell r="C1436" t="str">
            <v>ARGT6122G</v>
          </cell>
          <cell r="D1436" t="str">
            <v>CORE</v>
          </cell>
          <cell r="E1436" t="str">
            <v>CO26</v>
          </cell>
          <cell r="F1436">
            <v>2599</v>
          </cell>
          <cell r="G1436" t="str">
            <v>AR</v>
          </cell>
          <cell r="H1436" t="str">
            <v>ARRARMWTR</v>
          </cell>
          <cell r="I1436" t="str">
            <v>ARGT6122G008</v>
          </cell>
          <cell r="J1436" t="str">
            <v>42</v>
          </cell>
          <cell r="K1436" t="str">
            <v>TROUSER</v>
          </cell>
          <cell r="L1436" t="str">
            <v>NOD</v>
          </cell>
        </row>
        <row r="1437">
          <cell r="C1437" t="str">
            <v>ARGT6122G</v>
          </cell>
          <cell r="D1437" t="str">
            <v>CORE</v>
          </cell>
          <cell r="E1437" t="str">
            <v>CO26</v>
          </cell>
          <cell r="F1437">
            <v>2599</v>
          </cell>
          <cell r="G1437" t="str">
            <v>AR</v>
          </cell>
          <cell r="H1437" t="str">
            <v>ARRARMWTR</v>
          </cell>
          <cell r="I1437" t="str">
            <v>ARGT6122G009</v>
          </cell>
          <cell r="J1437" t="str">
            <v>44</v>
          </cell>
          <cell r="K1437" t="str">
            <v>TROUSER</v>
          </cell>
          <cell r="L1437" t="str">
            <v>NOD</v>
          </cell>
        </row>
        <row r="1438">
          <cell r="C1438" t="str">
            <v>ARGT6122G</v>
          </cell>
          <cell r="D1438" t="str">
            <v>CORE</v>
          </cell>
          <cell r="E1438" t="str">
            <v>CO26</v>
          </cell>
          <cell r="F1438">
            <v>2599</v>
          </cell>
          <cell r="G1438" t="str">
            <v>AR</v>
          </cell>
          <cell r="H1438" t="str">
            <v>ARRARMWTR</v>
          </cell>
          <cell r="I1438" t="str">
            <v>ARGT6122G010</v>
          </cell>
          <cell r="J1438" t="str">
            <v>46</v>
          </cell>
          <cell r="K1438" t="str">
            <v>TROUSER</v>
          </cell>
          <cell r="L1438" t="str">
            <v>NOD</v>
          </cell>
        </row>
        <row r="1439">
          <cell r="C1439" t="str">
            <v>ARGT6122G</v>
          </cell>
          <cell r="D1439" t="str">
            <v>CORE</v>
          </cell>
          <cell r="E1439" t="str">
            <v>CO26</v>
          </cell>
          <cell r="F1439">
            <v>2599</v>
          </cell>
          <cell r="G1439" t="str">
            <v>AR</v>
          </cell>
          <cell r="H1439" t="str">
            <v>ARRARMWTR</v>
          </cell>
          <cell r="I1439" t="str">
            <v>ARGT6122G011</v>
          </cell>
          <cell r="J1439" t="str">
            <v>48</v>
          </cell>
          <cell r="K1439" t="str">
            <v>TROUSER</v>
          </cell>
          <cell r="L1439" t="str">
            <v>NOD</v>
          </cell>
        </row>
        <row r="1440">
          <cell r="C1440" t="str">
            <v>ARGT6122G</v>
          </cell>
          <cell r="D1440" t="str">
            <v>CORE</v>
          </cell>
          <cell r="E1440" t="str">
            <v>CO26</v>
          </cell>
          <cell r="F1440">
            <v>2599</v>
          </cell>
          <cell r="G1440" t="str">
            <v>AR</v>
          </cell>
          <cell r="H1440" t="str">
            <v>ARRARMWTR</v>
          </cell>
          <cell r="I1440" t="str">
            <v>ARGT6122G012</v>
          </cell>
          <cell r="J1440" t="str">
            <v>50</v>
          </cell>
          <cell r="K1440" t="str">
            <v>TROUSER</v>
          </cell>
          <cell r="L1440" t="str">
            <v>NOD</v>
          </cell>
        </row>
        <row r="1441">
          <cell r="C1441" t="str">
            <v>ARGT6125</v>
          </cell>
          <cell r="D1441" t="str">
            <v>CORE</v>
          </cell>
          <cell r="E1441" t="str">
            <v>CO26</v>
          </cell>
          <cell r="F1441">
            <v>2599</v>
          </cell>
          <cell r="G1441" t="str">
            <v>AR</v>
          </cell>
          <cell r="H1441" t="str">
            <v>ARRARMWTR</v>
          </cell>
          <cell r="I1441" t="str">
            <v>ARGT6125001</v>
          </cell>
          <cell r="J1441" t="str">
            <v>28</v>
          </cell>
          <cell r="K1441" t="str">
            <v>TROUSER</v>
          </cell>
          <cell r="L1441" t="str">
            <v>NOD</v>
          </cell>
        </row>
        <row r="1442">
          <cell r="C1442" t="str">
            <v>ARGT6125</v>
          </cell>
          <cell r="D1442" t="str">
            <v>CORE</v>
          </cell>
          <cell r="E1442" t="str">
            <v>CO26</v>
          </cell>
          <cell r="F1442">
            <v>2599</v>
          </cell>
          <cell r="G1442" t="str">
            <v>AR</v>
          </cell>
          <cell r="H1442" t="str">
            <v>ARRARMWTR</v>
          </cell>
          <cell r="I1442" t="str">
            <v>ARGT6125002</v>
          </cell>
          <cell r="J1442" t="str">
            <v>30</v>
          </cell>
          <cell r="K1442" t="str">
            <v>TROUSER</v>
          </cell>
          <cell r="L1442" t="str">
            <v>NOD</v>
          </cell>
        </row>
        <row r="1443">
          <cell r="C1443" t="str">
            <v>ARGT6125</v>
          </cell>
          <cell r="D1443" t="str">
            <v>CORE</v>
          </cell>
          <cell r="E1443" t="str">
            <v>CO26</v>
          </cell>
          <cell r="F1443">
            <v>2599</v>
          </cell>
          <cell r="G1443" t="str">
            <v>AR</v>
          </cell>
          <cell r="H1443" t="str">
            <v>ARRARMWTR</v>
          </cell>
          <cell r="I1443" t="str">
            <v>ARGT6125003</v>
          </cell>
          <cell r="J1443" t="str">
            <v>32</v>
          </cell>
          <cell r="K1443" t="str">
            <v>TROUSER</v>
          </cell>
          <cell r="L1443" t="str">
            <v>NOD</v>
          </cell>
        </row>
        <row r="1444">
          <cell r="C1444" t="str">
            <v>ARGT6125</v>
          </cell>
          <cell r="D1444" t="str">
            <v>CORE</v>
          </cell>
          <cell r="E1444" t="str">
            <v>CO26</v>
          </cell>
          <cell r="F1444">
            <v>2599</v>
          </cell>
          <cell r="G1444" t="str">
            <v>AR</v>
          </cell>
          <cell r="H1444" t="str">
            <v>ARRARMWTR</v>
          </cell>
          <cell r="I1444" t="str">
            <v>ARGT6125004</v>
          </cell>
          <cell r="J1444" t="str">
            <v>34</v>
          </cell>
          <cell r="K1444" t="str">
            <v>TROUSER</v>
          </cell>
          <cell r="L1444" t="str">
            <v>NOD</v>
          </cell>
        </row>
        <row r="1445">
          <cell r="C1445" t="str">
            <v>ARGT6125</v>
          </cell>
          <cell r="D1445" t="str">
            <v>CORE</v>
          </cell>
          <cell r="E1445" t="str">
            <v>CO26</v>
          </cell>
          <cell r="F1445">
            <v>2599</v>
          </cell>
          <cell r="G1445" t="str">
            <v>AR</v>
          </cell>
          <cell r="H1445" t="str">
            <v>ARRARMWTR</v>
          </cell>
          <cell r="I1445" t="str">
            <v>ARGT6125005</v>
          </cell>
          <cell r="J1445" t="str">
            <v>36</v>
          </cell>
          <cell r="K1445" t="str">
            <v>TROUSER</v>
          </cell>
          <cell r="L1445" t="str">
            <v>NOD</v>
          </cell>
        </row>
        <row r="1446">
          <cell r="C1446" t="str">
            <v>ARGT6125</v>
          </cell>
          <cell r="D1446" t="str">
            <v>CORE</v>
          </cell>
          <cell r="E1446" t="str">
            <v>CO26</v>
          </cell>
          <cell r="F1446">
            <v>2599</v>
          </cell>
          <cell r="G1446" t="str">
            <v>AR</v>
          </cell>
          <cell r="H1446" t="str">
            <v>ARRARMWTR</v>
          </cell>
          <cell r="I1446" t="str">
            <v>ARGT6125006</v>
          </cell>
          <cell r="J1446" t="str">
            <v>38</v>
          </cell>
          <cell r="K1446" t="str">
            <v>TROUSER</v>
          </cell>
          <cell r="L1446" t="str">
            <v>NOD</v>
          </cell>
        </row>
        <row r="1447">
          <cell r="C1447" t="str">
            <v>ARGT6125</v>
          </cell>
          <cell r="D1447" t="str">
            <v>CORE</v>
          </cell>
          <cell r="E1447" t="str">
            <v>CO26</v>
          </cell>
          <cell r="F1447">
            <v>2599</v>
          </cell>
          <cell r="G1447" t="str">
            <v>AR</v>
          </cell>
          <cell r="H1447" t="str">
            <v>ARRARMWTR</v>
          </cell>
          <cell r="I1447" t="str">
            <v>ARGT6125007</v>
          </cell>
          <cell r="J1447" t="str">
            <v>40</v>
          </cell>
          <cell r="K1447" t="str">
            <v>TROUSER</v>
          </cell>
          <cell r="L1447" t="str">
            <v>NOD</v>
          </cell>
        </row>
        <row r="1448">
          <cell r="C1448" t="str">
            <v>ARGT6125</v>
          </cell>
          <cell r="D1448" t="str">
            <v>CORE</v>
          </cell>
          <cell r="E1448" t="str">
            <v>CO26</v>
          </cell>
          <cell r="F1448">
            <v>2799</v>
          </cell>
          <cell r="G1448" t="str">
            <v>AR</v>
          </cell>
          <cell r="H1448" t="str">
            <v>ARRARMWTR</v>
          </cell>
          <cell r="I1448" t="str">
            <v>ARGT6125008</v>
          </cell>
          <cell r="J1448" t="str">
            <v>42</v>
          </cell>
          <cell r="K1448" t="str">
            <v>TROUSER</v>
          </cell>
          <cell r="L1448" t="str">
            <v>NOD</v>
          </cell>
        </row>
        <row r="1449">
          <cell r="C1449" t="str">
            <v>ARGT6125</v>
          </cell>
          <cell r="D1449" t="str">
            <v>CORE</v>
          </cell>
          <cell r="E1449" t="str">
            <v>CO26</v>
          </cell>
          <cell r="F1449">
            <v>2799</v>
          </cell>
          <cell r="G1449" t="str">
            <v>AR</v>
          </cell>
          <cell r="H1449" t="str">
            <v>ARRARMWTR</v>
          </cell>
          <cell r="I1449" t="str">
            <v>ARGT6125009</v>
          </cell>
          <cell r="J1449" t="str">
            <v>44</v>
          </cell>
          <cell r="K1449" t="str">
            <v>TROUSER</v>
          </cell>
          <cell r="L1449" t="str">
            <v>NOD</v>
          </cell>
        </row>
        <row r="1450">
          <cell r="C1450" t="str">
            <v>ARGT6125</v>
          </cell>
          <cell r="D1450" t="str">
            <v>CORE</v>
          </cell>
          <cell r="E1450" t="str">
            <v>CO26</v>
          </cell>
          <cell r="F1450">
            <v>2799</v>
          </cell>
          <cell r="G1450" t="str">
            <v>AR</v>
          </cell>
          <cell r="H1450" t="str">
            <v>ARRARMWTR</v>
          </cell>
          <cell r="I1450" t="str">
            <v>ARGT6125010</v>
          </cell>
          <cell r="J1450" t="str">
            <v>46</v>
          </cell>
          <cell r="K1450" t="str">
            <v>TROUSER</v>
          </cell>
          <cell r="L1450" t="str">
            <v>NOD</v>
          </cell>
        </row>
        <row r="1451">
          <cell r="C1451" t="str">
            <v>ARGT6125</v>
          </cell>
          <cell r="D1451" t="str">
            <v>CORE</v>
          </cell>
          <cell r="E1451" t="str">
            <v>CO26</v>
          </cell>
          <cell r="F1451">
            <v>2799</v>
          </cell>
          <cell r="G1451" t="str">
            <v>AR</v>
          </cell>
          <cell r="H1451" t="str">
            <v>ARRARMWTR</v>
          </cell>
          <cell r="I1451" t="str">
            <v>ARGT6125011</v>
          </cell>
          <cell r="J1451" t="str">
            <v>48</v>
          </cell>
          <cell r="K1451" t="str">
            <v>TROUSER</v>
          </cell>
          <cell r="L1451" t="str">
            <v>NOD</v>
          </cell>
        </row>
        <row r="1452">
          <cell r="C1452" t="str">
            <v>ARGT6125</v>
          </cell>
          <cell r="D1452" t="str">
            <v>CORE</v>
          </cell>
          <cell r="E1452" t="str">
            <v>CO26</v>
          </cell>
          <cell r="F1452">
            <v>2799</v>
          </cell>
          <cell r="G1452" t="str">
            <v>AR</v>
          </cell>
          <cell r="H1452" t="str">
            <v>ARRARMWTR</v>
          </cell>
          <cell r="I1452" t="str">
            <v>ARGT6125012</v>
          </cell>
          <cell r="J1452" t="str">
            <v>50</v>
          </cell>
          <cell r="K1452" t="str">
            <v>TROUSER</v>
          </cell>
          <cell r="L1452" t="str">
            <v>NOD</v>
          </cell>
        </row>
        <row r="1453">
          <cell r="C1453" t="str">
            <v>ARGT6128G</v>
          </cell>
          <cell r="D1453" t="str">
            <v>CORE</v>
          </cell>
          <cell r="E1453" t="str">
            <v>CO26</v>
          </cell>
          <cell r="F1453">
            <v>2599</v>
          </cell>
          <cell r="G1453" t="str">
            <v>AR</v>
          </cell>
          <cell r="H1453" t="str">
            <v>ARRARMWTR</v>
          </cell>
          <cell r="I1453" t="str">
            <v>ARGT6128G001</v>
          </cell>
          <cell r="J1453" t="str">
            <v>28</v>
          </cell>
          <cell r="K1453" t="str">
            <v>TROUSER</v>
          </cell>
          <cell r="L1453" t="str">
            <v>NOD</v>
          </cell>
        </row>
        <row r="1454">
          <cell r="C1454" t="str">
            <v>ARGT6128G</v>
          </cell>
          <cell r="D1454" t="str">
            <v>CORE</v>
          </cell>
          <cell r="E1454" t="str">
            <v>CO26</v>
          </cell>
          <cell r="F1454">
            <v>2599</v>
          </cell>
          <cell r="G1454" t="str">
            <v>AR</v>
          </cell>
          <cell r="H1454" t="str">
            <v>ARRARMWTR</v>
          </cell>
          <cell r="I1454" t="str">
            <v>ARGT6128G002</v>
          </cell>
          <cell r="J1454" t="str">
            <v>30</v>
          </cell>
          <cell r="K1454" t="str">
            <v>TROUSER</v>
          </cell>
          <cell r="L1454" t="str">
            <v>NOD</v>
          </cell>
        </row>
        <row r="1455">
          <cell r="C1455" t="str">
            <v>ARGT6128G</v>
          </cell>
          <cell r="D1455" t="str">
            <v>CORE</v>
          </cell>
          <cell r="E1455" t="str">
            <v>CO26</v>
          </cell>
          <cell r="F1455">
            <v>2599</v>
          </cell>
          <cell r="G1455" t="str">
            <v>AR</v>
          </cell>
          <cell r="H1455" t="str">
            <v>ARRARMWTR</v>
          </cell>
          <cell r="I1455" t="str">
            <v>ARGT6128G003</v>
          </cell>
          <cell r="J1455" t="str">
            <v>32</v>
          </cell>
          <cell r="K1455" t="str">
            <v>TROUSER</v>
          </cell>
          <cell r="L1455" t="str">
            <v>NOD</v>
          </cell>
        </row>
        <row r="1456">
          <cell r="C1456" t="str">
            <v>ARGT6128G</v>
          </cell>
          <cell r="D1456" t="str">
            <v>CORE</v>
          </cell>
          <cell r="E1456" t="str">
            <v>CO26</v>
          </cell>
          <cell r="F1456">
            <v>2599</v>
          </cell>
          <cell r="G1456" t="str">
            <v>AR</v>
          </cell>
          <cell r="H1456" t="str">
            <v>ARRARMWTR</v>
          </cell>
          <cell r="I1456" t="str">
            <v>ARGT6128G004</v>
          </cell>
          <cell r="J1456" t="str">
            <v>34</v>
          </cell>
          <cell r="K1456" t="str">
            <v>TROUSER</v>
          </cell>
          <cell r="L1456" t="str">
            <v>NOD</v>
          </cell>
        </row>
        <row r="1457">
          <cell r="C1457" t="str">
            <v>ARGT6128G</v>
          </cell>
          <cell r="D1457" t="str">
            <v>CORE</v>
          </cell>
          <cell r="E1457" t="str">
            <v>CO26</v>
          </cell>
          <cell r="F1457">
            <v>2599</v>
          </cell>
          <cell r="G1457" t="str">
            <v>AR</v>
          </cell>
          <cell r="H1457" t="str">
            <v>ARRARMWTR</v>
          </cell>
          <cell r="I1457" t="str">
            <v>ARGT6128G005</v>
          </cell>
          <cell r="J1457" t="str">
            <v>36</v>
          </cell>
          <cell r="K1457" t="str">
            <v>TROUSER</v>
          </cell>
          <cell r="L1457" t="str">
            <v>NOD</v>
          </cell>
        </row>
        <row r="1458">
          <cell r="C1458" t="str">
            <v>ARGT6128G</v>
          </cell>
          <cell r="D1458" t="str">
            <v>CORE</v>
          </cell>
          <cell r="E1458" t="str">
            <v>CO26</v>
          </cell>
          <cell r="F1458">
            <v>2599</v>
          </cell>
          <cell r="G1458" t="str">
            <v>AR</v>
          </cell>
          <cell r="H1458" t="str">
            <v>ARRARMWTR</v>
          </cell>
          <cell r="I1458" t="str">
            <v>ARGT6128G006</v>
          </cell>
          <cell r="J1458" t="str">
            <v>38</v>
          </cell>
          <cell r="K1458" t="str">
            <v>TROUSER</v>
          </cell>
          <cell r="L1458" t="str">
            <v>NOD</v>
          </cell>
        </row>
        <row r="1459">
          <cell r="C1459" t="str">
            <v>ARGT6128G</v>
          </cell>
          <cell r="D1459" t="str">
            <v>CORE</v>
          </cell>
          <cell r="E1459" t="str">
            <v>CO26</v>
          </cell>
          <cell r="F1459">
            <v>2599</v>
          </cell>
          <cell r="G1459" t="str">
            <v>AR</v>
          </cell>
          <cell r="H1459" t="str">
            <v>ARRARMWTR</v>
          </cell>
          <cell r="I1459" t="str">
            <v>ARGT6128G007</v>
          </cell>
          <cell r="J1459" t="str">
            <v>40</v>
          </cell>
          <cell r="K1459" t="str">
            <v>TROUSER</v>
          </cell>
          <cell r="L1459" t="str">
            <v>NOD</v>
          </cell>
        </row>
        <row r="1460">
          <cell r="C1460" t="str">
            <v>ARGT6128G</v>
          </cell>
          <cell r="D1460" t="str">
            <v>CORE</v>
          </cell>
          <cell r="E1460" t="str">
            <v>CO26</v>
          </cell>
          <cell r="F1460">
            <v>2599</v>
          </cell>
          <cell r="G1460" t="str">
            <v>AR</v>
          </cell>
          <cell r="H1460" t="str">
            <v>ARRARMWTR</v>
          </cell>
          <cell r="I1460" t="str">
            <v>ARGT6128G008</v>
          </cell>
          <cell r="J1460" t="str">
            <v>42</v>
          </cell>
          <cell r="K1460" t="str">
            <v>TROUSER</v>
          </cell>
          <cell r="L1460" t="str">
            <v>NOD</v>
          </cell>
        </row>
        <row r="1461">
          <cell r="C1461" t="str">
            <v>ARGT6128G</v>
          </cell>
          <cell r="D1461" t="str">
            <v>CORE</v>
          </cell>
          <cell r="E1461" t="str">
            <v>CO26</v>
          </cell>
          <cell r="F1461">
            <v>2599</v>
          </cell>
          <cell r="G1461" t="str">
            <v>AR</v>
          </cell>
          <cell r="H1461" t="str">
            <v>ARRARMWTR</v>
          </cell>
          <cell r="I1461" t="str">
            <v>ARGT6128G009</v>
          </cell>
          <cell r="J1461" t="str">
            <v>44</v>
          </cell>
          <cell r="K1461" t="str">
            <v>TROUSER</v>
          </cell>
          <cell r="L1461" t="str">
            <v>NOD</v>
          </cell>
        </row>
        <row r="1462">
          <cell r="C1462" t="str">
            <v>ARGT6128G</v>
          </cell>
          <cell r="D1462" t="str">
            <v>CORE</v>
          </cell>
          <cell r="E1462" t="str">
            <v>CO26</v>
          </cell>
          <cell r="F1462">
            <v>2599</v>
          </cell>
          <cell r="G1462" t="str">
            <v>AR</v>
          </cell>
          <cell r="H1462" t="str">
            <v>ARRARMWTR</v>
          </cell>
          <cell r="I1462" t="str">
            <v>ARGT6128G010</v>
          </cell>
          <cell r="J1462" t="str">
            <v>46</v>
          </cell>
          <cell r="K1462" t="str">
            <v>TROUSER</v>
          </cell>
          <cell r="L1462" t="str">
            <v>NOD</v>
          </cell>
        </row>
        <row r="1463">
          <cell r="C1463" t="str">
            <v>ARGT6128G</v>
          </cell>
          <cell r="D1463" t="str">
            <v>CORE</v>
          </cell>
          <cell r="E1463" t="str">
            <v>CO26</v>
          </cell>
          <cell r="F1463">
            <v>2599</v>
          </cell>
          <cell r="G1463" t="str">
            <v>AR</v>
          </cell>
          <cell r="H1463" t="str">
            <v>ARRARMWTR</v>
          </cell>
          <cell r="I1463" t="str">
            <v>ARGT6128G011</v>
          </cell>
          <cell r="J1463" t="str">
            <v>48</v>
          </cell>
          <cell r="K1463" t="str">
            <v>TROUSER</v>
          </cell>
          <cell r="L1463" t="str">
            <v>NOD</v>
          </cell>
        </row>
        <row r="1464">
          <cell r="C1464" t="str">
            <v>ARGT6128G</v>
          </cell>
          <cell r="D1464" t="str">
            <v>CORE</v>
          </cell>
          <cell r="E1464" t="str">
            <v>CO26</v>
          </cell>
          <cell r="F1464">
            <v>2599</v>
          </cell>
          <cell r="G1464" t="str">
            <v>AR</v>
          </cell>
          <cell r="H1464" t="str">
            <v>ARRARMWTR</v>
          </cell>
          <cell r="I1464" t="str">
            <v>ARGT6128G012</v>
          </cell>
          <cell r="J1464" t="str">
            <v>50</v>
          </cell>
          <cell r="K1464" t="str">
            <v>TROUSER</v>
          </cell>
          <cell r="L1464" t="str">
            <v>NOD</v>
          </cell>
        </row>
        <row r="1465">
          <cell r="C1465" t="str">
            <v>ARGT6129</v>
          </cell>
          <cell r="D1465" t="str">
            <v>CORE</v>
          </cell>
          <cell r="E1465" t="str">
            <v>CO26</v>
          </cell>
          <cell r="F1465">
            <v>2299</v>
          </cell>
          <cell r="G1465" t="str">
            <v>AR</v>
          </cell>
          <cell r="H1465" t="str">
            <v>ARRARMWTR</v>
          </cell>
          <cell r="I1465" t="str">
            <v>ARGT6129001</v>
          </cell>
          <cell r="J1465" t="str">
            <v>28</v>
          </cell>
          <cell r="K1465" t="str">
            <v>TROUSER</v>
          </cell>
          <cell r="L1465" t="str">
            <v>NOD</v>
          </cell>
        </row>
        <row r="1466">
          <cell r="C1466" t="str">
            <v>ARGT6129</v>
          </cell>
          <cell r="D1466" t="str">
            <v>CORE</v>
          </cell>
          <cell r="E1466" t="str">
            <v>CO26</v>
          </cell>
          <cell r="F1466">
            <v>2299</v>
          </cell>
          <cell r="G1466" t="str">
            <v>AR</v>
          </cell>
          <cell r="H1466" t="str">
            <v>ARRARMWTR</v>
          </cell>
          <cell r="I1466" t="str">
            <v>ARGT6129002</v>
          </cell>
          <cell r="J1466" t="str">
            <v>30</v>
          </cell>
          <cell r="K1466" t="str">
            <v>TROUSER</v>
          </cell>
          <cell r="L1466" t="str">
            <v>NOD</v>
          </cell>
        </row>
        <row r="1467">
          <cell r="C1467" t="str">
            <v>ARGT6129</v>
          </cell>
          <cell r="D1467" t="str">
            <v>CORE</v>
          </cell>
          <cell r="E1467" t="str">
            <v>CO26</v>
          </cell>
          <cell r="F1467">
            <v>2299</v>
          </cell>
          <cell r="G1467" t="str">
            <v>AR</v>
          </cell>
          <cell r="H1467" t="str">
            <v>ARRARMWTR</v>
          </cell>
          <cell r="I1467" t="str">
            <v>ARGT6129003</v>
          </cell>
          <cell r="J1467" t="str">
            <v>32</v>
          </cell>
          <cell r="K1467" t="str">
            <v>TROUSER</v>
          </cell>
          <cell r="L1467" t="str">
            <v>NOD</v>
          </cell>
        </row>
        <row r="1468">
          <cell r="C1468" t="str">
            <v>ARGT6129</v>
          </cell>
          <cell r="D1468" t="str">
            <v>CORE</v>
          </cell>
          <cell r="E1468" t="str">
            <v>CO26</v>
          </cell>
          <cell r="F1468">
            <v>2299</v>
          </cell>
          <cell r="G1468" t="str">
            <v>AR</v>
          </cell>
          <cell r="H1468" t="str">
            <v>ARRARMWTR</v>
          </cell>
          <cell r="I1468" t="str">
            <v>ARGT6129004</v>
          </cell>
          <cell r="J1468" t="str">
            <v>34</v>
          </cell>
          <cell r="K1468" t="str">
            <v>TROUSER</v>
          </cell>
          <cell r="L1468" t="str">
            <v>NOD</v>
          </cell>
        </row>
        <row r="1469">
          <cell r="C1469" t="str">
            <v>ARGT6129</v>
          </cell>
          <cell r="D1469" t="str">
            <v>CORE</v>
          </cell>
          <cell r="E1469" t="str">
            <v>CO26</v>
          </cell>
          <cell r="F1469">
            <v>2299</v>
          </cell>
          <cell r="G1469" t="str">
            <v>AR</v>
          </cell>
          <cell r="H1469" t="str">
            <v>ARRARMWTR</v>
          </cell>
          <cell r="I1469" t="str">
            <v>ARGT6129005</v>
          </cell>
          <cell r="J1469" t="str">
            <v>36</v>
          </cell>
          <cell r="K1469" t="str">
            <v>TROUSER</v>
          </cell>
          <cell r="L1469" t="str">
            <v>NOD</v>
          </cell>
        </row>
        <row r="1470">
          <cell r="C1470" t="str">
            <v>ARGT6129</v>
          </cell>
          <cell r="D1470" t="str">
            <v>CORE</v>
          </cell>
          <cell r="E1470" t="str">
            <v>CO26</v>
          </cell>
          <cell r="F1470">
            <v>2299</v>
          </cell>
          <cell r="G1470" t="str">
            <v>AR</v>
          </cell>
          <cell r="H1470" t="str">
            <v>ARRARMWTR</v>
          </cell>
          <cell r="I1470" t="str">
            <v>ARGT6129006</v>
          </cell>
          <cell r="J1470" t="str">
            <v>38</v>
          </cell>
          <cell r="K1470" t="str">
            <v>TROUSER</v>
          </cell>
          <cell r="L1470" t="str">
            <v>NOD</v>
          </cell>
        </row>
        <row r="1471">
          <cell r="C1471" t="str">
            <v>ARGT6129</v>
          </cell>
          <cell r="D1471" t="str">
            <v>CORE</v>
          </cell>
          <cell r="E1471" t="str">
            <v>CO26</v>
          </cell>
          <cell r="F1471">
            <v>2299</v>
          </cell>
          <cell r="G1471" t="str">
            <v>AR</v>
          </cell>
          <cell r="H1471" t="str">
            <v>ARRARMWTR</v>
          </cell>
          <cell r="I1471" t="str">
            <v>ARGT6129007</v>
          </cell>
          <cell r="J1471" t="str">
            <v>40</v>
          </cell>
          <cell r="K1471" t="str">
            <v>TROUSER</v>
          </cell>
          <cell r="L1471" t="str">
            <v>NOD</v>
          </cell>
        </row>
        <row r="1472">
          <cell r="C1472" t="str">
            <v>ARGT6129</v>
          </cell>
          <cell r="D1472" t="str">
            <v>CORE</v>
          </cell>
          <cell r="E1472" t="str">
            <v>CO26</v>
          </cell>
          <cell r="F1472">
            <v>2499</v>
          </cell>
          <cell r="G1472" t="str">
            <v>AR</v>
          </cell>
          <cell r="H1472" t="str">
            <v>ARRARMWTR</v>
          </cell>
          <cell r="I1472" t="str">
            <v>ARGT6129008</v>
          </cell>
          <cell r="J1472" t="str">
            <v>42</v>
          </cell>
          <cell r="K1472" t="str">
            <v>TROUSER</v>
          </cell>
          <cell r="L1472" t="str">
            <v>NOD</v>
          </cell>
        </row>
        <row r="1473">
          <cell r="C1473" t="str">
            <v>ARGT6129</v>
          </cell>
          <cell r="D1473" t="str">
            <v>CORE</v>
          </cell>
          <cell r="E1473" t="str">
            <v>CO26</v>
          </cell>
          <cell r="F1473">
            <v>2499</v>
          </cell>
          <cell r="G1473" t="str">
            <v>AR</v>
          </cell>
          <cell r="H1473" t="str">
            <v>ARRARMWTR</v>
          </cell>
          <cell r="I1473" t="str">
            <v>ARGT6129009</v>
          </cell>
          <cell r="J1473" t="str">
            <v>44</v>
          </cell>
          <cell r="K1473" t="str">
            <v>TROUSER</v>
          </cell>
          <cell r="L1473" t="str">
            <v>NOD</v>
          </cell>
        </row>
        <row r="1474">
          <cell r="C1474" t="str">
            <v>ARGT6129</v>
          </cell>
          <cell r="D1474" t="str">
            <v>CORE</v>
          </cell>
          <cell r="E1474" t="str">
            <v>CO26</v>
          </cell>
          <cell r="F1474">
            <v>2499</v>
          </cell>
          <cell r="G1474" t="str">
            <v>AR</v>
          </cell>
          <cell r="H1474" t="str">
            <v>ARRARMWTR</v>
          </cell>
          <cell r="I1474" t="str">
            <v>ARGT6129010</v>
          </cell>
          <cell r="J1474" t="str">
            <v>46</v>
          </cell>
          <cell r="K1474" t="str">
            <v>TROUSER</v>
          </cell>
          <cell r="L1474" t="str">
            <v>NOD</v>
          </cell>
        </row>
        <row r="1475">
          <cell r="C1475" t="str">
            <v>ARGT6129</v>
          </cell>
          <cell r="D1475" t="str">
            <v>CORE</v>
          </cell>
          <cell r="E1475" t="str">
            <v>CO26</v>
          </cell>
          <cell r="F1475">
            <v>2499</v>
          </cell>
          <cell r="G1475" t="str">
            <v>AR</v>
          </cell>
          <cell r="H1475" t="str">
            <v>ARRARMWTR</v>
          </cell>
          <cell r="I1475" t="str">
            <v>ARGT6129011</v>
          </cell>
          <cell r="J1475" t="str">
            <v>48</v>
          </cell>
          <cell r="K1475" t="str">
            <v>TROUSER</v>
          </cell>
          <cell r="L1475" t="str">
            <v>NOD</v>
          </cell>
        </row>
        <row r="1476">
          <cell r="C1476" t="str">
            <v>ARGT6129</v>
          </cell>
          <cell r="D1476" t="str">
            <v>CORE</v>
          </cell>
          <cell r="E1476" t="str">
            <v>CO26</v>
          </cell>
          <cell r="F1476">
            <v>2499</v>
          </cell>
          <cell r="G1476" t="str">
            <v>AR</v>
          </cell>
          <cell r="H1476" t="str">
            <v>ARRARMWTR</v>
          </cell>
          <cell r="I1476" t="str">
            <v>ARGT6129012</v>
          </cell>
          <cell r="J1476" t="str">
            <v>50</v>
          </cell>
          <cell r="K1476" t="str">
            <v>TROUSER</v>
          </cell>
          <cell r="L1476" t="str">
            <v>NOD</v>
          </cell>
        </row>
        <row r="1477">
          <cell r="C1477" t="str">
            <v>ARGT6130</v>
          </cell>
          <cell r="D1477" t="str">
            <v>CORE</v>
          </cell>
          <cell r="E1477" t="str">
            <v>CO26</v>
          </cell>
          <cell r="F1477">
            <v>2299</v>
          </cell>
          <cell r="G1477" t="str">
            <v>AR</v>
          </cell>
          <cell r="H1477" t="str">
            <v>ARRARMWTR</v>
          </cell>
          <cell r="I1477" t="str">
            <v>ARGT6130001</v>
          </cell>
          <cell r="J1477" t="str">
            <v>28</v>
          </cell>
          <cell r="K1477" t="str">
            <v>TROUSER</v>
          </cell>
          <cell r="L1477" t="str">
            <v>NOD</v>
          </cell>
        </row>
        <row r="1478">
          <cell r="C1478" t="str">
            <v>ARGT6130</v>
          </cell>
          <cell r="D1478" t="str">
            <v>CORE</v>
          </cell>
          <cell r="E1478" t="str">
            <v>CO26</v>
          </cell>
          <cell r="F1478">
            <v>2299</v>
          </cell>
          <cell r="G1478" t="str">
            <v>AR</v>
          </cell>
          <cell r="H1478" t="str">
            <v>ARRARMWTR</v>
          </cell>
          <cell r="I1478" t="str">
            <v>ARGT6130002</v>
          </cell>
          <cell r="J1478" t="str">
            <v>30</v>
          </cell>
          <cell r="K1478" t="str">
            <v>TROUSER</v>
          </cell>
          <cell r="L1478" t="str">
            <v>NOD</v>
          </cell>
        </row>
        <row r="1479">
          <cell r="C1479" t="str">
            <v>ARGT6130</v>
          </cell>
          <cell r="D1479" t="str">
            <v>CORE</v>
          </cell>
          <cell r="E1479" t="str">
            <v>CO26</v>
          </cell>
          <cell r="F1479">
            <v>2299</v>
          </cell>
          <cell r="G1479" t="str">
            <v>AR</v>
          </cell>
          <cell r="H1479" t="str">
            <v>ARRARMWTR</v>
          </cell>
          <cell r="I1479" t="str">
            <v>ARGT6130003</v>
          </cell>
          <cell r="J1479" t="str">
            <v>32</v>
          </cell>
          <cell r="K1479" t="str">
            <v>TROUSER</v>
          </cell>
          <cell r="L1479" t="str">
            <v>NOD</v>
          </cell>
        </row>
        <row r="1480">
          <cell r="C1480" t="str">
            <v>ARGT6130</v>
          </cell>
          <cell r="D1480" t="str">
            <v>CORE</v>
          </cell>
          <cell r="E1480" t="str">
            <v>CO26</v>
          </cell>
          <cell r="F1480">
            <v>2299</v>
          </cell>
          <cell r="G1480" t="str">
            <v>AR</v>
          </cell>
          <cell r="H1480" t="str">
            <v>ARRARMWTR</v>
          </cell>
          <cell r="I1480" t="str">
            <v>ARGT6130004</v>
          </cell>
          <cell r="J1480" t="str">
            <v>34</v>
          </cell>
          <cell r="K1480" t="str">
            <v>TROUSER</v>
          </cell>
          <cell r="L1480" t="str">
            <v>NOD</v>
          </cell>
        </row>
        <row r="1481">
          <cell r="C1481" t="str">
            <v>ARGT6130</v>
          </cell>
          <cell r="D1481" t="str">
            <v>CORE</v>
          </cell>
          <cell r="E1481" t="str">
            <v>CO26</v>
          </cell>
          <cell r="F1481">
            <v>2299</v>
          </cell>
          <cell r="G1481" t="str">
            <v>AR</v>
          </cell>
          <cell r="H1481" t="str">
            <v>ARRARMWTR</v>
          </cell>
          <cell r="I1481" t="str">
            <v>ARGT6130005</v>
          </cell>
          <cell r="J1481" t="str">
            <v>36</v>
          </cell>
          <cell r="K1481" t="str">
            <v>TROUSER</v>
          </cell>
          <cell r="L1481" t="str">
            <v>NOD</v>
          </cell>
        </row>
        <row r="1482">
          <cell r="C1482" t="str">
            <v>ARGT6130</v>
          </cell>
          <cell r="D1482" t="str">
            <v>CORE</v>
          </cell>
          <cell r="E1482" t="str">
            <v>CO26</v>
          </cell>
          <cell r="F1482">
            <v>2299</v>
          </cell>
          <cell r="G1482" t="str">
            <v>AR</v>
          </cell>
          <cell r="H1482" t="str">
            <v>ARRARMWTR</v>
          </cell>
          <cell r="I1482" t="str">
            <v>ARGT6130006</v>
          </cell>
          <cell r="J1482" t="str">
            <v>38</v>
          </cell>
          <cell r="K1482" t="str">
            <v>TROUSER</v>
          </cell>
          <cell r="L1482" t="str">
            <v>NOD</v>
          </cell>
        </row>
        <row r="1483">
          <cell r="C1483" t="str">
            <v>ARGT6130</v>
          </cell>
          <cell r="D1483" t="str">
            <v>CORE</v>
          </cell>
          <cell r="E1483" t="str">
            <v>CO26</v>
          </cell>
          <cell r="F1483">
            <v>2299</v>
          </cell>
          <cell r="G1483" t="str">
            <v>AR</v>
          </cell>
          <cell r="H1483" t="str">
            <v>ARRARMWTR</v>
          </cell>
          <cell r="I1483" t="str">
            <v>ARGT6130007</v>
          </cell>
          <cell r="J1483" t="str">
            <v>40</v>
          </cell>
          <cell r="K1483" t="str">
            <v>TROUSER</v>
          </cell>
          <cell r="L1483" t="str">
            <v>NOD</v>
          </cell>
        </row>
        <row r="1484">
          <cell r="C1484" t="str">
            <v>ARGT6130</v>
          </cell>
          <cell r="D1484" t="str">
            <v>CORE</v>
          </cell>
          <cell r="E1484" t="str">
            <v>CO26</v>
          </cell>
          <cell r="F1484">
            <v>2499</v>
          </cell>
          <cell r="G1484" t="str">
            <v>AR</v>
          </cell>
          <cell r="H1484" t="str">
            <v>ARRARMWTR</v>
          </cell>
          <cell r="I1484" t="str">
            <v>ARGT6130008</v>
          </cell>
          <cell r="J1484" t="str">
            <v>42</v>
          </cell>
          <cell r="K1484" t="str">
            <v>TROUSER</v>
          </cell>
          <cell r="L1484" t="str">
            <v>NOD</v>
          </cell>
        </row>
        <row r="1485">
          <cell r="C1485" t="str">
            <v>ARGT6130</v>
          </cell>
          <cell r="D1485" t="str">
            <v>CORE</v>
          </cell>
          <cell r="E1485" t="str">
            <v>CO26</v>
          </cell>
          <cell r="F1485">
            <v>2499</v>
          </cell>
          <cell r="G1485" t="str">
            <v>AR</v>
          </cell>
          <cell r="H1485" t="str">
            <v>ARRARMWTR</v>
          </cell>
          <cell r="I1485" t="str">
            <v>ARGT6130009</v>
          </cell>
          <cell r="J1485" t="str">
            <v>44</v>
          </cell>
          <cell r="K1485" t="str">
            <v>TROUSER</v>
          </cell>
          <cell r="L1485" t="str">
            <v>NOD</v>
          </cell>
        </row>
        <row r="1486">
          <cell r="C1486" t="str">
            <v>ARGT6130</v>
          </cell>
          <cell r="D1486" t="str">
            <v>CORE</v>
          </cell>
          <cell r="E1486" t="str">
            <v>CO26</v>
          </cell>
          <cell r="F1486">
            <v>2499</v>
          </cell>
          <cell r="G1486" t="str">
            <v>AR</v>
          </cell>
          <cell r="H1486" t="str">
            <v>ARRARMWTR</v>
          </cell>
          <cell r="I1486" t="str">
            <v>ARGT6130010</v>
          </cell>
          <cell r="J1486" t="str">
            <v>46</v>
          </cell>
          <cell r="K1486" t="str">
            <v>TROUSER</v>
          </cell>
          <cell r="L1486" t="str">
            <v>NOD</v>
          </cell>
        </row>
        <row r="1487">
          <cell r="C1487" t="str">
            <v>ARGT6130</v>
          </cell>
          <cell r="D1487" t="str">
            <v>CORE</v>
          </cell>
          <cell r="E1487" t="str">
            <v>CO26</v>
          </cell>
          <cell r="F1487">
            <v>2499</v>
          </cell>
          <cell r="G1487" t="str">
            <v>AR</v>
          </cell>
          <cell r="H1487" t="str">
            <v>ARRARMWTR</v>
          </cell>
          <cell r="I1487" t="str">
            <v>ARGT6130011</v>
          </cell>
          <cell r="J1487" t="str">
            <v>48</v>
          </cell>
          <cell r="K1487" t="str">
            <v>TROUSER</v>
          </cell>
          <cell r="L1487" t="str">
            <v>NOD</v>
          </cell>
        </row>
        <row r="1488">
          <cell r="C1488" t="str">
            <v>ARGT6130</v>
          </cell>
          <cell r="D1488" t="str">
            <v>CORE</v>
          </cell>
          <cell r="E1488" t="str">
            <v>CO26</v>
          </cell>
          <cell r="F1488">
            <v>2499</v>
          </cell>
          <cell r="G1488" t="str">
            <v>AR</v>
          </cell>
          <cell r="H1488" t="str">
            <v>ARRARMWTR</v>
          </cell>
          <cell r="I1488" t="str">
            <v>ARGT6130012</v>
          </cell>
          <cell r="J1488" t="str">
            <v>50</v>
          </cell>
          <cell r="K1488" t="str">
            <v>TROUSER</v>
          </cell>
          <cell r="L1488" t="str">
            <v>NOD</v>
          </cell>
        </row>
        <row r="1489">
          <cell r="C1489" t="str">
            <v>ARGT6131</v>
          </cell>
          <cell r="D1489" t="str">
            <v>CORE</v>
          </cell>
          <cell r="E1489" t="str">
            <v>CO26</v>
          </cell>
          <cell r="F1489">
            <v>2299</v>
          </cell>
          <cell r="G1489" t="str">
            <v>AR</v>
          </cell>
          <cell r="H1489" t="str">
            <v>ARRARMWTR</v>
          </cell>
          <cell r="I1489" t="str">
            <v>ARGT6131001</v>
          </cell>
          <cell r="J1489" t="str">
            <v>28</v>
          </cell>
          <cell r="K1489" t="str">
            <v>TROUSER</v>
          </cell>
          <cell r="L1489" t="str">
            <v>NOD</v>
          </cell>
        </row>
        <row r="1490">
          <cell r="C1490" t="str">
            <v>ARGT6131</v>
          </cell>
          <cell r="D1490" t="str">
            <v>CORE</v>
          </cell>
          <cell r="E1490" t="str">
            <v>CO26</v>
          </cell>
          <cell r="F1490">
            <v>2299</v>
          </cell>
          <cell r="G1490" t="str">
            <v>AR</v>
          </cell>
          <cell r="H1490" t="str">
            <v>ARRARMWTR</v>
          </cell>
          <cell r="I1490" t="str">
            <v>ARGT6131002</v>
          </cell>
          <cell r="J1490" t="str">
            <v>30</v>
          </cell>
          <cell r="K1490" t="str">
            <v>TROUSER</v>
          </cell>
          <cell r="L1490" t="str">
            <v>NOD</v>
          </cell>
        </row>
        <row r="1491">
          <cell r="C1491" t="str">
            <v>ARGT6131</v>
          </cell>
          <cell r="D1491" t="str">
            <v>CORE</v>
          </cell>
          <cell r="E1491" t="str">
            <v>CO26</v>
          </cell>
          <cell r="F1491">
            <v>2299</v>
          </cell>
          <cell r="G1491" t="str">
            <v>AR</v>
          </cell>
          <cell r="H1491" t="str">
            <v>ARRARMWTR</v>
          </cell>
          <cell r="I1491" t="str">
            <v>ARGT6131003</v>
          </cell>
          <cell r="J1491" t="str">
            <v>32</v>
          </cell>
          <cell r="K1491" t="str">
            <v>TROUSER</v>
          </cell>
          <cell r="L1491" t="str">
            <v>NOD</v>
          </cell>
        </row>
        <row r="1492">
          <cell r="C1492" t="str">
            <v>ARGT6131</v>
          </cell>
          <cell r="D1492" t="str">
            <v>CORE</v>
          </cell>
          <cell r="E1492" t="str">
            <v>CO26</v>
          </cell>
          <cell r="F1492">
            <v>2299</v>
          </cell>
          <cell r="G1492" t="str">
            <v>AR</v>
          </cell>
          <cell r="H1492" t="str">
            <v>ARRARMWTR</v>
          </cell>
          <cell r="I1492" t="str">
            <v>ARGT6131004</v>
          </cell>
          <cell r="J1492" t="str">
            <v>34</v>
          </cell>
          <cell r="K1492" t="str">
            <v>TROUSER</v>
          </cell>
          <cell r="L1492" t="str">
            <v>NOD</v>
          </cell>
        </row>
        <row r="1493">
          <cell r="C1493" t="str">
            <v>ARGT6131</v>
          </cell>
          <cell r="D1493" t="str">
            <v>CORE</v>
          </cell>
          <cell r="E1493" t="str">
            <v>CO26</v>
          </cell>
          <cell r="F1493">
            <v>2299</v>
          </cell>
          <cell r="G1493" t="str">
            <v>AR</v>
          </cell>
          <cell r="H1493" t="str">
            <v>ARRARMWTR</v>
          </cell>
          <cell r="I1493" t="str">
            <v>ARGT6131005</v>
          </cell>
          <cell r="J1493" t="str">
            <v>36</v>
          </cell>
          <cell r="K1493" t="str">
            <v>TROUSER</v>
          </cell>
          <cell r="L1493" t="str">
            <v>NOD</v>
          </cell>
        </row>
        <row r="1494">
          <cell r="C1494" t="str">
            <v>ARGT6131</v>
          </cell>
          <cell r="D1494" t="str">
            <v>CORE</v>
          </cell>
          <cell r="E1494" t="str">
            <v>CO26</v>
          </cell>
          <cell r="F1494">
            <v>2299</v>
          </cell>
          <cell r="G1494" t="str">
            <v>AR</v>
          </cell>
          <cell r="H1494" t="str">
            <v>ARRARMWTR</v>
          </cell>
          <cell r="I1494" t="str">
            <v>ARGT6131006</v>
          </cell>
          <cell r="J1494" t="str">
            <v>38</v>
          </cell>
          <cell r="K1494" t="str">
            <v>TROUSER</v>
          </cell>
          <cell r="L1494" t="str">
            <v>NOD</v>
          </cell>
        </row>
        <row r="1495">
          <cell r="C1495" t="str">
            <v>ARGT6131</v>
          </cell>
          <cell r="D1495" t="str">
            <v>CORE</v>
          </cell>
          <cell r="E1495" t="str">
            <v>CO26</v>
          </cell>
          <cell r="F1495">
            <v>2299</v>
          </cell>
          <cell r="G1495" t="str">
            <v>AR</v>
          </cell>
          <cell r="H1495" t="str">
            <v>ARRARMWTR</v>
          </cell>
          <cell r="I1495" t="str">
            <v>ARGT6131007</v>
          </cell>
          <cell r="J1495" t="str">
            <v>40</v>
          </cell>
          <cell r="K1495" t="str">
            <v>TROUSER</v>
          </cell>
          <cell r="L1495" t="str">
            <v>NOD</v>
          </cell>
        </row>
        <row r="1496">
          <cell r="C1496" t="str">
            <v>ARGT6131</v>
          </cell>
          <cell r="D1496" t="str">
            <v>CORE</v>
          </cell>
          <cell r="E1496" t="str">
            <v>CO26</v>
          </cell>
          <cell r="F1496">
            <v>2499</v>
          </cell>
          <cell r="G1496" t="str">
            <v>AR</v>
          </cell>
          <cell r="H1496" t="str">
            <v>ARRARMWTR</v>
          </cell>
          <cell r="I1496" t="str">
            <v>ARGT6131008</v>
          </cell>
          <cell r="J1496" t="str">
            <v>42</v>
          </cell>
          <cell r="K1496" t="str">
            <v>TROUSER</v>
          </cell>
          <cell r="L1496" t="str">
            <v>NOD</v>
          </cell>
        </row>
        <row r="1497">
          <cell r="C1497" t="str">
            <v>ARGT6131</v>
          </cell>
          <cell r="D1497" t="str">
            <v>CORE</v>
          </cell>
          <cell r="E1497" t="str">
            <v>CO26</v>
          </cell>
          <cell r="F1497">
            <v>2499</v>
          </cell>
          <cell r="G1497" t="str">
            <v>AR</v>
          </cell>
          <cell r="H1497" t="str">
            <v>ARRARMWTR</v>
          </cell>
          <cell r="I1497" t="str">
            <v>ARGT6131009</v>
          </cell>
          <cell r="J1497" t="str">
            <v>44</v>
          </cell>
          <cell r="K1497" t="str">
            <v>TROUSER</v>
          </cell>
          <cell r="L1497" t="str">
            <v>NOD</v>
          </cell>
        </row>
        <row r="1498">
          <cell r="C1498" t="str">
            <v>ARGT6131</v>
          </cell>
          <cell r="D1498" t="str">
            <v>CORE</v>
          </cell>
          <cell r="E1498" t="str">
            <v>CO26</v>
          </cell>
          <cell r="F1498">
            <v>2499</v>
          </cell>
          <cell r="G1498" t="str">
            <v>AR</v>
          </cell>
          <cell r="H1498" t="str">
            <v>ARRARMWTR</v>
          </cell>
          <cell r="I1498" t="str">
            <v>ARGT6131010</v>
          </cell>
          <cell r="J1498" t="str">
            <v>46</v>
          </cell>
          <cell r="K1498" t="str">
            <v>TROUSER</v>
          </cell>
          <cell r="L1498" t="str">
            <v>NOD</v>
          </cell>
        </row>
        <row r="1499">
          <cell r="C1499" t="str">
            <v>ARGT6131</v>
          </cell>
          <cell r="D1499" t="str">
            <v>CORE</v>
          </cell>
          <cell r="E1499" t="str">
            <v>CO26</v>
          </cell>
          <cell r="F1499">
            <v>2499</v>
          </cell>
          <cell r="G1499" t="str">
            <v>AR</v>
          </cell>
          <cell r="H1499" t="str">
            <v>ARRARMWTR</v>
          </cell>
          <cell r="I1499" t="str">
            <v>ARGT6131011</v>
          </cell>
          <cell r="J1499" t="str">
            <v>48</v>
          </cell>
          <cell r="K1499" t="str">
            <v>TROUSER</v>
          </cell>
          <cell r="L1499" t="str">
            <v>NOD</v>
          </cell>
        </row>
        <row r="1500">
          <cell r="C1500" t="str">
            <v>ARGT6131</v>
          </cell>
          <cell r="D1500" t="str">
            <v>CORE</v>
          </cell>
          <cell r="E1500" t="str">
            <v>CO26</v>
          </cell>
          <cell r="F1500">
            <v>2499</v>
          </cell>
          <cell r="G1500" t="str">
            <v>AR</v>
          </cell>
          <cell r="H1500" t="str">
            <v>ARRARMWTR</v>
          </cell>
          <cell r="I1500" t="str">
            <v>ARGT6131012</v>
          </cell>
          <cell r="J1500" t="str">
            <v>50</v>
          </cell>
          <cell r="K1500" t="str">
            <v>TROUSER</v>
          </cell>
          <cell r="L1500" t="str">
            <v>NOD</v>
          </cell>
        </row>
        <row r="1501">
          <cell r="C1501" t="str">
            <v>ARGT6135G</v>
          </cell>
          <cell r="D1501" t="str">
            <v>CORE</v>
          </cell>
          <cell r="E1501" t="str">
            <v>CO26</v>
          </cell>
          <cell r="F1501">
            <v>2599</v>
          </cell>
          <cell r="G1501" t="str">
            <v>AR</v>
          </cell>
          <cell r="H1501" t="str">
            <v>ARRARMWTR</v>
          </cell>
          <cell r="I1501" t="str">
            <v>ARGT6135G001</v>
          </cell>
          <cell r="J1501" t="str">
            <v>28</v>
          </cell>
          <cell r="K1501" t="str">
            <v>TROUSER</v>
          </cell>
          <cell r="L1501" t="str">
            <v>NOD</v>
          </cell>
        </row>
        <row r="1502">
          <cell r="C1502" t="str">
            <v>ARGT6135G</v>
          </cell>
          <cell r="D1502" t="str">
            <v>CORE</v>
          </cell>
          <cell r="E1502" t="str">
            <v>CO26</v>
          </cell>
          <cell r="F1502">
            <v>2599</v>
          </cell>
          <cell r="G1502" t="str">
            <v>AR</v>
          </cell>
          <cell r="H1502" t="str">
            <v>ARRARMWTR</v>
          </cell>
          <cell r="I1502" t="str">
            <v>ARGT6135G002</v>
          </cell>
          <cell r="J1502" t="str">
            <v>30</v>
          </cell>
          <cell r="K1502" t="str">
            <v>TROUSER</v>
          </cell>
          <cell r="L1502" t="str">
            <v>NOD</v>
          </cell>
        </row>
        <row r="1503">
          <cell r="C1503" t="str">
            <v>ARGT6135G</v>
          </cell>
          <cell r="D1503" t="str">
            <v>CORE</v>
          </cell>
          <cell r="E1503" t="str">
            <v>CO26</v>
          </cell>
          <cell r="F1503">
            <v>2599</v>
          </cell>
          <cell r="G1503" t="str">
            <v>AR</v>
          </cell>
          <cell r="H1503" t="str">
            <v>ARRARMWTR</v>
          </cell>
          <cell r="I1503" t="str">
            <v>ARGT6135G003</v>
          </cell>
          <cell r="J1503" t="str">
            <v>32</v>
          </cell>
          <cell r="K1503" t="str">
            <v>TROUSER</v>
          </cell>
          <cell r="L1503" t="str">
            <v>NOD</v>
          </cell>
        </row>
        <row r="1504">
          <cell r="C1504" t="str">
            <v>ARGT6135G</v>
          </cell>
          <cell r="D1504" t="str">
            <v>CORE</v>
          </cell>
          <cell r="E1504" t="str">
            <v>CO26</v>
          </cell>
          <cell r="F1504">
            <v>2599</v>
          </cell>
          <cell r="G1504" t="str">
            <v>AR</v>
          </cell>
          <cell r="H1504" t="str">
            <v>ARRARMWTR</v>
          </cell>
          <cell r="I1504" t="str">
            <v>ARGT6135G004</v>
          </cell>
          <cell r="J1504" t="str">
            <v>34</v>
          </cell>
          <cell r="K1504" t="str">
            <v>TROUSER</v>
          </cell>
          <cell r="L1504" t="str">
            <v>NOD</v>
          </cell>
        </row>
        <row r="1505">
          <cell r="C1505" t="str">
            <v>ARGT6135G</v>
          </cell>
          <cell r="D1505" t="str">
            <v>CORE</v>
          </cell>
          <cell r="E1505" t="str">
            <v>CO26</v>
          </cell>
          <cell r="F1505">
            <v>2599</v>
          </cell>
          <cell r="G1505" t="str">
            <v>AR</v>
          </cell>
          <cell r="H1505" t="str">
            <v>ARRARMWTR</v>
          </cell>
          <cell r="I1505" t="str">
            <v>ARGT6135G005</v>
          </cell>
          <cell r="J1505" t="str">
            <v>36</v>
          </cell>
          <cell r="K1505" t="str">
            <v>TROUSER</v>
          </cell>
          <cell r="L1505" t="str">
            <v>NOD</v>
          </cell>
        </row>
        <row r="1506">
          <cell r="C1506" t="str">
            <v>ARGT6135G</v>
          </cell>
          <cell r="D1506" t="str">
            <v>CORE</v>
          </cell>
          <cell r="E1506" t="str">
            <v>CO26</v>
          </cell>
          <cell r="F1506">
            <v>2599</v>
          </cell>
          <cell r="G1506" t="str">
            <v>AR</v>
          </cell>
          <cell r="H1506" t="str">
            <v>ARRARMWTR</v>
          </cell>
          <cell r="I1506" t="str">
            <v>ARGT6135G006</v>
          </cell>
          <cell r="J1506" t="str">
            <v>38</v>
          </cell>
          <cell r="K1506" t="str">
            <v>TROUSER</v>
          </cell>
          <cell r="L1506" t="str">
            <v>NOD</v>
          </cell>
        </row>
        <row r="1507">
          <cell r="C1507" t="str">
            <v>ARGT6135G</v>
          </cell>
          <cell r="D1507" t="str">
            <v>CORE</v>
          </cell>
          <cell r="E1507" t="str">
            <v>CO26</v>
          </cell>
          <cell r="F1507">
            <v>2599</v>
          </cell>
          <cell r="G1507" t="str">
            <v>AR</v>
          </cell>
          <cell r="H1507" t="str">
            <v>ARRARMWTR</v>
          </cell>
          <cell r="I1507" t="str">
            <v>ARGT6135G007</v>
          </cell>
          <cell r="J1507" t="str">
            <v>40</v>
          </cell>
          <cell r="K1507" t="str">
            <v>TROUSER</v>
          </cell>
          <cell r="L1507" t="str">
            <v>NOD</v>
          </cell>
        </row>
        <row r="1508">
          <cell r="C1508" t="str">
            <v>ARGT6135G</v>
          </cell>
          <cell r="D1508" t="str">
            <v>CORE</v>
          </cell>
          <cell r="E1508" t="str">
            <v>CO26</v>
          </cell>
          <cell r="F1508">
            <v>2599</v>
          </cell>
          <cell r="G1508" t="str">
            <v>AR</v>
          </cell>
          <cell r="H1508" t="str">
            <v>ARRARMWTR</v>
          </cell>
          <cell r="I1508" t="str">
            <v>ARGT6135G008</v>
          </cell>
          <cell r="J1508" t="str">
            <v>42</v>
          </cell>
          <cell r="K1508" t="str">
            <v>TROUSER</v>
          </cell>
          <cell r="L1508" t="str">
            <v>NOD</v>
          </cell>
        </row>
        <row r="1509">
          <cell r="C1509" t="str">
            <v>ARGT6135G</v>
          </cell>
          <cell r="D1509" t="str">
            <v>CORE</v>
          </cell>
          <cell r="E1509" t="str">
            <v>CO26</v>
          </cell>
          <cell r="F1509">
            <v>2599</v>
          </cell>
          <cell r="G1509" t="str">
            <v>AR</v>
          </cell>
          <cell r="H1509" t="str">
            <v>ARRARMWTR</v>
          </cell>
          <cell r="I1509" t="str">
            <v>ARGT6135G009</v>
          </cell>
          <cell r="J1509" t="str">
            <v>44</v>
          </cell>
          <cell r="K1509" t="str">
            <v>TROUSER</v>
          </cell>
          <cell r="L1509" t="str">
            <v>NOD</v>
          </cell>
        </row>
        <row r="1510">
          <cell r="C1510" t="str">
            <v>ARGT6135G</v>
          </cell>
          <cell r="D1510" t="str">
            <v>CORE</v>
          </cell>
          <cell r="E1510" t="str">
            <v>CO26</v>
          </cell>
          <cell r="F1510">
            <v>2599</v>
          </cell>
          <cell r="G1510" t="str">
            <v>AR</v>
          </cell>
          <cell r="H1510" t="str">
            <v>ARRARMWTR</v>
          </cell>
          <cell r="I1510" t="str">
            <v>ARGT6135G010</v>
          </cell>
          <cell r="J1510" t="str">
            <v>46</v>
          </cell>
          <cell r="K1510" t="str">
            <v>TROUSER</v>
          </cell>
          <cell r="L1510" t="str">
            <v>NOD</v>
          </cell>
        </row>
        <row r="1511">
          <cell r="C1511" t="str">
            <v>ARGT6135G</v>
          </cell>
          <cell r="D1511" t="str">
            <v>CORE</v>
          </cell>
          <cell r="E1511" t="str">
            <v>CO26</v>
          </cell>
          <cell r="F1511">
            <v>2599</v>
          </cell>
          <cell r="G1511" t="str">
            <v>AR</v>
          </cell>
          <cell r="H1511" t="str">
            <v>ARRARMWTR</v>
          </cell>
          <cell r="I1511" t="str">
            <v>ARGT6135G011</v>
          </cell>
          <cell r="J1511" t="str">
            <v>48</v>
          </cell>
          <cell r="K1511" t="str">
            <v>TROUSER</v>
          </cell>
          <cell r="L1511" t="str">
            <v>NOD</v>
          </cell>
        </row>
        <row r="1512">
          <cell r="C1512" t="str">
            <v>ARGT6135G</v>
          </cell>
          <cell r="D1512" t="str">
            <v>CORE</v>
          </cell>
          <cell r="E1512" t="str">
            <v>CO26</v>
          </cell>
          <cell r="F1512">
            <v>2599</v>
          </cell>
          <cell r="G1512" t="str">
            <v>AR</v>
          </cell>
          <cell r="H1512" t="str">
            <v>ARRARMWTR</v>
          </cell>
          <cell r="I1512" t="str">
            <v>ARGT6135G012</v>
          </cell>
          <cell r="J1512" t="str">
            <v>50</v>
          </cell>
          <cell r="K1512" t="str">
            <v>TROUSER</v>
          </cell>
          <cell r="L1512" t="str">
            <v>NOD</v>
          </cell>
        </row>
        <row r="1513">
          <cell r="C1513" t="str">
            <v>FMJEN3236</v>
          </cell>
          <cell r="D1513" t="str">
            <v>OCOR</v>
          </cell>
          <cell r="E1513" t="str">
            <v>OC25</v>
          </cell>
          <cell r="F1513">
            <v>3159</v>
          </cell>
          <cell r="G1513" t="str">
            <v>FM</v>
          </cell>
          <cell r="H1513" t="str">
            <v>FLMFMMJEN</v>
          </cell>
          <cell r="I1513" t="str">
            <v>FMJEN3236001</v>
          </cell>
          <cell r="J1513" t="str">
            <v>28</v>
          </cell>
          <cell r="K1513" t="str">
            <v>JEANS</v>
          </cell>
          <cell r="L1513" t="str">
            <v>NOD</v>
          </cell>
        </row>
        <row r="1514">
          <cell r="C1514" t="str">
            <v>FMJEN3236</v>
          </cell>
          <cell r="D1514" t="str">
            <v>OCOR</v>
          </cell>
          <cell r="E1514" t="str">
            <v>OC25</v>
          </cell>
          <cell r="F1514">
            <v>3159</v>
          </cell>
          <cell r="G1514" t="str">
            <v>FM</v>
          </cell>
          <cell r="H1514" t="str">
            <v>FLMFMMJEN</v>
          </cell>
          <cell r="I1514" t="str">
            <v>FMJEN3236002</v>
          </cell>
          <cell r="J1514" t="str">
            <v>30</v>
          </cell>
          <cell r="K1514" t="str">
            <v>JEANS</v>
          </cell>
          <cell r="L1514" t="str">
            <v>NOD</v>
          </cell>
        </row>
        <row r="1515">
          <cell r="C1515" t="str">
            <v>FMJEN3236</v>
          </cell>
          <cell r="D1515" t="str">
            <v>OCOR</v>
          </cell>
          <cell r="E1515" t="str">
            <v>OC25</v>
          </cell>
          <cell r="F1515">
            <v>3159</v>
          </cell>
          <cell r="G1515" t="str">
            <v>FM</v>
          </cell>
          <cell r="H1515" t="str">
            <v>FLMFMMJEN</v>
          </cell>
          <cell r="I1515" t="str">
            <v>FMJEN3236003</v>
          </cell>
          <cell r="J1515" t="str">
            <v>32</v>
          </cell>
          <cell r="K1515" t="str">
            <v>JEANS</v>
          </cell>
          <cell r="L1515" t="str">
            <v>NOD</v>
          </cell>
        </row>
        <row r="1516">
          <cell r="C1516" t="str">
            <v>FMJEN3236</v>
          </cell>
          <cell r="D1516" t="str">
            <v>OCOR</v>
          </cell>
          <cell r="E1516" t="str">
            <v>OC25</v>
          </cell>
          <cell r="F1516">
            <v>3159</v>
          </cell>
          <cell r="G1516" t="str">
            <v>FM</v>
          </cell>
          <cell r="H1516" t="str">
            <v>FLMFMMJEN</v>
          </cell>
          <cell r="I1516" t="str">
            <v>FMJEN3236004</v>
          </cell>
          <cell r="J1516" t="str">
            <v>34</v>
          </cell>
          <cell r="K1516" t="str">
            <v>JEANS</v>
          </cell>
          <cell r="L1516" t="str">
            <v>NOD</v>
          </cell>
        </row>
        <row r="1517">
          <cell r="C1517" t="str">
            <v>FMJEN3236</v>
          </cell>
          <cell r="D1517" t="str">
            <v>OCOR</v>
          </cell>
          <cell r="E1517" t="str">
            <v>OC25</v>
          </cell>
          <cell r="F1517">
            <v>3159</v>
          </cell>
          <cell r="G1517" t="str">
            <v>FM</v>
          </cell>
          <cell r="H1517" t="str">
            <v>FLMFMMJEN</v>
          </cell>
          <cell r="I1517" t="str">
            <v>FMJEN3236005</v>
          </cell>
          <cell r="J1517" t="str">
            <v>36</v>
          </cell>
          <cell r="K1517" t="str">
            <v>JEANS</v>
          </cell>
          <cell r="L1517" t="str">
            <v>NOD</v>
          </cell>
        </row>
        <row r="1518">
          <cell r="C1518" t="str">
            <v>FMJEN3236</v>
          </cell>
          <cell r="D1518" t="str">
            <v>OCOR</v>
          </cell>
          <cell r="E1518" t="str">
            <v>OC25</v>
          </cell>
          <cell r="F1518">
            <v>3159</v>
          </cell>
          <cell r="G1518" t="str">
            <v>FM</v>
          </cell>
          <cell r="H1518" t="str">
            <v>FLMFMMJEN</v>
          </cell>
          <cell r="I1518" t="str">
            <v>FMJEN3236006</v>
          </cell>
          <cell r="J1518" t="str">
            <v>38</v>
          </cell>
          <cell r="K1518" t="str">
            <v>JEANS</v>
          </cell>
          <cell r="L1518" t="str">
            <v>NOD</v>
          </cell>
        </row>
        <row r="1519">
          <cell r="C1519" t="str">
            <v>FMJEN3236</v>
          </cell>
          <cell r="D1519" t="str">
            <v>OCOR</v>
          </cell>
          <cell r="E1519" t="str">
            <v>OC25</v>
          </cell>
          <cell r="F1519">
            <v>3159</v>
          </cell>
          <cell r="G1519" t="str">
            <v>FM</v>
          </cell>
          <cell r="H1519" t="str">
            <v>FLMFMMJEN</v>
          </cell>
          <cell r="I1519" t="str">
            <v>FMJEN3236007</v>
          </cell>
          <cell r="J1519" t="str">
            <v>40</v>
          </cell>
          <cell r="K1519" t="str">
            <v>JEANS</v>
          </cell>
          <cell r="L1519" t="str">
            <v>NOD</v>
          </cell>
        </row>
        <row r="1520">
          <cell r="C1520" t="str">
            <v>FMJEN3236</v>
          </cell>
          <cell r="D1520" t="str">
            <v>OCOR</v>
          </cell>
          <cell r="E1520" t="str">
            <v>OC25</v>
          </cell>
          <cell r="F1520">
            <v>3159</v>
          </cell>
          <cell r="G1520" t="str">
            <v>FM</v>
          </cell>
          <cell r="H1520" t="str">
            <v>FLMFMMJEN</v>
          </cell>
          <cell r="I1520" t="str">
            <v>FMJEN3236008</v>
          </cell>
          <cell r="J1520" t="str">
            <v>42</v>
          </cell>
          <cell r="K1520" t="str">
            <v>JEANS</v>
          </cell>
          <cell r="L1520" t="str">
            <v>NOD</v>
          </cell>
        </row>
        <row r="1521">
          <cell r="C1521" t="str">
            <v>FMJEN3236</v>
          </cell>
          <cell r="D1521" t="str">
            <v>OCOR</v>
          </cell>
          <cell r="E1521" t="str">
            <v>OC25</v>
          </cell>
          <cell r="F1521">
            <v>3159</v>
          </cell>
          <cell r="G1521" t="str">
            <v>FM</v>
          </cell>
          <cell r="H1521" t="str">
            <v>FLMFMMJEN</v>
          </cell>
          <cell r="I1521" t="str">
            <v>FMJEN3236009</v>
          </cell>
          <cell r="J1521" t="str">
            <v>44</v>
          </cell>
          <cell r="K1521" t="str">
            <v>JEANS</v>
          </cell>
          <cell r="L1521" t="str">
            <v>NOD</v>
          </cell>
        </row>
        <row r="1522">
          <cell r="C1522" t="str">
            <v>FMJEN3254</v>
          </cell>
          <cell r="D1522" t="str">
            <v>OCOR</v>
          </cell>
          <cell r="E1522" t="str">
            <v>OC25</v>
          </cell>
          <cell r="F1522">
            <v>3159</v>
          </cell>
          <cell r="G1522" t="str">
            <v>FM</v>
          </cell>
          <cell r="H1522" t="str">
            <v>FLMFMMJEN</v>
          </cell>
          <cell r="I1522" t="str">
            <v>FMJEN3254001</v>
          </cell>
          <cell r="J1522" t="str">
            <v>28</v>
          </cell>
          <cell r="K1522" t="str">
            <v>JEANS</v>
          </cell>
          <cell r="L1522" t="str">
            <v>NOD</v>
          </cell>
        </row>
        <row r="1523">
          <cell r="C1523" t="str">
            <v>FMJEN3254</v>
          </cell>
          <cell r="D1523" t="str">
            <v>OCOR</v>
          </cell>
          <cell r="E1523" t="str">
            <v>OC25</v>
          </cell>
          <cell r="F1523">
            <v>3159</v>
          </cell>
          <cell r="G1523" t="str">
            <v>FM</v>
          </cell>
          <cell r="H1523" t="str">
            <v>FLMFMMJEN</v>
          </cell>
          <cell r="I1523" t="str">
            <v>FMJEN3254002</v>
          </cell>
          <cell r="J1523" t="str">
            <v>30</v>
          </cell>
          <cell r="K1523" t="str">
            <v>JEANS</v>
          </cell>
          <cell r="L1523" t="str">
            <v>NOD</v>
          </cell>
        </row>
        <row r="1524">
          <cell r="C1524" t="str">
            <v>FMJEN3254</v>
          </cell>
          <cell r="D1524" t="str">
            <v>OCOR</v>
          </cell>
          <cell r="E1524" t="str">
            <v>OC25</v>
          </cell>
          <cell r="F1524">
            <v>3159</v>
          </cell>
          <cell r="G1524" t="str">
            <v>FM</v>
          </cell>
          <cell r="H1524" t="str">
            <v>FLMFMMJEN</v>
          </cell>
          <cell r="I1524" t="str">
            <v>FMJEN3254003</v>
          </cell>
          <cell r="J1524" t="str">
            <v>32</v>
          </cell>
          <cell r="K1524" t="str">
            <v>JEANS</v>
          </cell>
          <cell r="L1524" t="str">
            <v>NOD</v>
          </cell>
        </row>
        <row r="1525">
          <cell r="C1525" t="str">
            <v>FMJEN3254</v>
          </cell>
          <cell r="D1525" t="str">
            <v>OCOR</v>
          </cell>
          <cell r="E1525" t="str">
            <v>OC25</v>
          </cell>
          <cell r="F1525">
            <v>3159</v>
          </cell>
          <cell r="G1525" t="str">
            <v>FM</v>
          </cell>
          <cell r="H1525" t="str">
            <v>FLMFMMJEN</v>
          </cell>
          <cell r="I1525" t="str">
            <v>FMJEN3254004</v>
          </cell>
          <cell r="J1525" t="str">
            <v>34</v>
          </cell>
          <cell r="K1525" t="str">
            <v>JEANS</v>
          </cell>
          <cell r="L1525" t="str">
            <v>NOD</v>
          </cell>
        </row>
        <row r="1526">
          <cell r="C1526" t="str">
            <v>FMJEN3254</v>
          </cell>
          <cell r="D1526" t="str">
            <v>OCOR</v>
          </cell>
          <cell r="E1526" t="str">
            <v>OC25</v>
          </cell>
          <cell r="F1526">
            <v>3159</v>
          </cell>
          <cell r="G1526" t="str">
            <v>FM</v>
          </cell>
          <cell r="H1526" t="str">
            <v>FLMFMMJEN</v>
          </cell>
          <cell r="I1526" t="str">
            <v>FMJEN3254005</v>
          </cell>
          <cell r="J1526" t="str">
            <v>36</v>
          </cell>
          <cell r="K1526" t="str">
            <v>JEANS</v>
          </cell>
          <cell r="L1526" t="str">
            <v>NOD</v>
          </cell>
        </row>
        <row r="1527">
          <cell r="C1527" t="str">
            <v>FMJEN3254</v>
          </cell>
          <cell r="D1527" t="str">
            <v>OCOR</v>
          </cell>
          <cell r="E1527" t="str">
            <v>OC25</v>
          </cell>
          <cell r="F1527">
            <v>3159</v>
          </cell>
          <cell r="G1527" t="str">
            <v>FM</v>
          </cell>
          <cell r="H1527" t="str">
            <v>FLMFMMJEN</v>
          </cell>
          <cell r="I1527" t="str">
            <v>FMJEN3254006</v>
          </cell>
          <cell r="J1527" t="str">
            <v>38</v>
          </cell>
          <cell r="K1527" t="str">
            <v>JEANS</v>
          </cell>
          <cell r="L1527" t="str">
            <v>NOD</v>
          </cell>
        </row>
        <row r="1528">
          <cell r="C1528" t="str">
            <v>FMJEN3254</v>
          </cell>
          <cell r="D1528" t="str">
            <v>OCOR</v>
          </cell>
          <cell r="E1528" t="str">
            <v>OC25</v>
          </cell>
          <cell r="F1528">
            <v>3159</v>
          </cell>
          <cell r="G1528" t="str">
            <v>FM</v>
          </cell>
          <cell r="H1528" t="str">
            <v>FLMFMMJEN</v>
          </cell>
          <cell r="I1528" t="str">
            <v>FMJEN3254007</v>
          </cell>
          <cell r="J1528" t="str">
            <v>40</v>
          </cell>
          <cell r="K1528" t="str">
            <v>JEANS</v>
          </cell>
          <cell r="L1528" t="str">
            <v>NOD</v>
          </cell>
        </row>
        <row r="1529">
          <cell r="C1529" t="str">
            <v>FMJEN3254</v>
          </cell>
          <cell r="D1529" t="str">
            <v>OCOR</v>
          </cell>
          <cell r="E1529" t="str">
            <v>OC25</v>
          </cell>
          <cell r="F1529">
            <v>3159</v>
          </cell>
          <cell r="G1529" t="str">
            <v>FM</v>
          </cell>
          <cell r="H1529" t="str">
            <v>FLMFMMJEN</v>
          </cell>
          <cell r="I1529" t="str">
            <v>FMJEN3254008</v>
          </cell>
          <cell r="J1529" t="str">
            <v>42</v>
          </cell>
          <cell r="K1529" t="str">
            <v>JEANS</v>
          </cell>
          <cell r="L1529" t="str">
            <v>NOD</v>
          </cell>
        </row>
        <row r="1530">
          <cell r="C1530" t="str">
            <v>FMJEN3254</v>
          </cell>
          <cell r="D1530" t="str">
            <v>OCOR</v>
          </cell>
          <cell r="E1530" t="str">
            <v>OC25</v>
          </cell>
          <cell r="F1530">
            <v>3159</v>
          </cell>
          <cell r="G1530" t="str">
            <v>FM</v>
          </cell>
          <cell r="H1530" t="str">
            <v>FLMFMMJEN</v>
          </cell>
          <cell r="I1530" t="str">
            <v>FMJEN3254009</v>
          </cell>
          <cell r="J1530" t="str">
            <v>44</v>
          </cell>
          <cell r="K1530" t="str">
            <v>JEANS</v>
          </cell>
          <cell r="L1530" t="str">
            <v>NOD</v>
          </cell>
        </row>
        <row r="1531">
          <cell r="C1531" t="str">
            <v>FMJEN3276</v>
          </cell>
          <cell r="D1531" t="str">
            <v>OCOR</v>
          </cell>
          <cell r="E1531" t="str">
            <v>OC25</v>
          </cell>
          <cell r="F1531">
            <v>3159</v>
          </cell>
          <cell r="G1531" t="str">
            <v>FM</v>
          </cell>
          <cell r="H1531" t="str">
            <v>FLMFMMJEN</v>
          </cell>
          <cell r="I1531" t="str">
            <v>FMJEN3276001</v>
          </cell>
          <cell r="J1531" t="str">
            <v>28</v>
          </cell>
          <cell r="K1531" t="str">
            <v>JEANS</v>
          </cell>
          <cell r="L1531" t="str">
            <v>NOD</v>
          </cell>
        </row>
        <row r="1532">
          <cell r="C1532" t="str">
            <v>FMJEN3276</v>
          </cell>
          <cell r="D1532" t="str">
            <v>OCOR</v>
          </cell>
          <cell r="E1532" t="str">
            <v>OC25</v>
          </cell>
          <cell r="F1532">
            <v>3159</v>
          </cell>
          <cell r="G1532" t="str">
            <v>FM</v>
          </cell>
          <cell r="H1532" t="str">
            <v>FLMFMMJEN</v>
          </cell>
          <cell r="I1532" t="str">
            <v>FMJEN3276002</v>
          </cell>
          <cell r="J1532" t="str">
            <v>30</v>
          </cell>
          <cell r="K1532" t="str">
            <v>JEANS</v>
          </cell>
          <cell r="L1532" t="str">
            <v>NOD</v>
          </cell>
        </row>
        <row r="1533">
          <cell r="C1533" t="str">
            <v>FMJEN3276</v>
          </cell>
          <cell r="D1533" t="str">
            <v>OCOR</v>
          </cell>
          <cell r="E1533" t="str">
            <v>OC25</v>
          </cell>
          <cell r="F1533">
            <v>3159</v>
          </cell>
          <cell r="G1533" t="str">
            <v>FM</v>
          </cell>
          <cell r="H1533" t="str">
            <v>FLMFMMJEN</v>
          </cell>
          <cell r="I1533" t="str">
            <v>FMJEN3276003</v>
          </cell>
          <cell r="J1533" t="str">
            <v>32</v>
          </cell>
          <cell r="K1533" t="str">
            <v>JEANS</v>
          </cell>
          <cell r="L1533" t="str">
            <v>NOD</v>
          </cell>
        </row>
        <row r="1534">
          <cell r="C1534" t="str">
            <v>FMJEN3276</v>
          </cell>
          <cell r="D1534" t="str">
            <v>OCOR</v>
          </cell>
          <cell r="E1534" t="str">
            <v>OC25</v>
          </cell>
          <cell r="F1534">
            <v>3159</v>
          </cell>
          <cell r="G1534" t="str">
            <v>FM</v>
          </cell>
          <cell r="H1534" t="str">
            <v>FLMFMMJEN</v>
          </cell>
          <cell r="I1534" t="str">
            <v>FMJEN3276004</v>
          </cell>
          <cell r="J1534" t="str">
            <v>34</v>
          </cell>
          <cell r="K1534" t="str">
            <v>JEANS</v>
          </cell>
          <cell r="L1534" t="str">
            <v>NOD</v>
          </cell>
        </row>
        <row r="1535">
          <cell r="C1535" t="str">
            <v>FMJEN3276</v>
          </cell>
          <cell r="D1535" t="str">
            <v>OCOR</v>
          </cell>
          <cell r="E1535" t="str">
            <v>OC25</v>
          </cell>
          <cell r="F1535">
            <v>3159</v>
          </cell>
          <cell r="G1535" t="str">
            <v>FM</v>
          </cell>
          <cell r="H1535" t="str">
            <v>FLMFMMJEN</v>
          </cell>
          <cell r="I1535" t="str">
            <v>FMJEN3276005</v>
          </cell>
          <cell r="J1535" t="str">
            <v>36</v>
          </cell>
          <cell r="K1535" t="str">
            <v>JEANS</v>
          </cell>
          <cell r="L1535" t="str">
            <v>NOD</v>
          </cell>
        </row>
        <row r="1536">
          <cell r="C1536" t="str">
            <v>FMJEN3276</v>
          </cell>
          <cell r="D1536" t="str">
            <v>OCOR</v>
          </cell>
          <cell r="E1536" t="str">
            <v>OC25</v>
          </cell>
          <cell r="F1536">
            <v>3159</v>
          </cell>
          <cell r="G1536" t="str">
            <v>FM</v>
          </cell>
          <cell r="H1536" t="str">
            <v>FLMFMMJEN</v>
          </cell>
          <cell r="I1536" t="str">
            <v>FMJEN3276006</v>
          </cell>
          <cell r="J1536" t="str">
            <v>38</v>
          </cell>
          <cell r="K1536" t="str">
            <v>JEANS</v>
          </cell>
          <cell r="L1536" t="str">
            <v>NOD</v>
          </cell>
        </row>
        <row r="1537">
          <cell r="C1537" t="str">
            <v>FMJEN3276</v>
          </cell>
          <cell r="D1537" t="str">
            <v>OCOR</v>
          </cell>
          <cell r="E1537" t="str">
            <v>OC25</v>
          </cell>
          <cell r="F1537">
            <v>3159</v>
          </cell>
          <cell r="G1537" t="str">
            <v>FM</v>
          </cell>
          <cell r="H1537" t="str">
            <v>FLMFMMJEN</v>
          </cell>
          <cell r="I1537" t="str">
            <v>FMJEN3276007</v>
          </cell>
          <cell r="J1537" t="str">
            <v>40</v>
          </cell>
          <cell r="K1537" t="str">
            <v>JEANS</v>
          </cell>
          <cell r="L1537" t="str">
            <v>NOD</v>
          </cell>
        </row>
        <row r="1538">
          <cell r="C1538" t="str">
            <v>FMJEN3276</v>
          </cell>
          <cell r="D1538" t="str">
            <v>OCOR</v>
          </cell>
          <cell r="E1538" t="str">
            <v>OC25</v>
          </cell>
          <cell r="F1538">
            <v>3159</v>
          </cell>
          <cell r="G1538" t="str">
            <v>FM</v>
          </cell>
          <cell r="H1538" t="str">
            <v>FLMFMMJEN</v>
          </cell>
          <cell r="I1538" t="str">
            <v>FMJEN3276008</v>
          </cell>
          <cell r="J1538" t="str">
            <v>42</v>
          </cell>
          <cell r="K1538" t="str">
            <v>JEANS</v>
          </cell>
          <cell r="L1538" t="str">
            <v>NOD</v>
          </cell>
        </row>
        <row r="1539">
          <cell r="C1539" t="str">
            <v>FMJEN3276</v>
          </cell>
          <cell r="D1539" t="str">
            <v>OCOR</v>
          </cell>
          <cell r="E1539" t="str">
            <v>OC25</v>
          </cell>
          <cell r="F1539">
            <v>3159</v>
          </cell>
          <cell r="G1539" t="str">
            <v>FM</v>
          </cell>
          <cell r="H1539" t="str">
            <v>FLMFMMJEN</v>
          </cell>
          <cell r="I1539" t="str">
            <v>FMJEN3276009</v>
          </cell>
          <cell r="J1539" t="str">
            <v>44</v>
          </cell>
          <cell r="K1539" t="str">
            <v>JEANS</v>
          </cell>
          <cell r="L1539" t="str">
            <v>NOD</v>
          </cell>
        </row>
        <row r="1540">
          <cell r="C1540" t="str">
            <v>FMJEN3337</v>
          </cell>
          <cell r="D1540" t="str">
            <v>OCOR</v>
          </cell>
          <cell r="E1540" t="str">
            <v>OC25</v>
          </cell>
          <cell r="F1540">
            <v>3475</v>
          </cell>
          <cell r="G1540" t="str">
            <v>FM</v>
          </cell>
          <cell r="H1540" t="str">
            <v>FLMFMMJEN</v>
          </cell>
          <cell r="I1540" t="str">
            <v>FMJEN3337001</v>
          </cell>
          <cell r="J1540" t="str">
            <v>28</v>
          </cell>
          <cell r="K1540" t="str">
            <v>JEANS</v>
          </cell>
          <cell r="L1540" t="str">
            <v>NOD</v>
          </cell>
        </row>
        <row r="1541">
          <cell r="C1541" t="str">
            <v>FMJEN3337</v>
          </cell>
          <cell r="D1541" t="str">
            <v>OCOR</v>
          </cell>
          <cell r="E1541" t="str">
            <v>OC25</v>
          </cell>
          <cell r="F1541">
            <v>3475</v>
          </cell>
          <cell r="G1541" t="str">
            <v>FM</v>
          </cell>
          <cell r="H1541" t="str">
            <v>FLMFMMJEN</v>
          </cell>
          <cell r="I1541" t="str">
            <v>FMJEN3337002</v>
          </cell>
          <cell r="J1541" t="str">
            <v>30</v>
          </cell>
          <cell r="K1541" t="str">
            <v>JEANS</v>
          </cell>
          <cell r="L1541" t="str">
            <v>NOD</v>
          </cell>
        </row>
        <row r="1542">
          <cell r="C1542" t="str">
            <v>FMJEN3337</v>
          </cell>
          <cell r="D1542" t="str">
            <v>OCOR</v>
          </cell>
          <cell r="E1542" t="str">
            <v>OC25</v>
          </cell>
          <cell r="F1542">
            <v>3475</v>
          </cell>
          <cell r="G1542" t="str">
            <v>FM</v>
          </cell>
          <cell r="H1542" t="str">
            <v>FLMFMMJEN</v>
          </cell>
          <cell r="I1542" t="str">
            <v>FMJEN3337003</v>
          </cell>
          <cell r="J1542" t="str">
            <v>32</v>
          </cell>
          <cell r="K1542" t="str">
            <v>JEANS</v>
          </cell>
          <cell r="L1542" t="str">
            <v>NOD</v>
          </cell>
        </row>
        <row r="1543">
          <cell r="C1543" t="str">
            <v>FMJEN3337</v>
          </cell>
          <cell r="D1543" t="str">
            <v>OCOR</v>
          </cell>
          <cell r="E1543" t="str">
            <v>OC25</v>
          </cell>
          <cell r="F1543">
            <v>3475</v>
          </cell>
          <cell r="G1543" t="str">
            <v>FM</v>
          </cell>
          <cell r="H1543" t="str">
            <v>FLMFMMJEN</v>
          </cell>
          <cell r="I1543" t="str">
            <v>FMJEN3337004</v>
          </cell>
          <cell r="J1543" t="str">
            <v>34</v>
          </cell>
          <cell r="K1543" t="str">
            <v>JEANS</v>
          </cell>
          <cell r="L1543" t="str">
            <v>NOD</v>
          </cell>
        </row>
        <row r="1544">
          <cell r="C1544" t="str">
            <v>FMJEN3337</v>
          </cell>
          <cell r="D1544" t="str">
            <v>OCOR</v>
          </cell>
          <cell r="E1544" t="str">
            <v>OC25</v>
          </cell>
          <cell r="F1544">
            <v>3475</v>
          </cell>
          <cell r="G1544" t="str">
            <v>FM</v>
          </cell>
          <cell r="H1544" t="str">
            <v>FLMFMMJEN</v>
          </cell>
          <cell r="I1544" t="str">
            <v>FMJEN3337005</v>
          </cell>
          <cell r="J1544" t="str">
            <v>36</v>
          </cell>
          <cell r="K1544" t="str">
            <v>JEANS</v>
          </cell>
          <cell r="L1544" t="str">
            <v>NOD</v>
          </cell>
        </row>
        <row r="1545">
          <cell r="C1545" t="str">
            <v>FMJEN3337</v>
          </cell>
          <cell r="D1545" t="str">
            <v>OCOR</v>
          </cell>
          <cell r="E1545" t="str">
            <v>OC25</v>
          </cell>
          <cell r="F1545">
            <v>3475</v>
          </cell>
          <cell r="G1545" t="str">
            <v>FM</v>
          </cell>
          <cell r="H1545" t="str">
            <v>FLMFMMJEN</v>
          </cell>
          <cell r="I1545" t="str">
            <v>FMJEN3337006</v>
          </cell>
          <cell r="J1545" t="str">
            <v>38</v>
          </cell>
          <cell r="K1545" t="str">
            <v>JEANS</v>
          </cell>
          <cell r="L1545" t="str">
            <v>NOD</v>
          </cell>
        </row>
        <row r="1546">
          <cell r="C1546" t="str">
            <v>FMJEN3337</v>
          </cell>
          <cell r="D1546" t="str">
            <v>OCOR</v>
          </cell>
          <cell r="E1546" t="str">
            <v>OC25</v>
          </cell>
          <cell r="F1546">
            <v>3475</v>
          </cell>
          <cell r="G1546" t="str">
            <v>FM</v>
          </cell>
          <cell r="H1546" t="str">
            <v>FLMFMMJEN</v>
          </cell>
          <cell r="I1546" t="str">
            <v>FMJEN3337007</v>
          </cell>
          <cell r="J1546" t="str">
            <v>40</v>
          </cell>
          <cell r="K1546" t="str">
            <v>JEANS</v>
          </cell>
          <cell r="L1546" t="str">
            <v>NOD</v>
          </cell>
        </row>
        <row r="1547">
          <cell r="C1547" t="str">
            <v>FMJEN3337</v>
          </cell>
          <cell r="D1547" t="str">
            <v>OCOR</v>
          </cell>
          <cell r="E1547" t="str">
            <v>OC25</v>
          </cell>
          <cell r="F1547">
            <v>3475</v>
          </cell>
          <cell r="G1547" t="str">
            <v>FM</v>
          </cell>
          <cell r="H1547" t="str">
            <v>FLMFMMJEN</v>
          </cell>
          <cell r="I1547" t="str">
            <v>FMJEN3337008</v>
          </cell>
          <cell r="J1547" t="str">
            <v>42</v>
          </cell>
          <cell r="K1547" t="str">
            <v>JEANS</v>
          </cell>
          <cell r="L1547" t="str">
            <v>NOD</v>
          </cell>
        </row>
        <row r="1548">
          <cell r="C1548" t="str">
            <v>FMJEN3337</v>
          </cell>
          <cell r="D1548" t="str">
            <v>OCOR</v>
          </cell>
          <cell r="E1548" t="str">
            <v>OC25</v>
          </cell>
          <cell r="F1548">
            <v>3475</v>
          </cell>
          <cell r="G1548" t="str">
            <v>FM</v>
          </cell>
          <cell r="H1548" t="str">
            <v>FLMFMMJEN</v>
          </cell>
          <cell r="I1548" t="str">
            <v>FMJEN3337009</v>
          </cell>
          <cell r="J1548" t="str">
            <v>44</v>
          </cell>
          <cell r="K1548" t="str">
            <v>JEANS</v>
          </cell>
          <cell r="L1548" t="str">
            <v>NOD</v>
          </cell>
        </row>
        <row r="1549">
          <cell r="C1549" t="str">
            <v>FMJEN4538</v>
          </cell>
          <cell r="D1549" t="str">
            <v>OCOR</v>
          </cell>
          <cell r="E1549" t="str">
            <v>OC25</v>
          </cell>
          <cell r="F1549">
            <v>3159</v>
          </cell>
          <cell r="G1549" t="str">
            <v>FM</v>
          </cell>
          <cell r="H1549" t="str">
            <v>FLMFMMJEN</v>
          </cell>
          <cell r="I1549" t="str">
            <v>FMJEN4538001</v>
          </cell>
          <cell r="J1549" t="str">
            <v>28</v>
          </cell>
          <cell r="K1549" t="str">
            <v>JEANS</v>
          </cell>
          <cell r="L1549" t="str">
            <v>NOD</v>
          </cell>
        </row>
        <row r="1550">
          <cell r="C1550" t="str">
            <v>FMJEN4538</v>
          </cell>
          <cell r="D1550" t="str">
            <v>OCOR</v>
          </cell>
          <cell r="E1550" t="str">
            <v>OC25</v>
          </cell>
          <cell r="F1550">
            <v>3159</v>
          </cell>
          <cell r="G1550" t="str">
            <v>FM</v>
          </cell>
          <cell r="H1550" t="str">
            <v>FLMFMMJEN</v>
          </cell>
          <cell r="I1550" t="str">
            <v>FMJEN4538002</v>
          </cell>
          <cell r="J1550" t="str">
            <v>30</v>
          </cell>
          <cell r="K1550" t="str">
            <v>JEANS</v>
          </cell>
          <cell r="L1550" t="str">
            <v>NOD</v>
          </cell>
        </row>
        <row r="1551">
          <cell r="C1551" t="str">
            <v>FMJEN4538</v>
          </cell>
          <cell r="D1551" t="str">
            <v>OCOR</v>
          </cell>
          <cell r="E1551" t="str">
            <v>OC25</v>
          </cell>
          <cell r="F1551">
            <v>3159</v>
          </cell>
          <cell r="G1551" t="str">
            <v>FM</v>
          </cell>
          <cell r="H1551" t="str">
            <v>FLMFMMJEN</v>
          </cell>
          <cell r="I1551" t="str">
            <v>FMJEN4538003</v>
          </cell>
          <cell r="J1551" t="str">
            <v>32</v>
          </cell>
          <cell r="K1551" t="str">
            <v>JEANS</v>
          </cell>
          <cell r="L1551" t="str">
            <v>NOD</v>
          </cell>
        </row>
        <row r="1552">
          <cell r="C1552" t="str">
            <v>FMJEN4538</v>
          </cell>
          <cell r="D1552" t="str">
            <v>OCOR</v>
          </cell>
          <cell r="E1552" t="str">
            <v>OC25</v>
          </cell>
          <cell r="F1552">
            <v>3159</v>
          </cell>
          <cell r="G1552" t="str">
            <v>FM</v>
          </cell>
          <cell r="H1552" t="str">
            <v>FLMFMMJEN</v>
          </cell>
          <cell r="I1552" t="str">
            <v>FMJEN4538004</v>
          </cell>
          <cell r="J1552" t="str">
            <v>34</v>
          </cell>
          <cell r="K1552" t="str">
            <v>JEANS</v>
          </cell>
          <cell r="L1552" t="str">
            <v>NOD</v>
          </cell>
        </row>
        <row r="1553">
          <cell r="C1553" t="str">
            <v>FMJEN4538</v>
          </cell>
          <cell r="D1553" t="str">
            <v>OCOR</v>
          </cell>
          <cell r="E1553" t="str">
            <v>OC25</v>
          </cell>
          <cell r="F1553">
            <v>3159</v>
          </cell>
          <cell r="G1553" t="str">
            <v>FM</v>
          </cell>
          <cell r="H1553" t="str">
            <v>FLMFMMJEN</v>
          </cell>
          <cell r="I1553" t="str">
            <v>FMJEN4538005</v>
          </cell>
          <cell r="J1553" t="str">
            <v>36</v>
          </cell>
          <cell r="K1553" t="str">
            <v>JEANS</v>
          </cell>
          <cell r="L1553" t="str">
            <v>NOD</v>
          </cell>
        </row>
        <row r="1554">
          <cell r="C1554" t="str">
            <v>FMJEN4538</v>
          </cell>
          <cell r="D1554" t="str">
            <v>OCOR</v>
          </cell>
          <cell r="E1554" t="str">
            <v>OC25</v>
          </cell>
          <cell r="F1554">
            <v>3159</v>
          </cell>
          <cell r="G1554" t="str">
            <v>FM</v>
          </cell>
          <cell r="H1554" t="str">
            <v>FLMFMMJEN</v>
          </cell>
          <cell r="I1554" t="str">
            <v>FMJEN4538006</v>
          </cell>
          <cell r="J1554" t="str">
            <v>38</v>
          </cell>
          <cell r="K1554" t="str">
            <v>JEANS</v>
          </cell>
          <cell r="L1554" t="str">
            <v>NOD</v>
          </cell>
        </row>
        <row r="1555">
          <cell r="C1555" t="str">
            <v>FMJEN4538</v>
          </cell>
          <cell r="D1555" t="str">
            <v>OCOR</v>
          </cell>
          <cell r="E1555" t="str">
            <v>OC25</v>
          </cell>
          <cell r="F1555">
            <v>3159</v>
          </cell>
          <cell r="G1555" t="str">
            <v>FM</v>
          </cell>
          <cell r="H1555" t="str">
            <v>FLMFMMJEN</v>
          </cell>
          <cell r="I1555" t="str">
            <v>FMJEN4538007</v>
          </cell>
          <cell r="J1555" t="str">
            <v>40</v>
          </cell>
          <cell r="K1555" t="str">
            <v>JEANS</v>
          </cell>
          <cell r="L1555" t="str">
            <v>NOD</v>
          </cell>
        </row>
        <row r="1556">
          <cell r="C1556" t="str">
            <v>FMJEN4538</v>
          </cell>
          <cell r="D1556" t="str">
            <v>OCOR</v>
          </cell>
          <cell r="E1556" t="str">
            <v>OC25</v>
          </cell>
          <cell r="F1556">
            <v>3159</v>
          </cell>
          <cell r="G1556" t="str">
            <v>FM</v>
          </cell>
          <cell r="H1556" t="str">
            <v>FLMFMMJEN</v>
          </cell>
          <cell r="I1556" t="str">
            <v>FMJEN4538008</v>
          </cell>
          <cell r="J1556" t="str">
            <v>42</v>
          </cell>
          <cell r="K1556" t="str">
            <v>JEANS</v>
          </cell>
          <cell r="L1556" t="str">
            <v>NOD</v>
          </cell>
        </row>
        <row r="1557">
          <cell r="C1557" t="str">
            <v>FMJEN4538</v>
          </cell>
          <cell r="D1557" t="str">
            <v>OCOR</v>
          </cell>
          <cell r="E1557" t="str">
            <v>OC25</v>
          </cell>
          <cell r="F1557">
            <v>3159</v>
          </cell>
          <cell r="G1557" t="str">
            <v>FM</v>
          </cell>
          <cell r="H1557" t="str">
            <v>FLMFMMJEN</v>
          </cell>
          <cell r="I1557" t="str">
            <v>FMJEN4538009</v>
          </cell>
          <cell r="J1557" t="str">
            <v>44</v>
          </cell>
          <cell r="K1557" t="str">
            <v>JEANS</v>
          </cell>
          <cell r="L1557" t="str">
            <v>NOD</v>
          </cell>
        </row>
        <row r="1558">
          <cell r="C1558" t="str">
            <v>FMJEN4570</v>
          </cell>
          <cell r="D1558" t="str">
            <v>OCOR</v>
          </cell>
          <cell r="E1558" t="str">
            <v>OC25</v>
          </cell>
          <cell r="F1558">
            <v>3159</v>
          </cell>
          <cell r="G1558" t="str">
            <v>FM</v>
          </cell>
          <cell r="H1558" t="str">
            <v>FLMFMMJEN</v>
          </cell>
          <cell r="I1558" t="str">
            <v>FMJEN4570001</v>
          </cell>
          <cell r="J1558" t="str">
            <v>28</v>
          </cell>
          <cell r="K1558" t="str">
            <v>JEANS</v>
          </cell>
          <cell r="L1558" t="str">
            <v>NOD</v>
          </cell>
        </row>
        <row r="1559">
          <cell r="C1559" t="str">
            <v>FMJEN4570</v>
          </cell>
          <cell r="D1559" t="str">
            <v>OCOR</v>
          </cell>
          <cell r="E1559" t="str">
            <v>OC25</v>
          </cell>
          <cell r="F1559">
            <v>3159</v>
          </cell>
          <cell r="G1559" t="str">
            <v>FM</v>
          </cell>
          <cell r="H1559" t="str">
            <v>FLMFMMJEN</v>
          </cell>
          <cell r="I1559" t="str">
            <v>FMJEN4570002</v>
          </cell>
          <cell r="J1559" t="str">
            <v>30</v>
          </cell>
          <cell r="K1559" t="str">
            <v>JEANS</v>
          </cell>
          <cell r="L1559" t="str">
            <v>NOD</v>
          </cell>
        </row>
        <row r="1560">
          <cell r="C1560" t="str">
            <v>FMJEN4570</v>
          </cell>
          <cell r="D1560" t="str">
            <v>OCOR</v>
          </cell>
          <cell r="E1560" t="str">
            <v>OC25</v>
          </cell>
          <cell r="F1560">
            <v>3159</v>
          </cell>
          <cell r="G1560" t="str">
            <v>FM</v>
          </cell>
          <cell r="H1560" t="str">
            <v>FLMFMMJEN</v>
          </cell>
          <cell r="I1560" t="str">
            <v>FMJEN4570003</v>
          </cell>
          <cell r="J1560" t="str">
            <v>32</v>
          </cell>
          <cell r="K1560" t="str">
            <v>JEANS</v>
          </cell>
          <cell r="L1560" t="str">
            <v>NOD</v>
          </cell>
        </row>
        <row r="1561">
          <cell r="C1561" t="str">
            <v>FMJEN4570</v>
          </cell>
          <cell r="D1561" t="str">
            <v>OCOR</v>
          </cell>
          <cell r="E1561" t="str">
            <v>OC25</v>
          </cell>
          <cell r="F1561">
            <v>3159</v>
          </cell>
          <cell r="G1561" t="str">
            <v>FM</v>
          </cell>
          <cell r="H1561" t="str">
            <v>FLMFMMJEN</v>
          </cell>
          <cell r="I1561" t="str">
            <v>FMJEN4570004</v>
          </cell>
          <cell r="J1561" t="str">
            <v>34</v>
          </cell>
          <cell r="K1561" t="str">
            <v>JEANS</v>
          </cell>
          <cell r="L1561" t="str">
            <v>NOD</v>
          </cell>
        </row>
        <row r="1562">
          <cell r="C1562" t="str">
            <v>FMJEN4570</v>
          </cell>
          <cell r="D1562" t="str">
            <v>OCOR</v>
          </cell>
          <cell r="E1562" t="str">
            <v>OC25</v>
          </cell>
          <cell r="F1562">
            <v>3159</v>
          </cell>
          <cell r="G1562" t="str">
            <v>FM</v>
          </cell>
          <cell r="H1562" t="str">
            <v>FLMFMMJEN</v>
          </cell>
          <cell r="I1562" t="str">
            <v>FMJEN4570005</v>
          </cell>
          <cell r="J1562" t="str">
            <v>36</v>
          </cell>
          <cell r="K1562" t="str">
            <v>JEANS</v>
          </cell>
          <cell r="L1562" t="str">
            <v>NOD</v>
          </cell>
        </row>
        <row r="1563">
          <cell r="C1563" t="str">
            <v>FMJEN4570</v>
          </cell>
          <cell r="D1563" t="str">
            <v>OCOR</v>
          </cell>
          <cell r="E1563" t="str">
            <v>OC25</v>
          </cell>
          <cell r="F1563">
            <v>3159</v>
          </cell>
          <cell r="G1563" t="str">
            <v>FM</v>
          </cell>
          <cell r="H1563" t="str">
            <v>FLMFMMJEN</v>
          </cell>
          <cell r="I1563" t="str">
            <v>FMJEN4570006</v>
          </cell>
          <cell r="J1563" t="str">
            <v>38</v>
          </cell>
          <cell r="K1563" t="str">
            <v>JEANS</v>
          </cell>
          <cell r="L1563" t="str">
            <v>NOD</v>
          </cell>
        </row>
        <row r="1564">
          <cell r="C1564" t="str">
            <v>FMJEN4570</v>
          </cell>
          <cell r="D1564" t="str">
            <v>OCOR</v>
          </cell>
          <cell r="E1564" t="str">
            <v>OC25</v>
          </cell>
          <cell r="F1564">
            <v>3159</v>
          </cell>
          <cell r="G1564" t="str">
            <v>FM</v>
          </cell>
          <cell r="H1564" t="str">
            <v>FLMFMMJEN</v>
          </cell>
          <cell r="I1564" t="str">
            <v>FMJEN4570007</v>
          </cell>
          <cell r="J1564" t="str">
            <v>40</v>
          </cell>
          <cell r="K1564" t="str">
            <v>JEANS</v>
          </cell>
          <cell r="L1564" t="str">
            <v>NOD</v>
          </cell>
        </row>
        <row r="1565">
          <cell r="C1565" t="str">
            <v>FMJEN4570</v>
          </cell>
          <cell r="D1565" t="str">
            <v>OCOR</v>
          </cell>
          <cell r="E1565" t="str">
            <v>OC25</v>
          </cell>
          <cell r="F1565">
            <v>3159</v>
          </cell>
          <cell r="G1565" t="str">
            <v>FM</v>
          </cell>
          <cell r="H1565" t="str">
            <v>FLMFMMJEN</v>
          </cell>
          <cell r="I1565" t="str">
            <v>FMJEN4570008</v>
          </cell>
          <cell r="J1565" t="str">
            <v>42</v>
          </cell>
          <cell r="K1565" t="str">
            <v>JEANS</v>
          </cell>
          <cell r="L1565" t="str">
            <v>NOD</v>
          </cell>
        </row>
        <row r="1566">
          <cell r="C1566" t="str">
            <v>FMJEN4570</v>
          </cell>
          <cell r="D1566" t="str">
            <v>OCOR</v>
          </cell>
          <cell r="E1566" t="str">
            <v>OC25</v>
          </cell>
          <cell r="F1566">
            <v>3159</v>
          </cell>
          <cell r="G1566" t="str">
            <v>FM</v>
          </cell>
          <cell r="H1566" t="str">
            <v>FLMFMMJEN</v>
          </cell>
          <cell r="I1566" t="str">
            <v>FMJEN4570009</v>
          </cell>
          <cell r="J1566" t="str">
            <v>44</v>
          </cell>
          <cell r="K1566" t="str">
            <v>JEANS</v>
          </cell>
          <cell r="L1566" t="str">
            <v>NOD</v>
          </cell>
        </row>
        <row r="1567">
          <cell r="C1567" t="str">
            <v>FMJEN4615</v>
          </cell>
          <cell r="D1567" t="str">
            <v>OCOR</v>
          </cell>
          <cell r="E1567" t="str">
            <v>OC25</v>
          </cell>
          <cell r="F1567">
            <v>3159</v>
          </cell>
          <cell r="G1567" t="str">
            <v>FM</v>
          </cell>
          <cell r="H1567" t="str">
            <v>FLMFMMJEN</v>
          </cell>
          <cell r="I1567" t="str">
            <v>FMJEN4615001</v>
          </cell>
          <cell r="J1567" t="str">
            <v>28</v>
          </cell>
          <cell r="K1567" t="str">
            <v>JEANS</v>
          </cell>
          <cell r="L1567" t="str">
            <v>NOD</v>
          </cell>
        </row>
        <row r="1568">
          <cell r="C1568" t="str">
            <v>FMJEN4615</v>
          </cell>
          <cell r="D1568" t="str">
            <v>OCOR</v>
          </cell>
          <cell r="E1568" t="str">
            <v>OC25</v>
          </cell>
          <cell r="F1568">
            <v>3159</v>
          </cell>
          <cell r="G1568" t="str">
            <v>FM</v>
          </cell>
          <cell r="H1568" t="str">
            <v>FLMFMMJEN</v>
          </cell>
          <cell r="I1568" t="str">
            <v>FMJEN4615002</v>
          </cell>
          <cell r="J1568" t="str">
            <v>30</v>
          </cell>
          <cell r="K1568" t="str">
            <v>JEANS</v>
          </cell>
          <cell r="L1568" t="str">
            <v>NOD</v>
          </cell>
        </row>
        <row r="1569">
          <cell r="C1569" t="str">
            <v>FMJEN4615</v>
          </cell>
          <cell r="D1569" t="str">
            <v>OCOR</v>
          </cell>
          <cell r="E1569" t="str">
            <v>OC25</v>
          </cell>
          <cell r="F1569">
            <v>3159</v>
          </cell>
          <cell r="G1569" t="str">
            <v>FM</v>
          </cell>
          <cell r="H1569" t="str">
            <v>FLMFMMJEN</v>
          </cell>
          <cell r="I1569" t="str">
            <v>FMJEN4615003</v>
          </cell>
          <cell r="J1569" t="str">
            <v>32</v>
          </cell>
          <cell r="K1569" t="str">
            <v>JEANS</v>
          </cell>
          <cell r="L1569" t="str">
            <v>NOD</v>
          </cell>
        </row>
        <row r="1570">
          <cell r="C1570" t="str">
            <v>FMJEN4615</v>
          </cell>
          <cell r="D1570" t="str">
            <v>OCOR</v>
          </cell>
          <cell r="E1570" t="str">
            <v>OC25</v>
          </cell>
          <cell r="F1570">
            <v>3159</v>
          </cell>
          <cell r="G1570" t="str">
            <v>FM</v>
          </cell>
          <cell r="H1570" t="str">
            <v>FLMFMMJEN</v>
          </cell>
          <cell r="I1570" t="str">
            <v>FMJEN4615004</v>
          </cell>
          <cell r="J1570" t="str">
            <v>34</v>
          </cell>
          <cell r="K1570" t="str">
            <v>JEANS</v>
          </cell>
          <cell r="L1570" t="str">
            <v>NOD</v>
          </cell>
        </row>
        <row r="1571">
          <cell r="C1571" t="str">
            <v>FMJEN4615</v>
          </cell>
          <cell r="D1571" t="str">
            <v>OCOR</v>
          </cell>
          <cell r="E1571" t="str">
            <v>OC25</v>
          </cell>
          <cell r="F1571">
            <v>3159</v>
          </cell>
          <cell r="G1571" t="str">
            <v>FM</v>
          </cell>
          <cell r="H1571" t="str">
            <v>FLMFMMJEN</v>
          </cell>
          <cell r="I1571" t="str">
            <v>FMJEN4615005</v>
          </cell>
          <cell r="J1571" t="str">
            <v>36</v>
          </cell>
          <cell r="K1571" t="str">
            <v>JEANS</v>
          </cell>
          <cell r="L1571" t="str">
            <v>NOD</v>
          </cell>
        </row>
        <row r="1572">
          <cell r="C1572" t="str">
            <v>FMJEN4615</v>
          </cell>
          <cell r="D1572" t="str">
            <v>OCOR</v>
          </cell>
          <cell r="E1572" t="str">
            <v>OC25</v>
          </cell>
          <cell r="F1572">
            <v>3159</v>
          </cell>
          <cell r="G1572" t="str">
            <v>FM</v>
          </cell>
          <cell r="H1572" t="str">
            <v>FLMFMMJEN</v>
          </cell>
          <cell r="I1572" t="str">
            <v>FMJEN4615006</v>
          </cell>
          <cell r="J1572" t="str">
            <v>38</v>
          </cell>
          <cell r="K1572" t="str">
            <v>JEANS</v>
          </cell>
          <cell r="L1572" t="str">
            <v>NOD</v>
          </cell>
        </row>
        <row r="1573">
          <cell r="C1573" t="str">
            <v>FMJEN4615</v>
          </cell>
          <cell r="D1573" t="str">
            <v>OCOR</v>
          </cell>
          <cell r="E1573" t="str">
            <v>OC25</v>
          </cell>
          <cell r="F1573">
            <v>3159</v>
          </cell>
          <cell r="G1573" t="str">
            <v>FM</v>
          </cell>
          <cell r="H1573" t="str">
            <v>FLMFMMJEN</v>
          </cell>
          <cell r="I1573" t="str">
            <v>FMJEN4615007</v>
          </cell>
          <cell r="J1573" t="str">
            <v>40</v>
          </cell>
          <cell r="K1573" t="str">
            <v>JEANS</v>
          </cell>
          <cell r="L1573" t="str">
            <v>NOD</v>
          </cell>
        </row>
        <row r="1574">
          <cell r="C1574" t="str">
            <v>FMJEN4615</v>
          </cell>
          <cell r="D1574" t="str">
            <v>OCOR</v>
          </cell>
          <cell r="E1574" t="str">
            <v>OC25</v>
          </cell>
          <cell r="F1574">
            <v>3159</v>
          </cell>
          <cell r="G1574" t="str">
            <v>FM</v>
          </cell>
          <cell r="H1574" t="str">
            <v>FLMFMMJEN</v>
          </cell>
          <cell r="I1574" t="str">
            <v>FMJEN4615008</v>
          </cell>
          <cell r="J1574" t="str">
            <v>42</v>
          </cell>
          <cell r="K1574" t="str">
            <v>JEANS</v>
          </cell>
          <cell r="L1574" t="str">
            <v>NOD</v>
          </cell>
        </row>
        <row r="1575">
          <cell r="C1575" t="str">
            <v>FMJEN4615</v>
          </cell>
          <cell r="D1575" t="str">
            <v>OCOR</v>
          </cell>
          <cell r="E1575" t="str">
            <v>OC25</v>
          </cell>
          <cell r="F1575">
            <v>3159</v>
          </cell>
          <cell r="G1575" t="str">
            <v>FM</v>
          </cell>
          <cell r="H1575" t="str">
            <v>FLMFMMJEN</v>
          </cell>
          <cell r="I1575" t="str">
            <v>FMJEN4615009</v>
          </cell>
          <cell r="J1575" t="str">
            <v>44</v>
          </cell>
          <cell r="K1575" t="str">
            <v>JEANS</v>
          </cell>
          <cell r="L1575" t="str">
            <v>NOD</v>
          </cell>
        </row>
        <row r="1576">
          <cell r="C1576" t="str">
            <v>FMJEN4615</v>
          </cell>
          <cell r="D1576" t="str">
            <v>OCOR</v>
          </cell>
          <cell r="E1576" t="str">
            <v>OC25</v>
          </cell>
          <cell r="F1576">
            <v>3159</v>
          </cell>
          <cell r="G1576" t="str">
            <v>FM</v>
          </cell>
          <cell r="H1576" t="str">
            <v>FLMFMMJEN</v>
          </cell>
          <cell r="I1576" t="str">
            <v>FMJEN4615010</v>
          </cell>
          <cell r="J1576" t="str">
            <v>46</v>
          </cell>
          <cell r="K1576" t="str">
            <v>JEANS</v>
          </cell>
          <cell r="L1576" t="str">
            <v>NOD</v>
          </cell>
        </row>
        <row r="1577">
          <cell r="C1577" t="str">
            <v>FMJEN4618</v>
          </cell>
          <cell r="D1577" t="str">
            <v>OCOR</v>
          </cell>
          <cell r="E1577" t="str">
            <v>OC25</v>
          </cell>
          <cell r="F1577">
            <v>3159</v>
          </cell>
          <cell r="G1577" t="str">
            <v>FM</v>
          </cell>
          <cell r="H1577" t="str">
            <v>FLMFMMJEN</v>
          </cell>
          <cell r="I1577" t="str">
            <v>FMJEN4618001</v>
          </cell>
          <cell r="J1577" t="str">
            <v>28</v>
          </cell>
          <cell r="K1577" t="str">
            <v>JEANS</v>
          </cell>
          <cell r="L1577" t="str">
            <v>NOD</v>
          </cell>
        </row>
        <row r="1578">
          <cell r="C1578" t="str">
            <v>FMJEN4618</v>
          </cell>
          <cell r="D1578" t="str">
            <v>OCOR</v>
          </cell>
          <cell r="E1578" t="str">
            <v>OC25</v>
          </cell>
          <cell r="F1578">
            <v>3159</v>
          </cell>
          <cell r="G1578" t="str">
            <v>FM</v>
          </cell>
          <cell r="H1578" t="str">
            <v>FLMFMMJEN</v>
          </cell>
          <cell r="I1578" t="str">
            <v>FMJEN4618002</v>
          </cell>
          <cell r="J1578" t="str">
            <v>30</v>
          </cell>
          <cell r="K1578" t="str">
            <v>JEANS</v>
          </cell>
          <cell r="L1578" t="str">
            <v>NOD</v>
          </cell>
        </row>
        <row r="1579">
          <cell r="C1579" t="str">
            <v>FMJEN4618</v>
          </cell>
          <cell r="D1579" t="str">
            <v>OCOR</v>
          </cell>
          <cell r="E1579" t="str">
            <v>OC25</v>
          </cell>
          <cell r="F1579">
            <v>3159</v>
          </cell>
          <cell r="G1579" t="str">
            <v>FM</v>
          </cell>
          <cell r="H1579" t="str">
            <v>FLMFMMJEN</v>
          </cell>
          <cell r="I1579" t="str">
            <v>FMJEN4618003</v>
          </cell>
          <cell r="J1579" t="str">
            <v>32</v>
          </cell>
          <cell r="K1579" t="str">
            <v>JEANS</v>
          </cell>
          <cell r="L1579" t="str">
            <v>NOD</v>
          </cell>
        </row>
        <row r="1580">
          <cell r="C1580" t="str">
            <v>FMJEN4618</v>
          </cell>
          <cell r="D1580" t="str">
            <v>OCOR</v>
          </cell>
          <cell r="E1580" t="str">
            <v>OC25</v>
          </cell>
          <cell r="F1580">
            <v>3159</v>
          </cell>
          <cell r="G1580" t="str">
            <v>FM</v>
          </cell>
          <cell r="H1580" t="str">
            <v>FLMFMMJEN</v>
          </cell>
          <cell r="I1580" t="str">
            <v>FMJEN4618004</v>
          </cell>
          <cell r="J1580" t="str">
            <v>34</v>
          </cell>
          <cell r="K1580" t="str">
            <v>JEANS</v>
          </cell>
          <cell r="L1580" t="str">
            <v>NOD</v>
          </cell>
        </row>
        <row r="1581">
          <cell r="C1581" t="str">
            <v>FMJEN4618</v>
          </cell>
          <cell r="D1581" t="str">
            <v>OCOR</v>
          </cell>
          <cell r="E1581" t="str">
            <v>OC25</v>
          </cell>
          <cell r="F1581">
            <v>3159</v>
          </cell>
          <cell r="G1581" t="str">
            <v>FM</v>
          </cell>
          <cell r="H1581" t="str">
            <v>FLMFMMJEN</v>
          </cell>
          <cell r="I1581" t="str">
            <v>FMJEN4618005</v>
          </cell>
          <cell r="J1581" t="str">
            <v>36</v>
          </cell>
          <cell r="K1581" t="str">
            <v>JEANS</v>
          </cell>
          <cell r="L1581" t="str">
            <v>NOD</v>
          </cell>
        </row>
        <row r="1582">
          <cell r="C1582" t="str">
            <v>FMJEN4618</v>
          </cell>
          <cell r="D1582" t="str">
            <v>OCOR</v>
          </cell>
          <cell r="E1582" t="str">
            <v>OC25</v>
          </cell>
          <cell r="F1582">
            <v>3159</v>
          </cell>
          <cell r="G1582" t="str">
            <v>FM</v>
          </cell>
          <cell r="H1582" t="str">
            <v>FLMFMMJEN</v>
          </cell>
          <cell r="I1582" t="str">
            <v>FMJEN4618006</v>
          </cell>
          <cell r="J1582" t="str">
            <v>38</v>
          </cell>
          <cell r="K1582" t="str">
            <v>JEANS</v>
          </cell>
          <cell r="L1582" t="str">
            <v>NOD</v>
          </cell>
        </row>
        <row r="1583">
          <cell r="C1583" t="str">
            <v>FMJEN4618</v>
          </cell>
          <cell r="D1583" t="str">
            <v>OCOR</v>
          </cell>
          <cell r="E1583" t="str">
            <v>OC25</v>
          </cell>
          <cell r="F1583">
            <v>3159</v>
          </cell>
          <cell r="G1583" t="str">
            <v>FM</v>
          </cell>
          <cell r="H1583" t="str">
            <v>FLMFMMJEN</v>
          </cell>
          <cell r="I1583" t="str">
            <v>FMJEN4618007</v>
          </cell>
          <cell r="J1583" t="str">
            <v>40</v>
          </cell>
          <cell r="K1583" t="str">
            <v>JEANS</v>
          </cell>
          <cell r="L1583" t="str">
            <v>NOD</v>
          </cell>
        </row>
        <row r="1584">
          <cell r="C1584" t="str">
            <v>FMJEN4618</v>
          </cell>
          <cell r="D1584" t="str">
            <v>OCOR</v>
          </cell>
          <cell r="E1584" t="str">
            <v>OC25</v>
          </cell>
          <cell r="F1584">
            <v>3159</v>
          </cell>
          <cell r="G1584" t="str">
            <v>FM</v>
          </cell>
          <cell r="H1584" t="str">
            <v>FLMFMMJEN</v>
          </cell>
          <cell r="I1584" t="str">
            <v>FMJEN4618008</v>
          </cell>
          <cell r="J1584" t="str">
            <v>42</v>
          </cell>
          <cell r="K1584" t="str">
            <v>JEANS</v>
          </cell>
          <cell r="L1584" t="str">
            <v>NOD</v>
          </cell>
        </row>
        <row r="1585">
          <cell r="C1585" t="str">
            <v>FMJEN4618</v>
          </cell>
          <cell r="D1585" t="str">
            <v>OCOR</v>
          </cell>
          <cell r="E1585" t="str">
            <v>OC25</v>
          </cell>
          <cell r="F1585">
            <v>3159</v>
          </cell>
          <cell r="G1585" t="str">
            <v>FM</v>
          </cell>
          <cell r="H1585" t="str">
            <v>FLMFMMJEN</v>
          </cell>
          <cell r="I1585" t="str">
            <v>FMJEN4618009</v>
          </cell>
          <cell r="J1585" t="str">
            <v>44</v>
          </cell>
          <cell r="K1585" t="str">
            <v>JEANS</v>
          </cell>
          <cell r="L1585" t="str">
            <v>NOD</v>
          </cell>
        </row>
        <row r="1586">
          <cell r="C1586" t="str">
            <v>FMJEN4618</v>
          </cell>
          <cell r="D1586" t="str">
            <v>OCOR</v>
          </cell>
          <cell r="E1586" t="str">
            <v>OC25</v>
          </cell>
          <cell r="F1586">
            <v>3159</v>
          </cell>
          <cell r="G1586" t="str">
            <v>FM</v>
          </cell>
          <cell r="H1586" t="str">
            <v>FLMFMMJEN</v>
          </cell>
          <cell r="I1586" t="str">
            <v>FMJEN4618010</v>
          </cell>
          <cell r="J1586" t="str">
            <v>46</v>
          </cell>
          <cell r="K1586" t="str">
            <v>JEANS</v>
          </cell>
          <cell r="L1586" t="str">
            <v>NOD</v>
          </cell>
        </row>
        <row r="1587">
          <cell r="C1587" t="str">
            <v>FMJEN4631</v>
          </cell>
          <cell r="D1587" t="str">
            <v>OCOR</v>
          </cell>
          <cell r="E1587" t="str">
            <v>OC25</v>
          </cell>
          <cell r="F1587">
            <v>3159</v>
          </cell>
          <cell r="G1587" t="str">
            <v>FM</v>
          </cell>
          <cell r="H1587" t="str">
            <v>FLMFMMJEN</v>
          </cell>
          <cell r="I1587" t="str">
            <v>FMJEN4631001</v>
          </cell>
          <cell r="J1587" t="str">
            <v>28</v>
          </cell>
          <cell r="K1587" t="str">
            <v>JEANS</v>
          </cell>
          <cell r="L1587" t="str">
            <v>NOD</v>
          </cell>
        </row>
        <row r="1588">
          <cell r="C1588" t="str">
            <v>FMJEN4631</v>
          </cell>
          <cell r="D1588" t="str">
            <v>OCOR</v>
          </cell>
          <cell r="E1588" t="str">
            <v>OC25</v>
          </cell>
          <cell r="F1588">
            <v>3159</v>
          </cell>
          <cell r="G1588" t="str">
            <v>FM</v>
          </cell>
          <cell r="H1588" t="str">
            <v>FLMFMMJEN</v>
          </cell>
          <cell r="I1588" t="str">
            <v>FMJEN4631002</v>
          </cell>
          <cell r="J1588" t="str">
            <v>30</v>
          </cell>
          <cell r="K1588" t="str">
            <v>JEANS</v>
          </cell>
          <cell r="L1588" t="str">
            <v>NOD</v>
          </cell>
        </row>
        <row r="1589">
          <cell r="C1589" t="str">
            <v>FMJEN4631</v>
          </cell>
          <cell r="D1589" t="str">
            <v>OCOR</v>
          </cell>
          <cell r="E1589" t="str">
            <v>OC25</v>
          </cell>
          <cell r="F1589">
            <v>3159</v>
          </cell>
          <cell r="G1589" t="str">
            <v>FM</v>
          </cell>
          <cell r="H1589" t="str">
            <v>FLMFMMJEN</v>
          </cell>
          <cell r="I1589" t="str">
            <v>FMJEN4631003</v>
          </cell>
          <cell r="J1589" t="str">
            <v>32</v>
          </cell>
          <cell r="K1589" t="str">
            <v>JEANS</v>
          </cell>
          <cell r="L1589" t="str">
            <v>NOD</v>
          </cell>
        </row>
        <row r="1590">
          <cell r="C1590" t="str">
            <v>FMJEN4631</v>
          </cell>
          <cell r="D1590" t="str">
            <v>OCOR</v>
          </cell>
          <cell r="E1590" t="str">
            <v>OC25</v>
          </cell>
          <cell r="F1590">
            <v>3159</v>
          </cell>
          <cell r="G1590" t="str">
            <v>FM</v>
          </cell>
          <cell r="H1590" t="str">
            <v>FLMFMMJEN</v>
          </cell>
          <cell r="I1590" t="str">
            <v>FMJEN4631004</v>
          </cell>
          <cell r="J1590" t="str">
            <v>34</v>
          </cell>
          <cell r="K1590" t="str">
            <v>JEANS</v>
          </cell>
          <cell r="L1590" t="str">
            <v>NOD</v>
          </cell>
        </row>
        <row r="1591">
          <cell r="C1591" t="str">
            <v>FMJEN4631</v>
          </cell>
          <cell r="D1591" t="str">
            <v>OCOR</v>
          </cell>
          <cell r="E1591" t="str">
            <v>OC25</v>
          </cell>
          <cell r="F1591">
            <v>3159</v>
          </cell>
          <cell r="G1591" t="str">
            <v>FM</v>
          </cell>
          <cell r="H1591" t="str">
            <v>FLMFMMJEN</v>
          </cell>
          <cell r="I1591" t="str">
            <v>FMJEN4631005</v>
          </cell>
          <cell r="J1591" t="str">
            <v>36</v>
          </cell>
          <cell r="K1591" t="str">
            <v>JEANS</v>
          </cell>
          <cell r="L1591" t="str">
            <v>NOD</v>
          </cell>
        </row>
        <row r="1592">
          <cell r="C1592" t="str">
            <v>FMJEN4631</v>
          </cell>
          <cell r="D1592" t="str">
            <v>OCOR</v>
          </cell>
          <cell r="E1592" t="str">
            <v>OC25</v>
          </cell>
          <cell r="F1592">
            <v>3159</v>
          </cell>
          <cell r="G1592" t="str">
            <v>FM</v>
          </cell>
          <cell r="H1592" t="str">
            <v>FLMFMMJEN</v>
          </cell>
          <cell r="I1592" t="str">
            <v>FMJEN4631006</v>
          </cell>
          <cell r="J1592" t="str">
            <v>38</v>
          </cell>
          <cell r="K1592" t="str">
            <v>JEANS</v>
          </cell>
          <cell r="L1592" t="str">
            <v>NOD</v>
          </cell>
        </row>
        <row r="1593">
          <cell r="C1593" t="str">
            <v>FMJEN4631</v>
          </cell>
          <cell r="D1593" t="str">
            <v>OCOR</v>
          </cell>
          <cell r="E1593" t="str">
            <v>OC25</v>
          </cell>
          <cell r="F1593">
            <v>3159</v>
          </cell>
          <cell r="G1593" t="str">
            <v>FM</v>
          </cell>
          <cell r="H1593" t="str">
            <v>FLMFMMJEN</v>
          </cell>
          <cell r="I1593" t="str">
            <v>FMJEN4631007</v>
          </cell>
          <cell r="J1593" t="str">
            <v>40</v>
          </cell>
          <cell r="K1593" t="str">
            <v>JEANS</v>
          </cell>
          <cell r="L1593" t="str">
            <v>NOD</v>
          </cell>
        </row>
        <row r="1594">
          <cell r="C1594" t="str">
            <v>FMJEN4631</v>
          </cell>
          <cell r="D1594" t="str">
            <v>OCOR</v>
          </cell>
          <cell r="E1594" t="str">
            <v>OC25</v>
          </cell>
          <cell r="F1594">
            <v>3159</v>
          </cell>
          <cell r="G1594" t="str">
            <v>FM</v>
          </cell>
          <cell r="H1594" t="str">
            <v>FLMFMMJEN</v>
          </cell>
          <cell r="I1594" t="str">
            <v>FMJEN4631008</v>
          </cell>
          <cell r="J1594" t="str">
            <v>42</v>
          </cell>
          <cell r="K1594" t="str">
            <v>JEANS</v>
          </cell>
          <cell r="L1594" t="str">
            <v>NOD</v>
          </cell>
        </row>
        <row r="1595">
          <cell r="C1595" t="str">
            <v>FMJEN4631</v>
          </cell>
          <cell r="D1595" t="str">
            <v>OCOR</v>
          </cell>
          <cell r="E1595" t="str">
            <v>OC25</v>
          </cell>
          <cell r="F1595">
            <v>3159</v>
          </cell>
          <cell r="G1595" t="str">
            <v>FM</v>
          </cell>
          <cell r="H1595" t="str">
            <v>FLMFMMJEN</v>
          </cell>
          <cell r="I1595" t="str">
            <v>FMJEN4631009</v>
          </cell>
          <cell r="J1595" t="str">
            <v>44</v>
          </cell>
          <cell r="K1595" t="str">
            <v>JEANS</v>
          </cell>
          <cell r="L1595" t="str">
            <v>NOD</v>
          </cell>
        </row>
        <row r="1596">
          <cell r="C1596" t="str">
            <v>FMJEN4631</v>
          </cell>
          <cell r="D1596" t="str">
            <v>OCOR</v>
          </cell>
          <cell r="E1596" t="str">
            <v>OC25</v>
          </cell>
          <cell r="F1596">
            <v>3159</v>
          </cell>
          <cell r="G1596" t="str">
            <v>FM</v>
          </cell>
          <cell r="H1596" t="str">
            <v>FLMFMMJEN</v>
          </cell>
          <cell r="I1596" t="str">
            <v>FMJEN4631010</v>
          </cell>
          <cell r="J1596" t="str">
            <v>46</v>
          </cell>
          <cell r="K1596" t="str">
            <v>JEANS</v>
          </cell>
          <cell r="L1596" t="str">
            <v>NOD</v>
          </cell>
        </row>
        <row r="1597">
          <cell r="C1597" t="str">
            <v>FMJEN4641</v>
          </cell>
          <cell r="D1597" t="str">
            <v>OCOR</v>
          </cell>
          <cell r="E1597" t="str">
            <v>OC25</v>
          </cell>
          <cell r="F1597">
            <v>2499</v>
          </cell>
          <cell r="G1597" t="str">
            <v>FM</v>
          </cell>
          <cell r="H1597" t="str">
            <v>FLMFMMJEN</v>
          </cell>
          <cell r="I1597" t="str">
            <v>FMJEN4641001</v>
          </cell>
          <cell r="J1597" t="str">
            <v>28</v>
          </cell>
          <cell r="K1597" t="str">
            <v>JEANS</v>
          </cell>
          <cell r="L1597" t="str">
            <v>NOD</v>
          </cell>
        </row>
        <row r="1598">
          <cell r="C1598" t="str">
            <v>FMJEN4641</v>
          </cell>
          <cell r="D1598" t="str">
            <v>OCOR</v>
          </cell>
          <cell r="E1598" t="str">
            <v>OC25</v>
          </cell>
          <cell r="F1598">
            <v>2499</v>
          </cell>
          <cell r="G1598" t="str">
            <v>FM</v>
          </cell>
          <cell r="H1598" t="str">
            <v>FLMFMMJEN</v>
          </cell>
          <cell r="I1598" t="str">
            <v>FMJEN4641002</v>
          </cell>
          <cell r="J1598" t="str">
            <v>30</v>
          </cell>
          <cell r="K1598" t="str">
            <v>JEANS</v>
          </cell>
          <cell r="L1598" t="str">
            <v>NOD</v>
          </cell>
        </row>
        <row r="1599">
          <cell r="C1599" t="str">
            <v>FMJEN4641</v>
          </cell>
          <cell r="D1599" t="str">
            <v>OCOR</v>
          </cell>
          <cell r="E1599" t="str">
            <v>OC25</v>
          </cell>
          <cell r="F1599">
            <v>2499</v>
          </cell>
          <cell r="G1599" t="str">
            <v>FM</v>
          </cell>
          <cell r="H1599" t="str">
            <v>FLMFMMJEN</v>
          </cell>
          <cell r="I1599" t="str">
            <v>FMJEN4641003</v>
          </cell>
          <cell r="J1599" t="str">
            <v>32</v>
          </cell>
          <cell r="K1599" t="str">
            <v>JEANS</v>
          </cell>
          <cell r="L1599" t="str">
            <v>NOD</v>
          </cell>
        </row>
        <row r="1600">
          <cell r="C1600" t="str">
            <v>FMJEN4641</v>
          </cell>
          <cell r="D1600" t="str">
            <v>OCOR</v>
          </cell>
          <cell r="E1600" t="str">
            <v>OC25</v>
          </cell>
          <cell r="F1600">
            <v>2499</v>
          </cell>
          <cell r="G1600" t="str">
            <v>FM</v>
          </cell>
          <cell r="H1600" t="str">
            <v>FLMFMMJEN</v>
          </cell>
          <cell r="I1600" t="str">
            <v>FMJEN4641004</v>
          </cell>
          <cell r="J1600" t="str">
            <v>34</v>
          </cell>
          <cell r="K1600" t="str">
            <v>JEANS</v>
          </cell>
          <cell r="L1600" t="str">
            <v>NOD</v>
          </cell>
        </row>
        <row r="1601">
          <cell r="C1601" t="str">
            <v>FMJEN4641</v>
          </cell>
          <cell r="D1601" t="str">
            <v>OCOR</v>
          </cell>
          <cell r="E1601" t="str">
            <v>OC25</v>
          </cell>
          <cell r="F1601">
            <v>2499</v>
          </cell>
          <cell r="G1601" t="str">
            <v>FM</v>
          </cell>
          <cell r="H1601" t="str">
            <v>FLMFMMJEN</v>
          </cell>
          <cell r="I1601" t="str">
            <v>FMJEN4641005</v>
          </cell>
          <cell r="J1601" t="str">
            <v>36</v>
          </cell>
          <cell r="K1601" t="str">
            <v>JEANS</v>
          </cell>
          <cell r="L1601" t="str">
            <v>NOD</v>
          </cell>
        </row>
        <row r="1602">
          <cell r="C1602" t="str">
            <v>FMJEN4641</v>
          </cell>
          <cell r="D1602" t="str">
            <v>OCOR</v>
          </cell>
          <cell r="E1602" t="str">
            <v>OC25</v>
          </cell>
          <cell r="F1602">
            <v>2499</v>
          </cell>
          <cell r="G1602" t="str">
            <v>FM</v>
          </cell>
          <cell r="H1602" t="str">
            <v>FLMFMMJEN</v>
          </cell>
          <cell r="I1602" t="str">
            <v>FMJEN4641006</v>
          </cell>
          <cell r="J1602" t="str">
            <v>38</v>
          </cell>
          <cell r="K1602" t="str">
            <v>JEANS</v>
          </cell>
          <cell r="L1602" t="str">
            <v>NOD</v>
          </cell>
        </row>
        <row r="1603">
          <cell r="C1603" t="str">
            <v>FMJEN4641</v>
          </cell>
          <cell r="D1603" t="str">
            <v>OCOR</v>
          </cell>
          <cell r="E1603" t="str">
            <v>OC25</v>
          </cell>
          <cell r="F1603">
            <v>2499</v>
          </cell>
          <cell r="G1603" t="str">
            <v>FM</v>
          </cell>
          <cell r="H1603" t="str">
            <v>FLMFMMJEN</v>
          </cell>
          <cell r="I1603" t="str">
            <v>FMJEN4641007</v>
          </cell>
          <cell r="J1603" t="str">
            <v>40</v>
          </cell>
          <cell r="K1603" t="str">
            <v>JEANS</v>
          </cell>
          <cell r="L1603" t="str">
            <v>NOD</v>
          </cell>
        </row>
        <row r="1604">
          <cell r="C1604" t="str">
            <v>FMJEN4641</v>
          </cell>
          <cell r="D1604" t="str">
            <v>OCOR</v>
          </cell>
          <cell r="E1604" t="str">
            <v>OC25</v>
          </cell>
          <cell r="F1604">
            <v>2499</v>
          </cell>
          <cell r="G1604" t="str">
            <v>FM</v>
          </cell>
          <cell r="H1604" t="str">
            <v>FLMFMMJEN</v>
          </cell>
          <cell r="I1604" t="str">
            <v>FMJEN4641008</v>
          </cell>
          <cell r="J1604" t="str">
            <v>42</v>
          </cell>
          <cell r="K1604" t="str">
            <v>JEANS</v>
          </cell>
          <cell r="L1604" t="str">
            <v>NOD</v>
          </cell>
        </row>
        <row r="1605">
          <cell r="C1605" t="str">
            <v>FMJEN4641</v>
          </cell>
          <cell r="D1605" t="str">
            <v>OCOR</v>
          </cell>
          <cell r="E1605" t="str">
            <v>OC25</v>
          </cell>
          <cell r="F1605">
            <v>2499</v>
          </cell>
          <cell r="G1605" t="str">
            <v>FM</v>
          </cell>
          <cell r="H1605" t="str">
            <v>FLMFMMJEN</v>
          </cell>
          <cell r="I1605" t="str">
            <v>FMJEN4641009</v>
          </cell>
          <cell r="J1605" t="str">
            <v>44</v>
          </cell>
          <cell r="K1605" t="str">
            <v>JEANS</v>
          </cell>
          <cell r="L1605" t="str">
            <v>NOD</v>
          </cell>
        </row>
        <row r="1606">
          <cell r="C1606" t="str">
            <v>FMJEN4641</v>
          </cell>
          <cell r="D1606" t="str">
            <v>OCOR</v>
          </cell>
          <cell r="E1606" t="str">
            <v>OC25</v>
          </cell>
          <cell r="F1606">
            <v>2499</v>
          </cell>
          <cell r="G1606" t="str">
            <v>FM</v>
          </cell>
          <cell r="H1606" t="str">
            <v>FLMFMMJEN</v>
          </cell>
          <cell r="I1606" t="str">
            <v>FMJEN4641010</v>
          </cell>
          <cell r="J1606" t="str">
            <v>46</v>
          </cell>
          <cell r="K1606" t="str">
            <v>JEANS</v>
          </cell>
          <cell r="L1606" t="str">
            <v>NOD</v>
          </cell>
        </row>
        <row r="1607">
          <cell r="C1607" t="str">
            <v>FMJEN4643</v>
          </cell>
          <cell r="D1607" t="str">
            <v>OCOR</v>
          </cell>
          <cell r="E1607" t="str">
            <v>OC25</v>
          </cell>
          <cell r="F1607">
            <v>2499</v>
          </cell>
          <cell r="G1607" t="str">
            <v>FM</v>
          </cell>
          <cell r="H1607" t="str">
            <v>FLMFMMJEN</v>
          </cell>
          <cell r="I1607" t="str">
            <v>FMJEN4643001</v>
          </cell>
          <cell r="J1607" t="str">
            <v>28</v>
          </cell>
          <cell r="K1607" t="str">
            <v>JEANS</v>
          </cell>
          <cell r="L1607" t="str">
            <v>NOD</v>
          </cell>
        </row>
        <row r="1608">
          <cell r="C1608" t="str">
            <v>FMJEN4643</v>
          </cell>
          <cell r="D1608" t="str">
            <v>OCOR</v>
          </cell>
          <cell r="E1608" t="str">
            <v>OC25</v>
          </cell>
          <cell r="F1608">
            <v>2499</v>
          </cell>
          <cell r="G1608" t="str">
            <v>FM</v>
          </cell>
          <cell r="H1608" t="str">
            <v>FLMFMMJEN</v>
          </cell>
          <cell r="I1608" t="str">
            <v>FMJEN4643002</v>
          </cell>
          <cell r="J1608" t="str">
            <v>30</v>
          </cell>
          <cell r="K1608" t="str">
            <v>JEANS</v>
          </cell>
          <cell r="L1608" t="str">
            <v>NOD</v>
          </cell>
        </row>
        <row r="1609">
          <cell r="C1609" t="str">
            <v>FMJEN4643</v>
          </cell>
          <cell r="D1609" t="str">
            <v>OCOR</v>
          </cell>
          <cell r="E1609" t="str">
            <v>OC25</v>
          </cell>
          <cell r="F1609">
            <v>2499</v>
          </cell>
          <cell r="G1609" t="str">
            <v>FM</v>
          </cell>
          <cell r="H1609" t="str">
            <v>FLMFMMJEN</v>
          </cell>
          <cell r="I1609" t="str">
            <v>FMJEN4643003</v>
          </cell>
          <cell r="J1609" t="str">
            <v>32</v>
          </cell>
          <cell r="K1609" t="str">
            <v>JEANS</v>
          </cell>
          <cell r="L1609" t="str">
            <v>NOD</v>
          </cell>
        </row>
        <row r="1610">
          <cell r="C1610" t="str">
            <v>FMJEN4643</v>
          </cell>
          <cell r="D1610" t="str">
            <v>OCOR</v>
          </cell>
          <cell r="E1610" t="str">
            <v>OC25</v>
          </cell>
          <cell r="F1610">
            <v>2499</v>
          </cell>
          <cell r="G1610" t="str">
            <v>FM</v>
          </cell>
          <cell r="H1610" t="str">
            <v>FLMFMMJEN</v>
          </cell>
          <cell r="I1610" t="str">
            <v>FMJEN4643004</v>
          </cell>
          <cell r="J1610" t="str">
            <v>34</v>
          </cell>
          <cell r="K1610" t="str">
            <v>JEANS</v>
          </cell>
          <cell r="L1610" t="str">
            <v>NOD</v>
          </cell>
        </row>
        <row r="1611">
          <cell r="C1611" t="str">
            <v>FMJEN4643</v>
          </cell>
          <cell r="D1611" t="str">
            <v>OCOR</v>
          </cell>
          <cell r="E1611" t="str">
            <v>OC25</v>
          </cell>
          <cell r="F1611">
            <v>2499</v>
          </cell>
          <cell r="G1611" t="str">
            <v>FM</v>
          </cell>
          <cell r="H1611" t="str">
            <v>FLMFMMJEN</v>
          </cell>
          <cell r="I1611" t="str">
            <v>FMJEN4643005</v>
          </cell>
          <cell r="J1611" t="str">
            <v>36</v>
          </cell>
          <cell r="K1611" t="str">
            <v>JEANS</v>
          </cell>
          <cell r="L1611" t="str">
            <v>NOD</v>
          </cell>
        </row>
        <row r="1612">
          <cell r="C1612" t="str">
            <v>FMJEN4643</v>
          </cell>
          <cell r="D1612" t="str">
            <v>OCOR</v>
          </cell>
          <cell r="E1612" t="str">
            <v>OC25</v>
          </cell>
          <cell r="F1612">
            <v>2499</v>
          </cell>
          <cell r="G1612" t="str">
            <v>FM</v>
          </cell>
          <cell r="H1612" t="str">
            <v>FLMFMMJEN</v>
          </cell>
          <cell r="I1612" t="str">
            <v>FMJEN4643006</v>
          </cell>
          <cell r="J1612" t="str">
            <v>38</v>
          </cell>
          <cell r="K1612" t="str">
            <v>JEANS</v>
          </cell>
          <cell r="L1612" t="str">
            <v>NOD</v>
          </cell>
        </row>
        <row r="1613">
          <cell r="C1613" t="str">
            <v>FMJEN4643</v>
          </cell>
          <cell r="D1613" t="str">
            <v>OCOR</v>
          </cell>
          <cell r="E1613" t="str">
            <v>OC25</v>
          </cell>
          <cell r="F1613">
            <v>2499</v>
          </cell>
          <cell r="G1613" t="str">
            <v>FM</v>
          </cell>
          <cell r="H1613" t="str">
            <v>FLMFMMJEN</v>
          </cell>
          <cell r="I1613" t="str">
            <v>FMJEN4643007</v>
          </cell>
          <cell r="J1613" t="str">
            <v>40</v>
          </cell>
          <cell r="K1613" t="str">
            <v>JEANS</v>
          </cell>
          <cell r="L1613" t="str">
            <v>NOD</v>
          </cell>
        </row>
        <row r="1614">
          <cell r="C1614" t="str">
            <v>FMJEN4643</v>
          </cell>
          <cell r="D1614" t="str">
            <v>OCOR</v>
          </cell>
          <cell r="E1614" t="str">
            <v>OC25</v>
          </cell>
          <cell r="F1614">
            <v>2499</v>
          </cell>
          <cell r="G1614" t="str">
            <v>FM</v>
          </cell>
          <cell r="H1614" t="str">
            <v>FLMFMMJEN</v>
          </cell>
          <cell r="I1614" t="str">
            <v>FMJEN4643008</v>
          </cell>
          <cell r="J1614" t="str">
            <v>42</v>
          </cell>
          <cell r="K1614" t="str">
            <v>JEANS</v>
          </cell>
          <cell r="L1614" t="str">
            <v>NOD</v>
          </cell>
        </row>
        <row r="1615">
          <cell r="C1615" t="str">
            <v>FMJEN4643</v>
          </cell>
          <cell r="D1615" t="str">
            <v>OCOR</v>
          </cell>
          <cell r="E1615" t="str">
            <v>OC25</v>
          </cell>
          <cell r="F1615">
            <v>2499</v>
          </cell>
          <cell r="G1615" t="str">
            <v>FM</v>
          </cell>
          <cell r="H1615" t="str">
            <v>FLMFMMJEN</v>
          </cell>
          <cell r="I1615" t="str">
            <v>FMJEN4643009</v>
          </cell>
          <cell r="J1615" t="str">
            <v>44</v>
          </cell>
          <cell r="K1615" t="str">
            <v>JEANS</v>
          </cell>
          <cell r="L1615" t="str">
            <v>NOD</v>
          </cell>
        </row>
        <row r="1616">
          <cell r="C1616" t="str">
            <v>FMJEN4643</v>
          </cell>
          <cell r="D1616" t="str">
            <v>OCOR</v>
          </cell>
          <cell r="E1616" t="str">
            <v>OC25</v>
          </cell>
          <cell r="F1616">
            <v>2499</v>
          </cell>
          <cell r="G1616" t="str">
            <v>FM</v>
          </cell>
          <cell r="H1616" t="str">
            <v>FLMFMMJEN</v>
          </cell>
          <cell r="I1616" t="str">
            <v>FMJEN4643010</v>
          </cell>
          <cell r="J1616" t="str">
            <v>46</v>
          </cell>
          <cell r="K1616" t="str">
            <v>JEANS</v>
          </cell>
          <cell r="L1616" t="str">
            <v>NOD</v>
          </cell>
        </row>
        <row r="1617">
          <cell r="C1617" t="str">
            <v>FMJEN4646</v>
          </cell>
          <cell r="D1617" t="str">
            <v>OCOR</v>
          </cell>
          <cell r="E1617" t="str">
            <v>OC25</v>
          </cell>
          <cell r="F1617">
            <v>3686</v>
          </cell>
          <cell r="G1617" t="str">
            <v>FM</v>
          </cell>
          <cell r="H1617" t="str">
            <v>FLMFMMJEN</v>
          </cell>
          <cell r="I1617" t="str">
            <v>FMJEN4646001</v>
          </cell>
          <cell r="J1617" t="str">
            <v>28</v>
          </cell>
          <cell r="K1617" t="str">
            <v>JEANS</v>
          </cell>
          <cell r="L1617" t="str">
            <v>NOD</v>
          </cell>
        </row>
        <row r="1618">
          <cell r="C1618" t="str">
            <v>FMJEN4646</v>
          </cell>
          <cell r="D1618" t="str">
            <v>OCOR</v>
          </cell>
          <cell r="E1618" t="str">
            <v>OC25</v>
          </cell>
          <cell r="F1618">
            <v>3686</v>
          </cell>
          <cell r="G1618" t="str">
            <v>FM</v>
          </cell>
          <cell r="H1618" t="str">
            <v>FLMFMMJEN</v>
          </cell>
          <cell r="I1618" t="str">
            <v>FMJEN4646002</v>
          </cell>
          <cell r="J1618" t="str">
            <v>30</v>
          </cell>
          <cell r="K1618" t="str">
            <v>JEANS</v>
          </cell>
          <cell r="L1618" t="str">
            <v>NOD</v>
          </cell>
        </row>
        <row r="1619">
          <cell r="C1619" t="str">
            <v>FMJEN4646</v>
          </cell>
          <cell r="D1619" t="str">
            <v>OCOR</v>
          </cell>
          <cell r="E1619" t="str">
            <v>OC25</v>
          </cell>
          <cell r="F1619">
            <v>3686</v>
          </cell>
          <cell r="G1619" t="str">
            <v>FM</v>
          </cell>
          <cell r="H1619" t="str">
            <v>FLMFMMJEN</v>
          </cell>
          <cell r="I1619" t="str">
            <v>FMJEN4646003</v>
          </cell>
          <cell r="J1619" t="str">
            <v>32</v>
          </cell>
          <cell r="K1619" t="str">
            <v>JEANS</v>
          </cell>
          <cell r="L1619" t="str">
            <v>NOD</v>
          </cell>
        </row>
        <row r="1620">
          <cell r="C1620" t="str">
            <v>FMJEN4646</v>
          </cell>
          <cell r="D1620" t="str">
            <v>OCOR</v>
          </cell>
          <cell r="E1620" t="str">
            <v>OC25</v>
          </cell>
          <cell r="F1620">
            <v>3686</v>
          </cell>
          <cell r="G1620" t="str">
            <v>FM</v>
          </cell>
          <cell r="H1620" t="str">
            <v>FLMFMMJEN</v>
          </cell>
          <cell r="I1620" t="str">
            <v>FMJEN4646004</v>
          </cell>
          <cell r="J1620" t="str">
            <v>34</v>
          </cell>
          <cell r="K1620" t="str">
            <v>JEANS</v>
          </cell>
          <cell r="L1620" t="str">
            <v>NOD</v>
          </cell>
        </row>
        <row r="1621">
          <cell r="C1621" t="str">
            <v>FMJEN4646</v>
          </cell>
          <cell r="D1621" t="str">
            <v>OCOR</v>
          </cell>
          <cell r="E1621" t="str">
            <v>OC25</v>
          </cell>
          <cell r="F1621">
            <v>3686</v>
          </cell>
          <cell r="G1621" t="str">
            <v>FM</v>
          </cell>
          <cell r="H1621" t="str">
            <v>FLMFMMJEN</v>
          </cell>
          <cell r="I1621" t="str">
            <v>FMJEN4646005</v>
          </cell>
          <cell r="J1621" t="str">
            <v>36</v>
          </cell>
          <cell r="K1621" t="str">
            <v>JEANS</v>
          </cell>
          <cell r="L1621" t="str">
            <v>NOD</v>
          </cell>
        </row>
        <row r="1622">
          <cell r="C1622" t="str">
            <v>FMJEN4646</v>
          </cell>
          <cell r="D1622" t="str">
            <v>OCOR</v>
          </cell>
          <cell r="E1622" t="str">
            <v>OC25</v>
          </cell>
          <cell r="F1622">
            <v>3686</v>
          </cell>
          <cell r="G1622" t="str">
            <v>FM</v>
          </cell>
          <cell r="H1622" t="str">
            <v>FLMFMMJEN</v>
          </cell>
          <cell r="I1622" t="str">
            <v>FMJEN4646006</v>
          </cell>
          <cell r="J1622" t="str">
            <v>38</v>
          </cell>
          <cell r="K1622" t="str">
            <v>JEANS</v>
          </cell>
          <cell r="L1622" t="str">
            <v>NOD</v>
          </cell>
        </row>
        <row r="1623">
          <cell r="C1623" t="str">
            <v>FMJEN4646</v>
          </cell>
          <cell r="D1623" t="str">
            <v>OCOR</v>
          </cell>
          <cell r="E1623" t="str">
            <v>OC25</v>
          </cell>
          <cell r="F1623">
            <v>3686</v>
          </cell>
          <cell r="G1623" t="str">
            <v>FM</v>
          </cell>
          <cell r="H1623" t="str">
            <v>FLMFMMJEN</v>
          </cell>
          <cell r="I1623" t="str">
            <v>FMJEN4646007</v>
          </cell>
          <cell r="J1623" t="str">
            <v>40</v>
          </cell>
          <cell r="K1623" t="str">
            <v>JEANS</v>
          </cell>
          <cell r="L1623" t="str">
            <v>NOD</v>
          </cell>
        </row>
        <row r="1624">
          <cell r="C1624" t="str">
            <v>FMJEN4646</v>
          </cell>
          <cell r="D1624" t="str">
            <v>OCOR</v>
          </cell>
          <cell r="E1624" t="str">
            <v>OC25</v>
          </cell>
          <cell r="F1624">
            <v>3686</v>
          </cell>
          <cell r="G1624" t="str">
            <v>FM</v>
          </cell>
          <cell r="H1624" t="str">
            <v>FLMFMMJEN</v>
          </cell>
          <cell r="I1624" t="str">
            <v>FMJEN4646008</v>
          </cell>
          <cell r="J1624" t="str">
            <v>42</v>
          </cell>
          <cell r="K1624" t="str">
            <v>JEANS</v>
          </cell>
          <cell r="L1624" t="str">
            <v>NOD</v>
          </cell>
        </row>
        <row r="1625">
          <cell r="C1625" t="str">
            <v>FMJEN4646</v>
          </cell>
          <cell r="D1625" t="str">
            <v>OCOR</v>
          </cell>
          <cell r="E1625" t="str">
            <v>OC25</v>
          </cell>
          <cell r="F1625">
            <v>3686</v>
          </cell>
          <cell r="G1625" t="str">
            <v>FM</v>
          </cell>
          <cell r="H1625" t="str">
            <v>FLMFMMJEN</v>
          </cell>
          <cell r="I1625" t="str">
            <v>FMJEN4646009</v>
          </cell>
          <cell r="J1625" t="str">
            <v>44</v>
          </cell>
          <cell r="K1625" t="str">
            <v>JEANS</v>
          </cell>
          <cell r="L1625" t="str">
            <v>NOD</v>
          </cell>
        </row>
        <row r="1626">
          <cell r="C1626" t="str">
            <v>FMJEN4646</v>
          </cell>
          <cell r="D1626" t="str">
            <v>OCOR</v>
          </cell>
          <cell r="E1626" t="str">
            <v>OC25</v>
          </cell>
          <cell r="F1626">
            <v>3686</v>
          </cell>
          <cell r="G1626" t="str">
            <v>FM</v>
          </cell>
          <cell r="H1626" t="str">
            <v>FLMFMMJEN</v>
          </cell>
          <cell r="I1626" t="str">
            <v>FMJEN4646010</v>
          </cell>
          <cell r="J1626" t="str">
            <v>46</v>
          </cell>
          <cell r="K1626" t="str">
            <v>JEANS</v>
          </cell>
          <cell r="L1626" t="str">
            <v>NOD</v>
          </cell>
        </row>
        <row r="1627">
          <cell r="C1627" t="str">
            <v>FMJEN4647</v>
          </cell>
          <cell r="D1627" t="str">
            <v>OCOR</v>
          </cell>
          <cell r="E1627" t="str">
            <v>OC25</v>
          </cell>
          <cell r="F1627">
            <v>3686</v>
          </cell>
          <cell r="G1627" t="str">
            <v>FM</v>
          </cell>
          <cell r="H1627" t="str">
            <v>FLMFMMJEN</v>
          </cell>
          <cell r="I1627" t="str">
            <v>FMJEN4647001</v>
          </cell>
          <cell r="J1627" t="str">
            <v>28</v>
          </cell>
          <cell r="K1627" t="str">
            <v>JEANS</v>
          </cell>
          <cell r="L1627" t="str">
            <v>NOD</v>
          </cell>
        </row>
        <row r="1628">
          <cell r="C1628" t="str">
            <v>FMJEN4647</v>
          </cell>
          <cell r="D1628" t="str">
            <v>OCOR</v>
          </cell>
          <cell r="E1628" t="str">
            <v>OC25</v>
          </cell>
          <cell r="F1628">
            <v>3686</v>
          </cell>
          <cell r="G1628" t="str">
            <v>FM</v>
          </cell>
          <cell r="H1628" t="str">
            <v>FLMFMMJEN</v>
          </cell>
          <cell r="I1628" t="str">
            <v>FMJEN4647002</v>
          </cell>
          <cell r="J1628" t="str">
            <v>30</v>
          </cell>
          <cell r="K1628" t="str">
            <v>JEANS</v>
          </cell>
          <cell r="L1628" t="str">
            <v>NOD</v>
          </cell>
        </row>
        <row r="1629">
          <cell r="C1629" t="str">
            <v>FMJEN4647</v>
          </cell>
          <cell r="D1629" t="str">
            <v>OCOR</v>
          </cell>
          <cell r="E1629" t="str">
            <v>OC25</v>
          </cell>
          <cell r="F1629">
            <v>3686</v>
          </cell>
          <cell r="G1629" t="str">
            <v>FM</v>
          </cell>
          <cell r="H1629" t="str">
            <v>FLMFMMJEN</v>
          </cell>
          <cell r="I1629" t="str">
            <v>FMJEN4647003</v>
          </cell>
          <cell r="J1629" t="str">
            <v>32</v>
          </cell>
          <cell r="K1629" t="str">
            <v>JEANS</v>
          </cell>
          <cell r="L1629" t="str">
            <v>NOD</v>
          </cell>
        </row>
        <row r="1630">
          <cell r="C1630" t="str">
            <v>FMJEN4647</v>
          </cell>
          <cell r="D1630" t="str">
            <v>OCOR</v>
          </cell>
          <cell r="E1630" t="str">
            <v>OC25</v>
          </cell>
          <cell r="F1630">
            <v>3686</v>
          </cell>
          <cell r="G1630" t="str">
            <v>FM</v>
          </cell>
          <cell r="H1630" t="str">
            <v>FLMFMMJEN</v>
          </cell>
          <cell r="I1630" t="str">
            <v>FMJEN4647004</v>
          </cell>
          <cell r="J1630" t="str">
            <v>34</v>
          </cell>
          <cell r="K1630" t="str">
            <v>JEANS</v>
          </cell>
          <cell r="L1630" t="str">
            <v>NOD</v>
          </cell>
        </row>
        <row r="1631">
          <cell r="C1631" t="str">
            <v>FMJEN4647</v>
          </cell>
          <cell r="D1631" t="str">
            <v>OCOR</v>
          </cell>
          <cell r="E1631" t="str">
            <v>OC25</v>
          </cell>
          <cell r="F1631">
            <v>3686</v>
          </cell>
          <cell r="G1631" t="str">
            <v>FM</v>
          </cell>
          <cell r="H1631" t="str">
            <v>FLMFMMJEN</v>
          </cell>
          <cell r="I1631" t="str">
            <v>FMJEN4647005</v>
          </cell>
          <cell r="J1631" t="str">
            <v>36</v>
          </cell>
          <cell r="K1631" t="str">
            <v>JEANS</v>
          </cell>
          <cell r="L1631" t="str">
            <v>NOD</v>
          </cell>
        </row>
        <row r="1632">
          <cell r="C1632" t="str">
            <v>FMJEN4647</v>
          </cell>
          <cell r="D1632" t="str">
            <v>OCOR</v>
          </cell>
          <cell r="E1632" t="str">
            <v>OC25</v>
          </cell>
          <cell r="F1632">
            <v>3686</v>
          </cell>
          <cell r="G1632" t="str">
            <v>FM</v>
          </cell>
          <cell r="H1632" t="str">
            <v>FLMFMMJEN</v>
          </cell>
          <cell r="I1632" t="str">
            <v>FMJEN4647006</v>
          </cell>
          <cell r="J1632" t="str">
            <v>38</v>
          </cell>
          <cell r="K1632" t="str">
            <v>JEANS</v>
          </cell>
          <cell r="L1632" t="str">
            <v>NOD</v>
          </cell>
        </row>
        <row r="1633">
          <cell r="C1633" t="str">
            <v>FMJEN4647</v>
          </cell>
          <cell r="D1633" t="str">
            <v>OCOR</v>
          </cell>
          <cell r="E1633" t="str">
            <v>OC25</v>
          </cell>
          <cell r="F1633">
            <v>3686</v>
          </cell>
          <cell r="G1633" t="str">
            <v>FM</v>
          </cell>
          <cell r="H1633" t="str">
            <v>FLMFMMJEN</v>
          </cell>
          <cell r="I1633" t="str">
            <v>FMJEN4647007</v>
          </cell>
          <cell r="J1633" t="str">
            <v>40</v>
          </cell>
          <cell r="K1633" t="str">
            <v>JEANS</v>
          </cell>
          <cell r="L1633" t="str">
            <v>NOD</v>
          </cell>
        </row>
        <row r="1634">
          <cell r="C1634" t="str">
            <v>FMJEN4647</v>
          </cell>
          <cell r="D1634" t="str">
            <v>OCOR</v>
          </cell>
          <cell r="E1634" t="str">
            <v>OC25</v>
          </cell>
          <cell r="F1634">
            <v>3686</v>
          </cell>
          <cell r="G1634" t="str">
            <v>FM</v>
          </cell>
          <cell r="H1634" t="str">
            <v>FLMFMMJEN</v>
          </cell>
          <cell r="I1634" t="str">
            <v>FMJEN4647008</v>
          </cell>
          <cell r="J1634" t="str">
            <v>42</v>
          </cell>
          <cell r="K1634" t="str">
            <v>JEANS</v>
          </cell>
          <cell r="L1634" t="str">
            <v>NOD</v>
          </cell>
        </row>
        <row r="1635">
          <cell r="C1635" t="str">
            <v>FMJEN4647</v>
          </cell>
          <cell r="D1635" t="str">
            <v>OCOR</v>
          </cell>
          <cell r="E1635" t="str">
            <v>OC25</v>
          </cell>
          <cell r="F1635">
            <v>3686</v>
          </cell>
          <cell r="G1635" t="str">
            <v>FM</v>
          </cell>
          <cell r="H1635" t="str">
            <v>FLMFMMJEN</v>
          </cell>
          <cell r="I1635" t="str">
            <v>FMJEN4647009</v>
          </cell>
          <cell r="J1635" t="str">
            <v>44</v>
          </cell>
          <cell r="K1635" t="str">
            <v>JEANS</v>
          </cell>
          <cell r="L1635" t="str">
            <v>NOD</v>
          </cell>
        </row>
        <row r="1636">
          <cell r="C1636" t="str">
            <v>FMJEN4647</v>
          </cell>
          <cell r="D1636" t="str">
            <v>OCOR</v>
          </cell>
          <cell r="E1636" t="str">
            <v>OC25</v>
          </cell>
          <cell r="F1636">
            <v>3686</v>
          </cell>
          <cell r="G1636" t="str">
            <v>FM</v>
          </cell>
          <cell r="H1636" t="str">
            <v>FLMFMMJEN</v>
          </cell>
          <cell r="I1636" t="str">
            <v>FMJEN4647010</v>
          </cell>
          <cell r="J1636" t="str">
            <v>46</v>
          </cell>
          <cell r="K1636" t="str">
            <v>JEANS</v>
          </cell>
          <cell r="L1636" t="str">
            <v>NOD</v>
          </cell>
        </row>
        <row r="1637">
          <cell r="C1637" t="str">
            <v>FMSHT3662</v>
          </cell>
          <cell r="D1637" t="str">
            <v>OCOR</v>
          </cell>
          <cell r="E1637" t="str">
            <v>OC25</v>
          </cell>
          <cell r="F1637">
            <v>1999</v>
          </cell>
          <cell r="G1637" t="str">
            <v>FM</v>
          </cell>
          <cell r="H1637" t="str">
            <v>FLMFMMSHT</v>
          </cell>
          <cell r="I1637" t="str">
            <v>FMSHT3662001</v>
          </cell>
          <cell r="J1637" t="str">
            <v>3XL</v>
          </cell>
          <cell r="K1637" t="str">
            <v>SHIRT</v>
          </cell>
          <cell r="L1637" t="str">
            <v>NOD</v>
          </cell>
        </row>
        <row r="1638">
          <cell r="C1638" t="str">
            <v>FMSHT3662</v>
          </cell>
          <cell r="D1638" t="str">
            <v>OCOR</v>
          </cell>
          <cell r="E1638" t="str">
            <v>OC25</v>
          </cell>
          <cell r="F1638">
            <v>1999</v>
          </cell>
          <cell r="G1638" t="str">
            <v>FM</v>
          </cell>
          <cell r="H1638" t="str">
            <v>FLMFMMSHT</v>
          </cell>
          <cell r="I1638" t="str">
            <v>FMSHT3662002</v>
          </cell>
          <cell r="J1638" t="str">
            <v>4XL</v>
          </cell>
          <cell r="K1638" t="str">
            <v>SHIRT</v>
          </cell>
          <cell r="L1638" t="str">
            <v>NOD</v>
          </cell>
        </row>
        <row r="1639">
          <cell r="C1639" t="str">
            <v>FMSHT3662</v>
          </cell>
          <cell r="D1639" t="str">
            <v>OCOR</v>
          </cell>
          <cell r="E1639" t="str">
            <v>OC25</v>
          </cell>
          <cell r="F1639">
            <v>1999</v>
          </cell>
          <cell r="G1639" t="str">
            <v>FM</v>
          </cell>
          <cell r="H1639" t="str">
            <v>FLMFMMSHT</v>
          </cell>
          <cell r="I1639" t="str">
            <v>FMSHT3662003</v>
          </cell>
          <cell r="J1639" t="str">
            <v>L</v>
          </cell>
          <cell r="K1639" t="str">
            <v>SHIRT</v>
          </cell>
          <cell r="L1639" t="str">
            <v>NOD</v>
          </cell>
        </row>
        <row r="1640">
          <cell r="C1640" t="str">
            <v>FMSHT3662</v>
          </cell>
          <cell r="D1640" t="str">
            <v>OCOR</v>
          </cell>
          <cell r="E1640" t="str">
            <v>OC25</v>
          </cell>
          <cell r="F1640">
            <v>1999</v>
          </cell>
          <cell r="G1640" t="str">
            <v>FM</v>
          </cell>
          <cell r="H1640" t="str">
            <v>FLMFMMSHT</v>
          </cell>
          <cell r="I1640" t="str">
            <v>FMSHT3662004</v>
          </cell>
          <cell r="J1640" t="str">
            <v>M</v>
          </cell>
          <cell r="K1640" t="str">
            <v>SHIRT</v>
          </cell>
          <cell r="L1640" t="str">
            <v>NOD</v>
          </cell>
        </row>
        <row r="1641">
          <cell r="C1641" t="str">
            <v>FMSHT3662</v>
          </cell>
          <cell r="D1641" t="str">
            <v>OCOR</v>
          </cell>
          <cell r="E1641" t="str">
            <v>OC25</v>
          </cell>
          <cell r="F1641">
            <v>1999</v>
          </cell>
          <cell r="G1641" t="str">
            <v>FM</v>
          </cell>
          <cell r="H1641" t="str">
            <v>FLMFMMSHT</v>
          </cell>
          <cell r="I1641" t="str">
            <v>FMSHT3662005</v>
          </cell>
          <cell r="J1641" t="str">
            <v>S</v>
          </cell>
          <cell r="K1641" t="str">
            <v>SHIRT</v>
          </cell>
          <cell r="L1641" t="str">
            <v>NOD</v>
          </cell>
        </row>
        <row r="1642">
          <cell r="C1642" t="str">
            <v>FMSHT3662</v>
          </cell>
          <cell r="D1642" t="str">
            <v>OCOR</v>
          </cell>
          <cell r="E1642" t="str">
            <v>OC25</v>
          </cell>
          <cell r="F1642">
            <v>1999</v>
          </cell>
          <cell r="G1642" t="str">
            <v>FM</v>
          </cell>
          <cell r="H1642" t="str">
            <v>FLMFMMSHT</v>
          </cell>
          <cell r="I1642" t="str">
            <v>FMSHT3662006</v>
          </cell>
          <cell r="J1642" t="str">
            <v>XL</v>
          </cell>
          <cell r="K1642" t="str">
            <v>SHIRT</v>
          </cell>
          <cell r="L1642" t="str">
            <v>NOD</v>
          </cell>
        </row>
        <row r="1643">
          <cell r="C1643" t="str">
            <v>FMSHT3662</v>
          </cell>
          <cell r="D1643" t="str">
            <v>OCOR</v>
          </cell>
          <cell r="E1643" t="str">
            <v>OC25</v>
          </cell>
          <cell r="F1643">
            <v>1999</v>
          </cell>
          <cell r="G1643" t="str">
            <v>FM</v>
          </cell>
          <cell r="H1643" t="str">
            <v>FLMFMMSHT</v>
          </cell>
          <cell r="I1643" t="str">
            <v>FMSHT3662007</v>
          </cell>
          <cell r="J1643" t="str">
            <v>XXL</v>
          </cell>
          <cell r="K1643" t="str">
            <v>SHIRT</v>
          </cell>
          <cell r="L1643" t="str">
            <v>NOD</v>
          </cell>
        </row>
        <row r="1644">
          <cell r="C1644" t="str">
            <v>FMSHT3662</v>
          </cell>
          <cell r="D1644" t="str">
            <v>OCOR</v>
          </cell>
          <cell r="E1644" t="str">
            <v>OC25</v>
          </cell>
          <cell r="F1644">
            <v>1999</v>
          </cell>
          <cell r="G1644" t="str">
            <v>FM</v>
          </cell>
          <cell r="H1644" t="str">
            <v>FLMFMMSHT</v>
          </cell>
          <cell r="I1644" t="str">
            <v>FMSHT3662008</v>
          </cell>
          <cell r="J1644" t="str">
            <v>XS</v>
          </cell>
          <cell r="K1644" t="str">
            <v>SHIRT</v>
          </cell>
          <cell r="L1644" t="str">
            <v>NOD</v>
          </cell>
        </row>
        <row r="1645">
          <cell r="C1645" t="str">
            <v>FMSHT3662</v>
          </cell>
          <cell r="D1645" t="str">
            <v>OCOR</v>
          </cell>
          <cell r="E1645" t="str">
            <v>OC25</v>
          </cell>
          <cell r="F1645">
            <v>1999</v>
          </cell>
          <cell r="G1645" t="str">
            <v>FM</v>
          </cell>
          <cell r="H1645" t="str">
            <v>FLMFMMSHT</v>
          </cell>
          <cell r="I1645" t="str">
            <v>FMSHT3662009</v>
          </cell>
          <cell r="J1645" t="str">
            <v>5XL</v>
          </cell>
          <cell r="K1645" t="str">
            <v>SHIRT</v>
          </cell>
          <cell r="L1645" t="str">
            <v>NOD</v>
          </cell>
        </row>
        <row r="1646">
          <cell r="C1646" t="str">
            <v>FMSHT4540</v>
          </cell>
          <cell r="D1646" t="str">
            <v>OCOR</v>
          </cell>
          <cell r="E1646" t="str">
            <v>OC25</v>
          </cell>
          <cell r="F1646">
            <v>1799</v>
          </cell>
          <cell r="G1646" t="str">
            <v>FM</v>
          </cell>
          <cell r="H1646" t="str">
            <v>FLMFMMSHT</v>
          </cell>
          <cell r="I1646" t="str">
            <v>FMSHT4540001</v>
          </cell>
          <cell r="J1646" t="str">
            <v>3XL</v>
          </cell>
          <cell r="K1646" t="str">
            <v>SHIRT</v>
          </cell>
          <cell r="L1646" t="str">
            <v>NOD</v>
          </cell>
        </row>
        <row r="1647">
          <cell r="C1647" t="str">
            <v>FMSHT4540</v>
          </cell>
          <cell r="D1647" t="str">
            <v>OCOR</v>
          </cell>
          <cell r="E1647" t="str">
            <v>OC25</v>
          </cell>
          <cell r="F1647">
            <v>1799</v>
          </cell>
          <cell r="G1647" t="str">
            <v>FM</v>
          </cell>
          <cell r="H1647" t="str">
            <v>FLMFMMSHT</v>
          </cell>
          <cell r="I1647" t="str">
            <v>FMSHT4540002</v>
          </cell>
          <cell r="J1647" t="str">
            <v>4XL</v>
          </cell>
          <cell r="K1647" t="str">
            <v>SHIRT</v>
          </cell>
          <cell r="L1647" t="str">
            <v>NOD</v>
          </cell>
        </row>
        <row r="1648">
          <cell r="C1648" t="str">
            <v>FMSHT4540</v>
          </cell>
          <cell r="D1648" t="str">
            <v>OCOR</v>
          </cell>
          <cell r="E1648" t="str">
            <v>OC25</v>
          </cell>
          <cell r="F1648">
            <v>1799</v>
          </cell>
          <cell r="G1648" t="str">
            <v>FM</v>
          </cell>
          <cell r="H1648" t="str">
            <v>FLMFMMSHT</v>
          </cell>
          <cell r="I1648" t="str">
            <v>FMSHT4540003</v>
          </cell>
          <cell r="J1648" t="str">
            <v>5XL</v>
          </cell>
          <cell r="K1648" t="str">
            <v>SHIRT</v>
          </cell>
          <cell r="L1648" t="str">
            <v>NOD</v>
          </cell>
        </row>
        <row r="1649">
          <cell r="C1649" t="str">
            <v>FMSHT4540</v>
          </cell>
          <cell r="D1649" t="str">
            <v>OCOR</v>
          </cell>
          <cell r="E1649" t="str">
            <v>OC25</v>
          </cell>
          <cell r="F1649">
            <v>1799</v>
          </cell>
          <cell r="G1649" t="str">
            <v>FM</v>
          </cell>
          <cell r="H1649" t="str">
            <v>FLMFMMSHT</v>
          </cell>
          <cell r="I1649" t="str">
            <v>FMSHT4540004</v>
          </cell>
          <cell r="J1649" t="str">
            <v>L</v>
          </cell>
          <cell r="K1649" t="str">
            <v>SHIRT</v>
          </cell>
          <cell r="L1649" t="str">
            <v>NOD</v>
          </cell>
        </row>
        <row r="1650">
          <cell r="C1650" t="str">
            <v>FMSHT4540</v>
          </cell>
          <cell r="D1650" t="str">
            <v>OCOR</v>
          </cell>
          <cell r="E1650" t="str">
            <v>OC25</v>
          </cell>
          <cell r="F1650">
            <v>1799</v>
          </cell>
          <cell r="G1650" t="str">
            <v>FM</v>
          </cell>
          <cell r="H1650" t="str">
            <v>FLMFMMSHT</v>
          </cell>
          <cell r="I1650" t="str">
            <v>FMSHT4540005</v>
          </cell>
          <cell r="J1650" t="str">
            <v>M</v>
          </cell>
          <cell r="K1650" t="str">
            <v>SHIRT</v>
          </cell>
          <cell r="L1650" t="str">
            <v>NOD</v>
          </cell>
        </row>
        <row r="1651">
          <cell r="C1651" t="str">
            <v>FMSHT4540</v>
          </cell>
          <cell r="D1651" t="str">
            <v>OCOR</v>
          </cell>
          <cell r="E1651" t="str">
            <v>OC25</v>
          </cell>
          <cell r="F1651">
            <v>1799</v>
          </cell>
          <cell r="G1651" t="str">
            <v>FM</v>
          </cell>
          <cell r="H1651" t="str">
            <v>FLMFMMSHT</v>
          </cell>
          <cell r="I1651" t="str">
            <v>FMSHT4540006</v>
          </cell>
          <cell r="J1651" t="str">
            <v>S</v>
          </cell>
          <cell r="K1651" t="str">
            <v>SHIRT</v>
          </cell>
          <cell r="L1651" t="str">
            <v>NOD</v>
          </cell>
        </row>
        <row r="1652">
          <cell r="C1652" t="str">
            <v>FMSHT4540</v>
          </cell>
          <cell r="D1652" t="str">
            <v>OCOR</v>
          </cell>
          <cell r="E1652" t="str">
            <v>OC25</v>
          </cell>
          <cell r="F1652">
            <v>1799</v>
          </cell>
          <cell r="G1652" t="str">
            <v>FM</v>
          </cell>
          <cell r="H1652" t="str">
            <v>FLMFMMSHT</v>
          </cell>
          <cell r="I1652" t="str">
            <v>FMSHT4540007</v>
          </cell>
          <cell r="J1652" t="str">
            <v>XL</v>
          </cell>
          <cell r="K1652" t="str">
            <v>SHIRT</v>
          </cell>
          <cell r="L1652" t="str">
            <v>NOD</v>
          </cell>
        </row>
        <row r="1653">
          <cell r="C1653" t="str">
            <v>FMSHT4540</v>
          </cell>
          <cell r="D1653" t="str">
            <v>OCOR</v>
          </cell>
          <cell r="E1653" t="str">
            <v>OC25</v>
          </cell>
          <cell r="F1653">
            <v>1799</v>
          </cell>
          <cell r="G1653" t="str">
            <v>FM</v>
          </cell>
          <cell r="H1653" t="str">
            <v>FLMFMMSHT</v>
          </cell>
          <cell r="I1653" t="str">
            <v>FMSHT4540008</v>
          </cell>
          <cell r="J1653" t="str">
            <v>XS</v>
          </cell>
          <cell r="K1653" t="str">
            <v>SHIRT</v>
          </cell>
          <cell r="L1653" t="str">
            <v>NOD</v>
          </cell>
        </row>
        <row r="1654">
          <cell r="C1654" t="str">
            <v>FMSHT4540</v>
          </cell>
          <cell r="D1654" t="str">
            <v>OCOR</v>
          </cell>
          <cell r="E1654" t="str">
            <v>OC25</v>
          </cell>
          <cell r="F1654">
            <v>1799</v>
          </cell>
          <cell r="G1654" t="str">
            <v>FM</v>
          </cell>
          <cell r="H1654" t="str">
            <v>FLMFMMSHT</v>
          </cell>
          <cell r="I1654" t="str">
            <v>FMSHT4540009</v>
          </cell>
          <cell r="J1654" t="str">
            <v>XXL</v>
          </cell>
          <cell r="K1654" t="str">
            <v>SHIRT</v>
          </cell>
          <cell r="L1654" t="str">
            <v>NOD</v>
          </cell>
        </row>
        <row r="1655">
          <cell r="C1655" t="str">
            <v>FMSHT4559</v>
          </cell>
          <cell r="D1655" t="str">
            <v>OCOR</v>
          </cell>
          <cell r="E1655" t="str">
            <v>OC25</v>
          </cell>
          <cell r="F1655">
            <v>1999</v>
          </cell>
          <cell r="G1655" t="str">
            <v>FM</v>
          </cell>
          <cell r="H1655" t="str">
            <v>FLMFMMSHT</v>
          </cell>
          <cell r="I1655" t="str">
            <v>FMSHT4559001</v>
          </cell>
          <cell r="J1655" t="str">
            <v>3XL</v>
          </cell>
          <cell r="K1655" t="str">
            <v>SHIRT</v>
          </cell>
          <cell r="L1655" t="str">
            <v>NOD</v>
          </cell>
        </row>
        <row r="1656">
          <cell r="C1656" t="str">
            <v>FMSHT4559</v>
          </cell>
          <cell r="D1656" t="str">
            <v>OCOR</v>
          </cell>
          <cell r="E1656" t="str">
            <v>OC25</v>
          </cell>
          <cell r="F1656">
            <v>1999</v>
          </cell>
          <cell r="G1656" t="str">
            <v>FM</v>
          </cell>
          <cell r="H1656" t="str">
            <v>FLMFMMSHT</v>
          </cell>
          <cell r="I1656" t="str">
            <v>FMSHT4559002</v>
          </cell>
          <cell r="J1656" t="str">
            <v>4XL</v>
          </cell>
          <cell r="K1656" t="str">
            <v>SHIRT</v>
          </cell>
          <cell r="L1656" t="str">
            <v>NOD</v>
          </cell>
        </row>
        <row r="1657">
          <cell r="C1657" t="str">
            <v>FMSHT4559</v>
          </cell>
          <cell r="D1657" t="str">
            <v>OCOR</v>
          </cell>
          <cell r="E1657" t="str">
            <v>OC25</v>
          </cell>
          <cell r="F1657">
            <v>1999</v>
          </cell>
          <cell r="G1657" t="str">
            <v>FM</v>
          </cell>
          <cell r="H1657" t="str">
            <v>FLMFMMSHT</v>
          </cell>
          <cell r="I1657" t="str">
            <v>FMSHT4559003</v>
          </cell>
          <cell r="J1657" t="str">
            <v>5XL</v>
          </cell>
          <cell r="K1657" t="str">
            <v>SHIRT</v>
          </cell>
          <cell r="L1657" t="str">
            <v>NOD</v>
          </cell>
        </row>
        <row r="1658">
          <cell r="C1658" t="str">
            <v>FMSHT4559</v>
          </cell>
          <cell r="D1658" t="str">
            <v>OCOR</v>
          </cell>
          <cell r="E1658" t="str">
            <v>OC25</v>
          </cell>
          <cell r="F1658">
            <v>1999</v>
          </cell>
          <cell r="G1658" t="str">
            <v>FM</v>
          </cell>
          <cell r="H1658" t="str">
            <v>FLMFMMSHT</v>
          </cell>
          <cell r="I1658" t="str">
            <v>FMSHT4559004</v>
          </cell>
          <cell r="J1658" t="str">
            <v>L</v>
          </cell>
          <cell r="K1658" t="str">
            <v>SHIRT</v>
          </cell>
          <cell r="L1658" t="str">
            <v>NOD</v>
          </cell>
        </row>
        <row r="1659">
          <cell r="C1659" t="str">
            <v>FMSHT4559</v>
          </cell>
          <cell r="D1659" t="str">
            <v>OCOR</v>
          </cell>
          <cell r="E1659" t="str">
            <v>OC25</v>
          </cell>
          <cell r="F1659">
            <v>1999</v>
          </cell>
          <cell r="G1659" t="str">
            <v>FM</v>
          </cell>
          <cell r="H1659" t="str">
            <v>FLMFMMSHT</v>
          </cell>
          <cell r="I1659" t="str">
            <v>FMSHT4559005</v>
          </cell>
          <cell r="J1659" t="str">
            <v>M</v>
          </cell>
          <cell r="K1659" t="str">
            <v>SHIRT</v>
          </cell>
          <cell r="L1659" t="str">
            <v>NOD</v>
          </cell>
        </row>
        <row r="1660">
          <cell r="C1660" t="str">
            <v>FMSHT4559</v>
          </cell>
          <cell r="D1660" t="str">
            <v>OCOR</v>
          </cell>
          <cell r="E1660" t="str">
            <v>OC25</v>
          </cell>
          <cell r="F1660">
            <v>1999</v>
          </cell>
          <cell r="G1660" t="str">
            <v>FM</v>
          </cell>
          <cell r="H1660" t="str">
            <v>FLMFMMSHT</v>
          </cell>
          <cell r="I1660" t="str">
            <v>FMSHT4559006</v>
          </cell>
          <cell r="J1660" t="str">
            <v>S</v>
          </cell>
          <cell r="K1660" t="str">
            <v>SHIRT</v>
          </cell>
          <cell r="L1660" t="str">
            <v>NOD</v>
          </cell>
        </row>
        <row r="1661">
          <cell r="C1661" t="str">
            <v>FMSHT4559</v>
          </cell>
          <cell r="D1661" t="str">
            <v>OCOR</v>
          </cell>
          <cell r="E1661" t="str">
            <v>OC25</v>
          </cell>
          <cell r="F1661">
            <v>1999</v>
          </cell>
          <cell r="G1661" t="str">
            <v>FM</v>
          </cell>
          <cell r="H1661" t="str">
            <v>FLMFMMSHT</v>
          </cell>
          <cell r="I1661" t="str">
            <v>FMSHT4559007</v>
          </cell>
          <cell r="J1661" t="str">
            <v>XL</v>
          </cell>
          <cell r="K1661" t="str">
            <v>SHIRT</v>
          </cell>
          <cell r="L1661" t="str">
            <v>NOD</v>
          </cell>
        </row>
        <row r="1662">
          <cell r="C1662" t="str">
            <v>FMSHT4559</v>
          </cell>
          <cell r="D1662" t="str">
            <v>OCOR</v>
          </cell>
          <cell r="E1662" t="str">
            <v>OC25</v>
          </cell>
          <cell r="F1662">
            <v>1999</v>
          </cell>
          <cell r="G1662" t="str">
            <v>FM</v>
          </cell>
          <cell r="H1662" t="str">
            <v>FLMFMMSHT</v>
          </cell>
          <cell r="I1662" t="str">
            <v>FMSHT4559008</v>
          </cell>
          <cell r="J1662" t="str">
            <v>XS</v>
          </cell>
          <cell r="K1662" t="str">
            <v>SHIRT</v>
          </cell>
          <cell r="L1662" t="str">
            <v>NOD</v>
          </cell>
        </row>
        <row r="1663">
          <cell r="C1663" t="str">
            <v>FMSHT4559</v>
          </cell>
          <cell r="D1663" t="str">
            <v>OCOR</v>
          </cell>
          <cell r="E1663" t="str">
            <v>OC25</v>
          </cell>
          <cell r="F1663">
            <v>1999</v>
          </cell>
          <cell r="G1663" t="str">
            <v>FM</v>
          </cell>
          <cell r="H1663" t="str">
            <v>FLMFMMSHT</v>
          </cell>
          <cell r="I1663" t="str">
            <v>FMSHT4559009</v>
          </cell>
          <cell r="J1663" t="str">
            <v>XXL</v>
          </cell>
          <cell r="K1663" t="str">
            <v>SHIRT</v>
          </cell>
          <cell r="L1663" t="str">
            <v>NOD</v>
          </cell>
        </row>
        <row r="1664">
          <cell r="C1664" t="str">
            <v>FMSHT4677</v>
          </cell>
          <cell r="D1664" t="str">
            <v>OCOR</v>
          </cell>
          <cell r="E1664" t="str">
            <v>OC25</v>
          </cell>
          <cell r="F1664">
            <v>3159</v>
          </cell>
          <cell r="G1664" t="str">
            <v>FM</v>
          </cell>
          <cell r="H1664" t="str">
            <v>FLMFMMSHT</v>
          </cell>
          <cell r="I1664" t="str">
            <v>FMSHT4677001</v>
          </cell>
          <cell r="J1664" t="str">
            <v>3XL</v>
          </cell>
          <cell r="K1664" t="str">
            <v>SHIRT</v>
          </cell>
          <cell r="L1664" t="str">
            <v>NOD</v>
          </cell>
        </row>
        <row r="1665">
          <cell r="C1665" t="str">
            <v>FMSHT4677</v>
          </cell>
          <cell r="D1665" t="str">
            <v>OCOR</v>
          </cell>
          <cell r="E1665" t="str">
            <v>OC25</v>
          </cell>
          <cell r="F1665">
            <v>3159</v>
          </cell>
          <cell r="G1665" t="str">
            <v>FM</v>
          </cell>
          <cell r="H1665" t="str">
            <v>FLMFMMSHT</v>
          </cell>
          <cell r="I1665" t="str">
            <v>FMSHT4677002</v>
          </cell>
          <cell r="J1665" t="str">
            <v>4XL</v>
          </cell>
          <cell r="K1665" t="str">
            <v>SHIRT</v>
          </cell>
          <cell r="L1665" t="str">
            <v>NOD</v>
          </cell>
        </row>
        <row r="1666">
          <cell r="C1666" t="str">
            <v>FMSHT4677</v>
          </cell>
          <cell r="D1666" t="str">
            <v>OCOR</v>
          </cell>
          <cell r="E1666" t="str">
            <v>OC25</v>
          </cell>
          <cell r="F1666">
            <v>3159</v>
          </cell>
          <cell r="G1666" t="str">
            <v>FM</v>
          </cell>
          <cell r="H1666" t="str">
            <v>FLMFMMSHT</v>
          </cell>
          <cell r="I1666" t="str">
            <v>FMSHT4677003</v>
          </cell>
          <cell r="J1666" t="str">
            <v>5XL</v>
          </cell>
          <cell r="K1666" t="str">
            <v>SHIRT</v>
          </cell>
          <cell r="L1666" t="str">
            <v>NOD</v>
          </cell>
        </row>
        <row r="1667">
          <cell r="C1667" t="str">
            <v>FMSHT4677</v>
          </cell>
          <cell r="D1667" t="str">
            <v>OCOR</v>
          </cell>
          <cell r="E1667" t="str">
            <v>OC25</v>
          </cell>
          <cell r="F1667">
            <v>3159</v>
          </cell>
          <cell r="G1667" t="str">
            <v>FM</v>
          </cell>
          <cell r="H1667" t="str">
            <v>FLMFMMSHT</v>
          </cell>
          <cell r="I1667" t="str">
            <v>FMSHT4677004</v>
          </cell>
          <cell r="J1667" t="str">
            <v>L</v>
          </cell>
          <cell r="K1667" t="str">
            <v>SHIRT</v>
          </cell>
          <cell r="L1667" t="str">
            <v>NOD</v>
          </cell>
        </row>
        <row r="1668">
          <cell r="C1668" t="str">
            <v>FMSHT4677</v>
          </cell>
          <cell r="D1668" t="str">
            <v>OCOR</v>
          </cell>
          <cell r="E1668" t="str">
            <v>OC25</v>
          </cell>
          <cell r="F1668">
            <v>3159</v>
          </cell>
          <cell r="G1668" t="str">
            <v>FM</v>
          </cell>
          <cell r="H1668" t="str">
            <v>FLMFMMSHT</v>
          </cell>
          <cell r="I1668" t="str">
            <v>FMSHT4677005</v>
          </cell>
          <cell r="J1668" t="str">
            <v>M</v>
          </cell>
          <cell r="K1668" t="str">
            <v>SHIRT</v>
          </cell>
          <cell r="L1668" t="str">
            <v>NOD</v>
          </cell>
        </row>
        <row r="1669">
          <cell r="C1669" t="str">
            <v>FMSHT4677</v>
          </cell>
          <cell r="D1669" t="str">
            <v>OCOR</v>
          </cell>
          <cell r="E1669" t="str">
            <v>OC25</v>
          </cell>
          <cell r="F1669">
            <v>3159</v>
          </cell>
          <cell r="G1669" t="str">
            <v>FM</v>
          </cell>
          <cell r="H1669" t="str">
            <v>FLMFMMSHT</v>
          </cell>
          <cell r="I1669" t="str">
            <v>FMSHT4677006</v>
          </cell>
          <cell r="J1669" t="str">
            <v>S</v>
          </cell>
          <cell r="K1669" t="str">
            <v>SHIRT</v>
          </cell>
          <cell r="L1669" t="str">
            <v>NOD</v>
          </cell>
        </row>
        <row r="1670">
          <cell r="C1670" t="str">
            <v>FMSHT4677</v>
          </cell>
          <cell r="D1670" t="str">
            <v>OCOR</v>
          </cell>
          <cell r="E1670" t="str">
            <v>OC25</v>
          </cell>
          <cell r="F1670">
            <v>3159</v>
          </cell>
          <cell r="G1670" t="str">
            <v>FM</v>
          </cell>
          <cell r="H1670" t="str">
            <v>FLMFMMSHT</v>
          </cell>
          <cell r="I1670" t="str">
            <v>FMSHT4677007</v>
          </cell>
          <cell r="J1670" t="str">
            <v>XL</v>
          </cell>
          <cell r="K1670" t="str">
            <v>SHIRT</v>
          </cell>
          <cell r="L1670" t="str">
            <v>NOD</v>
          </cell>
        </row>
        <row r="1671">
          <cell r="C1671" t="str">
            <v>FMSHT4677</v>
          </cell>
          <cell r="D1671" t="str">
            <v>OCOR</v>
          </cell>
          <cell r="E1671" t="str">
            <v>OC25</v>
          </cell>
          <cell r="F1671">
            <v>3159</v>
          </cell>
          <cell r="G1671" t="str">
            <v>FM</v>
          </cell>
          <cell r="H1671" t="str">
            <v>FLMFMMSHT</v>
          </cell>
          <cell r="I1671" t="str">
            <v>FMSHT4677008</v>
          </cell>
          <cell r="J1671" t="str">
            <v>XS</v>
          </cell>
          <cell r="K1671" t="str">
            <v>SHIRT</v>
          </cell>
          <cell r="L1671" t="str">
            <v>NOD</v>
          </cell>
        </row>
        <row r="1672">
          <cell r="C1672" t="str">
            <v>FMSHT4677</v>
          </cell>
          <cell r="D1672" t="str">
            <v>OCOR</v>
          </cell>
          <cell r="E1672" t="str">
            <v>OC25</v>
          </cell>
          <cell r="F1672">
            <v>3159</v>
          </cell>
          <cell r="G1672" t="str">
            <v>FM</v>
          </cell>
          <cell r="H1672" t="str">
            <v>FLMFMMSHT</v>
          </cell>
          <cell r="I1672" t="str">
            <v>FMSHT4677009</v>
          </cell>
          <cell r="J1672" t="str">
            <v>XXL</v>
          </cell>
          <cell r="K1672" t="str">
            <v>SHIRT</v>
          </cell>
          <cell r="L1672" t="str">
            <v>NOD</v>
          </cell>
        </row>
        <row r="1673">
          <cell r="C1673" t="str">
            <v>FMSHTCR0007</v>
          </cell>
          <cell r="D1673" t="str">
            <v>CORE</v>
          </cell>
          <cell r="E1673" t="str">
            <v>CO25</v>
          </cell>
          <cell r="F1673">
            <v>2299</v>
          </cell>
          <cell r="G1673" t="str">
            <v>FM</v>
          </cell>
          <cell r="H1673" t="str">
            <v>FLMFMMSHT</v>
          </cell>
          <cell r="I1673" t="str">
            <v>FMSHTCR0007001</v>
          </cell>
          <cell r="J1673" t="str">
            <v>3XL</v>
          </cell>
          <cell r="K1673" t="str">
            <v>FORMAL SHIRT</v>
          </cell>
          <cell r="L1673" t="str">
            <v>NOD</v>
          </cell>
        </row>
        <row r="1674">
          <cell r="C1674" t="str">
            <v>FMSHTCR0007</v>
          </cell>
          <cell r="D1674" t="str">
            <v>CORE</v>
          </cell>
          <cell r="E1674" t="str">
            <v>CO25</v>
          </cell>
          <cell r="F1674">
            <v>2299</v>
          </cell>
          <cell r="G1674" t="str">
            <v>FM</v>
          </cell>
          <cell r="H1674" t="str">
            <v>FLMFMMSHT</v>
          </cell>
          <cell r="I1674" t="str">
            <v>FMSHTCR0007002</v>
          </cell>
          <cell r="J1674" t="str">
            <v>4XL</v>
          </cell>
          <cell r="K1674" t="str">
            <v>FORMAL SHIRT</v>
          </cell>
          <cell r="L1674" t="str">
            <v>NOD</v>
          </cell>
        </row>
        <row r="1675">
          <cell r="C1675" t="str">
            <v>FMSHTCR0007</v>
          </cell>
          <cell r="D1675" t="str">
            <v>CORE</v>
          </cell>
          <cell r="E1675" t="str">
            <v>CO25</v>
          </cell>
          <cell r="F1675">
            <v>2299</v>
          </cell>
          <cell r="G1675" t="str">
            <v>FM</v>
          </cell>
          <cell r="H1675" t="str">
            <v>FLMFMMSHT</v>
          </cell>
          <cell r="I1675" t="str">
            <v>FMSHTCR0007003</v>
          </cell>
          <cell r="J1675" t="str">
            <v>L</v>
          </cell>
          <cell r="K1675" t="str">
            <v>FORMAL SHIRT</v>
          </cell>
          <cell r="L1675" t="str">
            <v>NOD</v>
          </cell>
        </row>
        <row r="1676">
          <cell r="C1676" t="str">
            <v>FMSHTCR0007</v>
          </cell>
          <cell r="D1676" t="str">
            <v>CORE</v>
          </cell>
          <cell r="E1676" t="str">
            <v>CO25</v>
          </cell>
          <cell r="F1676">
            <v>2299</v>
          </cell>
          <cell r="G1676" t="str">
            <v>FM</v>
          </cell>
          <cell r="H1676" t="str">
            <v>FLMFMMSHT</v>
          </cell>
          <cell r="I1676" t="str">
            <v>FMSHTCR0007004</v>
          </cell>
          <cell r="J1676" t="str">
            <v>M</v>
          </cell>
          <cell r="K1676" t="str">
            <v>FORMAL SHIRT</v>
          </cell>
          <cell r="L1676" t="str">
            <v>NOD</v>
          </cell>
        </row>
        <row r="1677">
          <cell r="C1677" t="str">
            <v>FMSHTCR0007</v>
          </cell>
          <cell r="D1677" t="str">
            <v>CORE</v>
          </cell>
          <cell r="E1677" t="str">
            <v>CO25</v>
          </cell>
          <cell r="F1677">
            <v>2299</v>
          </cell>
          <cell r="G1677" t="str">
            <v>FM</v>
          </cell>
          <cell r="H1677" t="str">
            <v>FLMFMMSHT</v>
          </cell>
          <cell r="I1677" t="str">
            <v>FMSHTCR0007005</v>
          </cell>
          <cell r="J1677" t="str">
            <v>S</v>
          </cell>
          <cell r="K1677" t="str">
            <v>FORMAL SHIRT</v>
          </cell>
          <cell r="L1677" t="str">
            <v>NOD</v>
          </cell>
        </row>
        <row r="1678">
          <cell r="C1678" t="str">
            <v>FMSHTCR0007</v>
          </cell>
          <cell r="D1678" t="str">
            <v>CORE</v>
          </cell>
          <cell r="E1678" t="str">
            <v>CO25</v>
          </cell>
          <cell r="F1678">
            <v>2299</v>
          </cell>
          <cell r="G1678" t="str">
            <v>FM</v>
          </cell>
          <cell r="H1678" t="str">
            <v>FLMFMMSHT</v>
          </cell>
          <cell r="I1678" t="str">
            <v>FMSHTCR0007006</v>
          </cell>
          <cell r="J1678" t="str">
            <v>XL</v>
          </cell>
          <cell r="K1678" t="str">
            <v>FORMAL SHIRT</v>
          </cell>
          <cell r="L1678" t="str">
            <v>NOD</v>
          </cell>
        </row>
        <row r="1679">
          <cell r="C1679" t="str">
            <v>FMSHTCR0007</v>
          </cell>
          <cell r="D1679" t="str">
            <v>CORE</v>
          </cell>
          <cell r="E1679" t="str">
            <v>CO25</v>
          </cell>
          <cell r="F1679">
            <v>2299</v>
          </cell>
          <cell r="G1679" t="str">
            <v>FM</v>
          </cell>
          <cell r="H1679" t="str">
            <v>FLMFMMSHT</v>
          </cell>
          <cell r="I1679" t="str">
            <v>FMSHTCR0007007</v>
          </cell>
          <cell r="J1679" t="str">
            <v>XS</v>
          </cell>
          <cell r="K1679" t="str">
            <v>FORMAL SHIRT</v>
          </cell>
          <cell r="L1679" t="str">
            <v>NOD</v>
          </cell>
        </row>
        <row r="1680">
          <cell r="C1680" t="str">
            <v>FMSHTCR0007</v>
          </cell>
          <cell r="D1680" t="str">
            <v>CORE</v>
          </cell>
          <cell r="E1680" t="str">
            <v>CO25</v>
          </cell>
          <cell r="F1680">
            <v>2299</v>
          </cell>
          <cell r="G1680" t="str">
            <v>FM</v>
          </cell>
          <cell r="H1680" t="str">
            <v>FLMFMMSHT</v>
          </cell>
          <cell r="I1680" t="str">
            <v>FMSHTCR0007008</v>
          </cell>
          <cell r="J1680" t="str">
            <v>XXL</v>
          </cell>
          <cell r="K1680" t="str">
            <v>FORMAL SHIRT</v>
          </cell>
          <cell r="L1680" t="str">
            <v>NOD</v>
          </cell>
        </row>
        <row r="1681">
          <cell r="C1681" t="str">
            <v>FMSHTCR0007</v>
          </cell>
          <cell r="D1681" t="str">
            <v>CORE</v>
          </cell>
          <cell r="E1681" t="str">
            <v>CO25</v>
          </cell>
          <cell r="F1681">
            <v>2299</v>
          </cell>
          <cell r="G1681" t="str">
            <v>FM</v>
          </cell>
          <cell r="H1681" t="str">
            <v>FLMFMMSHT</v>
          </cell>
          <cell r="I1681" t="str">
            <v>FMSHTCR0007009</v>
          </cell>
          <cell r="J1681" t="str">
            <v>5XL</v>
          </cell>
          <cell r="K1681" t="str">
            <v>FORMAL SHIRT</v>
          </cell>
          <cell r="L1681" t="str">
            <v>NOD</v>
          </cell>
        </row>
        <row r="1682">
          <cell r="C1682" t="str">
            <v>FMSHTCR0008</v>
          </cell>
          <cell r="D1682" t="str">
            <v>CORE</v>
          </cell>
          <cell r="E1682" t="str">
            <v>CO25</v>
          </cell>
          <cell r="F1682">
            <v>2299</v>
          </cell>
          <cell r="G1682" t="str">
            <v>FM</v>
          </cell>
          <cell r="H1682" t="str">
            <v>FLMFMMSHT</v>
          </cell>
          <cell r="I1682" t="str">
            <v>FMSHTCR0008001</v>
          </cell>
          <cell r="J1682" t="str">
            <v>3XL</v>
          </cell>
          <cell r="K1682" t="str">
            <v>FORMAL SHIRT</v>
          </cell>
          <cell r="L1682" t="str">
            <v>NOD</v>
          </cell>
        </row>
        <row r="1683">
          <cell r="C1683" t="str">
            <v>FMSHTCR0008</v>
          </cell>
          <cell r="D1683" t="str">
            <v>CORE</v>
          </cell>
          <cell r="E1683" t="str">
            <v>CO25</v>
          </cell>
          <cell r="F1683">
            <v>2299</v>
          </cell>
          <cell r="G1683" t="str">
            <v>FM</v>
          </cell>
          <cell r="H1683" t="str">
            <v>FLMFMMSHT</v>
          </cell>
          <cell r="I1683" t="str">
            <v>FMSHTCR0008002</v>
          </cell>
          <cell r="J1683" t="str">
            <v>4XL</v>
          </cell>
          <cell r="K1683" t="str">
            <v>FORMAL SHIRT</v>
          </cell>
          <cell r="L1683" t="str">
            <v>NOD</v>
          </cell>
        </row>
        <row r="1684">
          <cell r="C1684" t="str">
            <v>FMSHTCR0008</v>
          </cell>
          <cell r="D1684" t="str">
            <v>CORE</v>
          </cell>
          <cell r="E1684" t="str">
            <v>CO25</v>
          </cell>
          <cell r="F1684">
            <v>2299</v>
          </cell>
          <cell r="G1684" t="str">
            <v>FM</v>
          </cell>
          <cell r="H1684" t="str">
            <v>FLMFMMSHT</v>
          </cell>
          <cell r="I1684" t="str">
            <v>FMSHTCR0008003</v>
          </cell>
          <cell r="J1684" t="str">
            <v>L</v>
          </cell>
          <cell r="K1684" t="str">
            <v>FORMAL SHIRT</v>
          </cell>
          <cell r="L1684" t="str">
            <v>NOD</v>
          </cell>
        </row>
        <row r="1685">
          <cell r="C1685" t="str">
            <v>FMSHTCR0008</v>
          </cell>
          <cell r="D1685" t="str">
            <v>CORE</v>
          </cell>
          <cell r="E1685" t="str">
            <v>CO25</v>
          </cell>
          <cell r="F1685">
            <v>2299</v>
          </cell>
          <cell r="G1685" t="str">
            <v>FM</v>
          </cell>
          <cell r="H1685" t="str">
            <v>FLMFMMSHT</v>
          </cell>
          <cell r="I1685" t="str">
            <v>FMSHTCR0008004</v>
          </cell>
          <cell r="J1685" t="str">
            <v>M</v>
          </cell>
          <cell r="K1685" t="str">
            <v>FORMAL SHIRT</v>
          </cell>
          <cell r="L1685" t="str">
            <v>NOD</v>
          </cell>
        </row>
        <row r="1686">
          <cell r="C1686" t="str">
            <v>FMSHTCR0008</v>
          </cell>
          <cell r="D1686" t="str">
            <v>CORE</v>
          </cell>
          <cell r="E1686" t="str">
            <v>CO25</v>
          </cell>
          <cell r="F1686">
            <v>2299</v>
          </cell>
          <cell r="G1686" t="str">
            <v>FM</v>
          </cell>
          <cell r="H1686" t="str">
            <v>FLMFMMSHT</v>
          </cell>
          <cell r="I1686" t="str">
            <v>FMSHTCR0008005</v>
          </cell>
          <cell r="J1686" t="str">
            <v>S</v>
          </cell>
          <cell r="K1686" t="str">
            <v>FORMAL SHIRT</v>
          </cell>
          <cell r="L1686" t="str">
            <v>NOD</v>
          </cell>
        </row>
        <row r="1687">
          <cell r="C1687" t="str">
            <v>FMSHTCR0008</v>
          </cell>
          <cell r="D1687" t="str">
            <v>CORE</v>
          </cell>
          <cell r="E1687" t="str">
            <v>CO25</v>
          </cell>
          <cell r="F1687">
            <v>2299</v>
          </cell>
          <cell r="G1687" t="str">
            <v>FM</v>
          </cell>
          <cell r="H1687" t="str">
            <v>FLMFMMSHT</v>
          </cell>
          <cell r="I1687" t="str">
            <v>FMSHTCR0008006</v>
          </cell>
          <cell r="J1687" t="str">
            <v>XL</v>
          </cell>
          <cell r="K1687" t="str">
            <v>FORMAL SHIRT</v>
          </cell>
          <cell r="L1687" t="str">
            <v>NOD</v>
          </cell>
        </row>
        <row r="1688">
          <cell r="C1688" t="str">
            <v>FMSHTCR0008</v>
          </cell>
          <cell r="D1688" t="str">
            <v>CORE</v>
          </cell>
          <cell r="E1688" t="str">
            <v>CO25</v>
          </cell>
          <cell r="F1688">
            <v>2299</v>
          </cell>
          <cell r="G1688" t="str">
            <v>FM</v>
          </cell>
          <cell r="H1688" t="str">
            <v>FLMFMMSHT</v>
          </cell>
          <cell r="I1688" t="str">
            <v>FMSHTCR0008007</v>
          </cell>
          <cell r="J1688" t="str">
            <v>XS</v>
          </cell>
          <cell r="K1688" t="str">
            <v>FORMAL SHIRT</v>
          </cell>
          <cell r="L1688" t="str">
            <v>NOD</v>
          </cell>
        </row>
        <row r="1689">
          <cell r="C1689" t="str">
            <v>FMSHTCR0008</v>
          </cell>
          <cell r="D1689" t="str">
            <v>CORE</v>
          </cell>
          <cell r="E1689" t="str">
            <v>CO25</v>
          </cell>
          <cell r="F1689">
            <v>2299</v>
          </cell>
          <cell r="G1689" t="str">
            <v>FM</v>
          </cell>
          <cell r="H1689" t="str">
            <v>FLMFMMSHT</v>
          </cell>
          <cell r="I1689" t="str">
            <v>FMSHTCR0008008</v>
          </cell>
          <cell r="J1689" t="str">
            <v>XXL</v>
          </cell>
          <cell r="K1689" t="str">
            <v>FORMAL SHIRT</v>
          </cell>
          <cell r="L1689" t="str">
            <v>NOD</v>
          </cell>
        </row>
        <row r="1690">
          <cell r="C1690" t="str">
            <v>FMSHTCR0008</v>
          </cell>
          <cell r="D1690" t="str">
            <v>CORE</v>
          </cell>
          <cell r="E1690" t="str">
            <v>CO25</v>
          </cell>
          <cell r="F1690">
            <v>2299</v>
          </cell>
          <cell r="G1690" t="str">
            <v>FM</v>
          </cell>
          <cell r="H1690" t="str">
            <v>FLMFMMSHT</v>
          </cell>
          <cell r="I1690" t="str">
            <v>FMSHTCR0008009</v>
          </cell>
          <cell r="J1690" t="str">
            <v>5XL</v>
          </cell>
          <cell r="K1690" t="str">
            <v>FORMAL SHIRT</v>
          </cell>
          <cell r="L1690" t="str">
            <v>NOD</v>
          </cell>
        </row>
        <row r="1691">
          <cell r="C1691" t="str">
            <v>FMSWE1065</v>
          </cell>
          <cell r="D1691" t="str">
            <v>OCOR</v>
          </cell>
          <cell r="E1691" t="str">
            <v>OC25</v>
          </cell>
          <cell r="F1691">
            <v>3686</v>
          </cell>
          <cell r="G1691" t="str">
            <v>FM</v>
          </cell>
          <cell r="H1691" t="str">
            <v>FLMFMMSWE</v>
          </cell>
          <cell r="I1691" t="str">
            <v>FMSWE1065001</v>
          </cell>
          <cell r="J1691" t="str">
            <v>3XL</v>
          </cell>
          <cell r="K1691" t="str">
            <v>SWEATER</v>
          </cell>
          <cell r="L1691" t="str">
            <v>NOD</v>
          </cell>
        </row>
        <row r="1692">
          <cell r="C1692" t="str">
            <v>FMSWE1065</v>
          </cell>
          <cell r="D1692" t="str">
            <v>OCOR</v>
          </cell>
          <cell r="E1692" t="str">
            <v>OC25</v>
          </cell>
          <cell r="F1692">
            <v>3686</v>
          </cell>
          <cell r="G1692" t="str">
            <v>FM</v>
          </cell>
          <cell r="H1692" t="str">
            <v>FLMFMMSWE</v>
          </cell>
          <cell r="I1692" t="str">
            <v>FMSWE1065002</v>
          </cell>
          <cell r="J1692" t="str">
            <v>4XL</v>
          </cell>
          <cell r="K1692" t="str">
            <v>SWEATER</v>
          </cell>
          <cell r="L1692" t="str">
            <v>NOD</v>
          </cell>
        </row>
        <row r="1693">
          <cell r="C1693" t="str">
            <v>FMSWE1065</v>
          </cell>
          <cell r="D1693" t="str">
            <v>OCOR</v>
          </cell>
          <cell r="E1693" t="str">
            <v>OC25</v>
          </cell>
          <cell r="F1693">
            <v>3686</v>
          </cell>
          <cell r="G1693" t="str">
            <v>FM</v>
          </cell>
          <cell r="H1693" t="str">
            <v>FLMFMMSWE</v>
          </cell>
          <cell r="I1693" t="str">
            <v>FMSWE1065003</v>
          </cell>
          <cell r="J1693" t="str">
            <v>5XL</v>
          </cell>
          <cell r="K1693" t="str">
            <v>SWEATER</v>
          </cell>
          <cell r="L1693" t="str">
            <v>NOD</v>
          </cell>
        </row>
        <row r="1694">
          <cell r="C1694" t="str">
            <v>FMSWE1065</v>
          </cell>
          <cell r="D1694" t="str">
            <v>OCOR</v>
          </cell>
          <cell r="E1694" t="str">
            <v>OC25</v>
          </cell>
          <cell r="F1694">
            <v>3686</v>
          </cell>
          <cell r="G1694" t="str">
            <v>FM</v>
          </cell>
          <cell r="H1694" t="str">
            <v>FLMFMMSWE</v>
          </cell>
          <cell r="I1694" t="str">
            <v>FMSWE1065004</v>
          </cell>
          <cell r="J1694" t="str">
            <v>L</v>
          </cell>
          <cell r="K1694" t="str">
            <v>SWEATER</v>
          </cell>
          <cell r="L1694" t="str">
            <v>NOD</v>
          </cell>
        </row>
        <row r="1695">
          <cell r="C1695" t="str">
            <v>FMSWE1065</v>
          </cell>
          <cell r="D1695" t="str">
            <v>OCOR</v>
          </cell>
          <cell r="E1695" t="str">
            <v>OC25</v>
          </cell>
          <cell r="F1695">
            <v>3686</v>
          </cell>
          <cell r="G1695" t="str">
            <v>FM</v>
          </cell>
          <cell r="H1695" t="str">
            <v>FLMFMMSWE</v>
          </cell>
          <cell r="I1695" t="str">
            <v>FMSWE1065005</v>
          </cell>
          <cell r="J1695" t="str">
            <v>M</v>
          </cell>
          <cell r="K1695" t="str">
            <v>SWEATER</v>
          </cell>
          <cell r="L1695" t="str">
            <v>NOD</v>
          </cell>
        </row>
        <row r="1696">
          <cell r="C1696" t="str">
            <v>FMSWE1065</v>
          </cell>
          <cell r="D1696" t="str">
            <v>OCOR</v>
          </cell>
          <cell r="E1696" t="str">
            <v>OC25</v>
          </cell>
          <cell r="F1696">
            <v>3686</v>
          </cell>
          <cell r="G1696" t="str">
            <v>FM</v>
          </cell>
          <cell r="H1696" t="str">
            <v>FLMFMMSWE</v>
          </cell>
          <cell r="I1696" t="str">
            <v>FMSWE1065006</v>
          </cell>
          <cell r="J1696" t="str">
            <v>S</v>
          </cell>
          <cell r="K1696" t="str">
            <v>SWEATER</v>
          </cell>
          <cell r="L1696" t="str">
            <v>NOD</v>
          </cell>
        </row>
        <row r="1697">
          <cell r="C1697" t="str">
            <v>FMSWE1065</v>
          </cell>
          <cell r="D1697" t="str">
            <v>OCOR</v>
          </cell>
          <cell r="E1697" t="str">
            <v>OC25</v>
          </cell>
          <cell r="F1697">
            <v>3686</v>
          </cell>
          <cell r="G1697" t="str">
            <v>FM</v>
          </cell>
          <cell r="H1697" t="str">
            <v>FLMFMMSWE</v>
          </cell>
          <cell r="I1697" t="str">
            <v>FMSWE1065007</v>
          </cell>
          <cell r="J1697" t="str">
            <v>XL</v>
          </cell>
          <cell r="K1697" t="str">
            <v>SWEATER</v>
          </cell>
          <cell r="L1697" t="str">
            <v>NOD</v>
          </cell>
        </row>
        <row r="1698">
          <cell r="C1698" t="str">
            <v>FMSWE1065</v>
          </cell>
          <cell r="D1698" t="str">
            <v>OCOR</v>
          </cell>
          <cell r="E1698" t="str">
            <v>OC25</v>
          </cell>
          <cell r="F1698">
            <v>3686</v>
          </cell>
          <cell r="G1698" t="str">
            <v>FM</v>
          </cell>
          <cell r="H1698" t="str">
            <v>FLMFMMSWE</v>
          </cell>
          <cell r="I1698" t="str">
            <v>FMSWE1065008</v>
          </cell>
          <cell r="J1698" t="str">
            <v>XS</v>
          </cell>
          <cell r="K1698" t="str">
            <v>SWEATER</v>
          </cell>
          <cell r="L1698" t="str">
            <v>NOD</v>
          </cell>
        </row>
        <row r="1699">
          <cell r="C1699" t="str">
            <v>FMSWE1065</v>
          </cell>
          <cell r="D1699" t="str">
            <v>OCOR</v>
          </cell>
          <cell r="E1699" t="str">
            <v>OC25</v>
          </cell>
          <cell r="F1699">
            <v>3686</v>
          </cell>
          <cell r="G1699" t="str">
            <v>FM</v>
          </cell>
          <cell r="H1699" t="str">
            <v>FLMFMMSWE</v>
          </cell>
          <cell r="I1699" t="str">
            <v>FMSWE1065009</v>
          </cell>
          <cell r="J1699" t="str">
            <v>XXL</v>
          </cell>
          <cell r="K1699" t="str">
            <v>SWEATER</v>
          </cell>
          <cell r="L1699" t="str">
            <v>NOD</v>
          </cell>
        </row>
        <row r="1700">
          <cell r="C1700" t="str">
            <v>FMSWE1066</v>
          </cell>
          <cell r="D1700" t="str">
            <v>OCOR</v>
          </cell>
          <cell r="E1700" t="str">
            <v>OC25</v>
          </cell>
          <cell r="F1700">
            <v>3686</v>
          </cell>
          <cell r="G1700" t="str">
            <v>FM</v>
          </cell>
          <cell r="H1700" t="str">
            <v>FLMFMMSWE</v>
          </cell>
          <cell r="I1700" t="str">
            <v>FMSWE1066001</v>
          </cell>
          <cell r="J1700" t="str">
            <v>3XL</v>
          </cell>
          <cell r="K1700" t="str">
            <v>SWEATER</v>
          </cell>
          <cell r="L1700" t="str">
            <v>NOD</v>
          </cell>
        </row>
        <row r="1701">
          <cell r="C1701" t="str">
            <v>FMSWE1066</v>
          </cell>
          <cell r="D1701" t="str">
            <v>OCOR</v>
          </cell>
          <cell r="E1701" t="str">
            <v>OC25</v>
          </cell>
          <cell r="F1701">
            <v>3686</v>
          </cell>
          <cell r="G1701" t="str">
            <v>FM</v>
          </cell>
          <cell r="H1701" t="str">
            <v>FLMFMMSWE</v>
          </cell>
          <cell r="I1701" t="str">
            <v>FMSWE1066002</v>
          </cell>
          <cell r="J1701" t="str">
            <v>4XL</v>
          </cell>
          <cell r="K1701" t="str">
            <v>SWEATER</v>
          </cell>
          <cell r="L1701" t="str">
            <v>NOD</v>
          </cell>
        </row>
        <row r="1702">
          <cell r="C1702" t="str">
            <v>FMSWE1066</v>
          </cell>
          <cell r="D1702" t="str">
            <v>OCOR</v>
          </cell>
          <cell r="E1702" t="str">
            <v>OC25</v>
          </cell>
          <cell r="F1702">
            <v>3686</v>
          </cell>
          <cell r="G1702" t="str">
            <v>FM</v>
          </cell>
          <cell r="H1702" t="str">
            <v>FLMFMMSWE</v>
          </cell>
          <cell r="I1702" t="str">
            <v>FMSWE1066003</v>
          </cell>
          <cell r="J1702" t="str">
            <v>5XL</v>
          </cell>
          <cell r="K1702" t="str">
            <v>SWEATER</v>
          </cell>
          <cell r="L1702" t="str">
            <v>NOD</v>
          </cell>
        </row>
        <row r="1703">
          <cell r="C1703" t="str">
            <v>FMSWE1066</v>
          </cell>
          <cell r="D1703" t="str">
            <v>OCOR</v>
          </cell>
          <cell r="E1703" t="str">
            <v>OC25</v>
          </cell>
          <cell r="F1703">
            <v>3686</v>
          </cell>
          <cell r="G1703" t="str">
            <v>FM</v>
          </cell>
          <cell r="H1703" t="str">
            <v>FLMFMMSWE</v>
          </cell>
          <cell r="I1703" t="str">
            <v>FMSWE1066004</v>
          </cell>
          <cell r="J1703" t="str">
            <v>L</v>
          </cell>
          <cell r="K1703" t="str">
            <v>SWEATER</v>
          </cell>
          <cell r="L1703" t="str">
            <v>NOD</v>
          </cell>
        </row>
        <row r="1704">
          <cell r="C1704" t="str">
            <v>FMSWE1066</v>
          </cell>
          <cell r="D1704" t="str">
            <v>OCOR</v>
          </cell>
          <cell r="E1704" t="str">
            <v>OC25</v>
          </cell>
          <cell r="F1704">
            <v>3686</v>
          </cell>
          <cell r="G1704" t="str">
            <v>FM</v>
          </cell>
          <cell r="H1704" t="str">
            <v>FLMFMMSWE</v>
          </cell>
          <cell r="I1704" t="str">
            <v>FMSWE1066005</v>
          </cell>
          <cell r="J1704" t="str">
            <v>M</v>
          </cell>
          <cell r="K1704" t="str">
            <v>SWEATER</v>
          </cell>
          <cell r="L1704" t="str">
            <v>NOD</v>
          </cell>
        </row>
        <row r="1705">
          <cell r="C1705" t="str">
            <v>FMSWE1066</v>
          </cell>
          <cell r="D1705" t="str">
            <v>OCOR</v>
          </cell>
          <cell r="E1705" t="str">
            <v>OC25</v>
          </cell>
          <cell r="F1705">
            <v>3686</v>
          </cell>
          <cell r="G1705" t="str">
            <v>FM</v>
          </cell>
          <cell r="H1705" t="str">
            <v>FLMFMMSWE</v>
          </cell>
          <cell r="I1705" t="str">
            <v>FMSWE1066006</v>
          </cell>
          <cell r="J1705" t="str">
            <v>S</v>
          </cell>
          <cell r="K1705" t="str">
            <v>SWEATER</v>
          </cell>
          <cell r="L1705" t="str">
            <v>NOD</v>
          </cell>
        </row>
        <row r="1706">
          <cell r="C1706" t="str">
            <v>FMSWE1066</v>
          </cell>
          <cell r="D1706" t="str">
            <v>OCOR</v>
          </cell>
          <cell r="E1706" t="str">
            <v>OC25</v>
          </cell>
          <cell r="F1706">
            <v>3686</v>
          </cell>
          <cell r="G1706" t="str">
            <v>FM</v>
          </cell>
          <cell r="H1706" t="str">
            <v>FLMFMMSWE</v>
          </cell>
          <cell r="I1706" t="str">
            <v>FMSWE1066007</v>
          </cell>
          <cell r="J1706" t="str">
            <v>XL</v>
          </cell>
          <cell r="K1706" t="str">
            <v>SWEATER</v>
          </cell>
          <cell r="L1706" t="str">
            <v>NOD</v>
          </cell>
        </row>
        <row r="1707">
          <cell r="C1707" t="str">
            <v>FMSWE1066</v>
          </cell>
          <cell r="D1707" t="str">
            <v>OCOR</v>
          </cell>
          <cell r="E1707" t="str">
            <v>OC25</v>
          </cell>
          <cell r="F1707">
            <v>3686</v>
          </cell>
          <cell r="G1707" t="str">
            <v>FM</v>
          </cell>
          <cell r="H1707" t="str">
            <v>FLMFMMSWE</v>
          </cell>
          <cell r="I1707" t="str">
            <v>FMSWE1066008</v>
          </cell>
          <cell r="J1707" t="str">
            <v>XS</v>
          </cell>
          <cell r="K1707" t="str">
            <v>SWEATER</v>
          </cell>
          <cell r="L1707" t="str">
            <v>NOD</v>
          </cell>
        </row>
        <row r="1708">
          <cell r="C1708" t="str">
            <v>FMSWE1066</v>
          </cell>
          <cell r="D1708" t="str">
            <v>OCOR</v>
          </cell>
          <cell r="E1708" t="str">
            <v>OC25</v>
          </cell>
          <cell r="F1708">
            <v>3686</v>
          </cell>
          <cell r="G1708" t="str">
            <v>FM</v>
          </cell>
          <cell r="H1708" t="str">
            <v>FLMFMMSWE</v>
          </cell>
          <cell r="I1708" t="str">
            <v>FMSWE1066009</v>
          </cell>
          <cell r="J1708" t="str">
            <v>XXL</v>
          </cell>
          <cell r="K1708" t="str">
            <v>SWEATER</v>
          </cell>
          <cell r="L1708" t="str">
            <v>NOD</v>
          </cell>
        </row>
        <row r="1709">
          <cell r="C1709" t="str">
            <v>FMTRO0681</v>
          </cell>
          <cell r="D1709" t="str">
            <v>OCOR</v>
          </cell>
          <cell r="E1709" t="str">
            <v>OC25</v>
          </cell>
          <cell r="F1709">
            <v>2799</v>
          </cell>
          <cell r="G1709" t="str">
            <v>FM</v>
          </cell>
          <cell r="H1709" t="str">
            <v>FLMFMMTRO</v>
          </cell>
          <cell r="I1709" t="str">
            <v>FMTRO0681001</v>
          </cell>
          <cell r="J1709" t="str">
            <v>28</v>
          </cell>
          <cell r="K1709" t="str">
            <v>TROUSER</v>
          </cell>
          <cell r="L1709" t="str">
            <v>NOD</v>
          </cell>
        </row>
        <row r="1710">
          <cell r="C1710" t="str">
            <v>FMTRO0681</v>
          </cell>
          <cell r="D1710" t="str">
            <v>OCOR</v>
          </cell>
          <cell r="E1710" t="str">
            <v>OC25</v>
          </cell>
          <cell r="F1710">
            <v>2799</v>
          </cell>
          <cell r="G1710" t="str">
            <v>FM</v>
          </cell>
          <cell r="H1710" t="str">
            <v>FLMFMMTRO</v>
          </cell>
          <cell r="I1710" t="str">
            <v>FMTRO0681002</v>
          </cell>
          <cell r="J1710" t="str">
            <v>30</v>
          </cell>
          <cell r="K1710" t="str">
            <v>TROUSER</v>
          </cell>
          <cell r="L1710" t="str">
            <v>NOD</v>
          </cell>
        </row>
        <row r="1711">
          <cell r="C1711" t="str">
            <v>FMTRO0681</v>
          </cell>
          <cell r="D1711" t="str">
            <v>OCOR</v>
          </cell>
          <cell r="E1711" t="str">
            <v>OC25</v>
          </cell>
          <cell r="F1711">
            <v>2799</v>
          </cell>
          <cell r="G1711" t="str">
            <v>FM</v>
          </cell>
          <cell r="H1711" t="str">
            <v>FLMFMMTRO</v>
          </cell>
          <cell r="I1711" t="str">
            <v>FMTRO0681003</v>
          </cell>
          <cell r="J1711" t="str">
            <v>32</v>
          </cell>
          <cell r="K1711" t="str">
            <v>TROUSER</v>
          </cell>
          <cell r="L1711" t="str">
            <v>NOD</v>
          </cell>
        </row>
        <row r="1712">
          <cell r="C1712" t="str">
            <v>FMTRO0681</v>
          </cell>
          <cell r="D1712" t="str">
            <v>OCOR</v>
          </cell>
          <cell r="E1712" t="str">
            <v>OC25</v>
          </cell>
          <cell r="F1712">
            <v>2799</v>
          </cell>
          <cell r="G1712" t="str">
            <v>FM</v>
          </cell>
          <cell r="H1712" t="str">
            <v>FLMFMMTRO</v>
          </cell>
          <cell r="I1712" t="str">
            <v>FMTRO0681004</v>
          </cell>
          <cell r="J1712" t="str">
            <v>34</v>
          </cell>
          <cell r="K1712" t="str">
            <v>TROUSER</v>
          </cell>
          <cell r="L1712" t="str">
            <v>NOD</v>
          </cell>
        </row>
        <row r="1713">
          <cell r="C1713" t="str">
            <v>FMTRO0681</v>
          </cell>
          <cell r="D1713" t="str">
            <v>OCOR</v>
          </cell>
          <cell r="E1713" t="str">
            <v>OC25</v>
          </cell>
          <cell r="F1713">
            <v>2799</v>
          </cell>
          <cell r="G1713" t="str">
            <v>FM</v>
          </cell>
          <cell r="H1713" t="str">
            <v>FLMFMMTRO</v>
          </cell>
          <cell r="I1713" t="str">
            <v>FMTRO0681005</v>
          </cell>
          <cell r="J1713" t="str">
            <v>36</v>
          </cell>
          <cell r="K1713" t="str">
            <v>TROUSER</v>
          </cell>
          <cell r="L1713" t="str">
            <v>NOD</v>
          </cell>
        </row>
        <row r="1714">
          <cell r="C1714" t="str">
            <v>FMTRO0681</v>
          </cell>
          <cell r="D1714" t="str">
            <v>OCOR</v>
          </cell>
          <cell r="E1714" t="str">
            <v>OC25</v>
          </cell>
          <cell r="F1714">
            <v>2799</v>
          </cell>
          <cell r="G1714" t="str">
            <v>FM</v>
          </cell>
          <cell r="H1714" t="str">
            <v>FLMFMMTRO</v>
          </cell>
          <cell r="I1714" t="str">
            <v>FMTRO0681006</v>
          </cell>
          <cell r="J1714" t="str">
            <v>38</v>
          </cell>
          <cell r="K1714" t="str">
            <v>TROUSER</v>
          </cell>
          <cell r="L1714" t="str">
            <v>NOD</v>
          </cell>
        </row>
        <row r="1715">
          <cell r="C1715" t="str">
            <v>FMTRO0681</v>
          </cell>
          <cell r="D1715" t="str">
            <v>OCOR</v>
          </cell>
          <cell r="E1715" t="str">
            <v>OC25</v>
          </cell>
          <cell r="F1715">
            <v>2799</v>
          </cell>
          <cell r="G1715" t="str">
            <v>FM</v>
          </cell>
          <cell r="H1715" t="str">
            <v>FLMFMMTRO</v>
          </cell>
          <cell r="I1715" t="str">
            <v>FMTRO0681007</v>
          </cell>
          <cell r="J1715" t="str">
            <v>40</v>
          </cell>
          <cell r="K1715" t="str">
            <v>TROUSER</v>
          </cell>
          <cell r="L1715" t="str">
            <v>NOD</v>
          </cell>
        </row>
        <row r="1716">
          <cell r="C1716" t="str">
            <v>FMTRO0681</v>
          </cell>
          <cell r="D1716" t="str">
            <v>OCOR</v>
          </cell>
          <cell r="E1716" t="str">
            <v>OC25</v>
          </cell>
          <cell r="F1716">
            <v>2799</v>
          </cell>
          <cell r="G1716" t="str">
            <v>FM</v>
          </cell>
          <cell r="H1716" t="str">
            <v>FLMFMMTRO</v>
          </cell>
          <cell r="I1716" t="str">
            <v>FMTRO0681008</v>
          </cell>
          <cell r="J1716" t="str">
            <v>42</v>
          </cell>
          <cell r="K1716" t="str">
            <v>TROUSER</v>
          </cell>
          <cell r="L1716" t="str">
            <v>NOD</v>
          </cell>
        </row>
        <row r="1717">
          <cell r="C1717" t="str">
            <v>FMTRO0681</v>
          </cell>
          <cell r="D1717" t="str">
            <v>OCOR</v>
          </cell>
          <cell r="E1717" t="str">
            <v>OC25</v>
          </cell>
          <cell r="F1717">
            <v>2799</v>
          </cell>
          <cell r="G1717" t="str">
            <v>FM</v>
          </cell>
          <cell r="H1717" t="str">
            <v>FLMFMMTRO</v>
          </cell>
          <cell r="I1717" t="str">
            <v>FMTRO0681009</v>
          </cell>
          <cell r="J1717" t="str">
            <v>44</v>
          </cell>
          <cell r="K1717" t="str">
            <v>TROUSER</v>
          </cell>
          <cell r="L1717" t="str">
            <v>NOD</v>
          </cell>
        </row>
        <row r="1718">
          <cell r="C1718" t="str">
            <v>FMTSHCR0001</v>
          </cell>
          <cell r="D1718" t="str">
            <v>CORE</v>
          </cell>
          <cell r="E1718" t="str">
            <v>CO25</v>
          </cell>
          <cell r="F1718">
            <v>1299</v>
          </cell>
          <cell r="G1718" t="str">
            <v>FM</v>
          </cell>
          <cell r="H1718" t="str">
            <v>FLMFMMPTS</v>
          </cell>
          <cell r="I1718" t="str">
            <v>FMTSHCR0001001</v>
          </cell>
          <cell r="J1718" t="str">
            <v>3XL</v>
          </cell>
          <cell r="K1718" t="str">
            <v>POLO T-SHIRT</v>
          </cell>
          <cell r="L1718" t="str">
            <v>NOD</v>
          </cell>
        </row>
        <row r="1719">
          <cell r="C1719" t="str">
            <v>FMTSHCR0001</v>
          </cell>
          <cell r="D1719" t="str">
            <v>CORE</v>
          </cell>
          <cell r="E1719" t="str">
            <v>CO25</v>
          </cell>
          <cell r="F1719">
            <v>1299</v>
          </cell>
          <cell r="G1719" t="str">
            <v>FM</v>
          </cell>
          <cell r="H1719" t="str">
            <v>FLMFMMPTS</v>
          </cell>
          <cell r="I1719" t="str">
            <v>FMTSHCR0001002</v>
          </cell>
          <cell r="J1719" t="str">
            <v>4XL</v>
          </cell>
          <cell r="K1719" t="str">
            <v>POLO T-SHIRT</v>
          </cell>
          <cell r="L1719" t="str">
            <v>NOD</v>
          </cell>
        </row>
        <row r="1720">
          <cell r="C1720" t="str">
            <v>FMTSHCR0001</v>
          </cell>
          <cell r="D1720" t="str">
            <v>CORE</v>
          </cell>
          <cell r="E1720" t="str">
            <v>CO25</v>
          </cell>
          <cell r="F1720">
            <v>1299</v>
          </cell>
          <cell r="G1720" t="str">
            <v>FM</v>
          </cell>
          <cell r="H1720" t="str">
            <v>FLMFMMPTS</v>
          </cell>
          <cell r="I1720" t="str">
            <v>FMTSHCR0001003</v>
          </cell>
          <cell r="J1720" t="str">
            <v>L</v>
          </cell>
          <cell r="K1720" t="str">
            <v>POLO T-SHIRT</v>
          </cell>
          <cell r="L1720" t="str">
            <v>NOD</v>
          </cell>
        </row>
        <row r="1721">
          <cell r="C1721" t="str">
            <v>FMTSHCR0001</v>
          </cell>
          <cell r="D1721" t="str">
            <v>CORE</v>
          </cell>
          <cell r="E1721" t="str">
            <v>CO25</v>
          </cell>
          <cell r="F1721">
            <v>1299</v>
          </cell>
          <cell r="G1721" t="str">
            <v>FM</v>
          </cell>
          <cell r="H1721" t="str">
            <v>FLMFMMPTS</v>
          </cell>
          <cell r="I1721" t="str">
            <v>FMTSHCR0001004</v>
          </cell>
          <cell r="J1721" t="str">
            <v>M</v>
          </cell>
          <cell r="K1721" t="str">
            <v>POLO T-SHIRT</v>
          </cell>
          <cell r="L1721" t="str">
            <v>NOD</v>
          </cell>
        </row>
        <row r="1722">
          <cell r="C1722" t="str">
            <v>FMTSHCR0001</v>
          </cell>
          <cell r="D1722" t="str">
            <v>CORE</v>
          </cell>
          <cell r="E1722" t="str">
            <v>CO25</v>
          </cell>
          <cell r="F1722">
            <v>1299</v>
          </cell>
          <cell r="G1722" t="str">
            <v>FM</v>
          </cell>
          <cell r="H1722" t="str">
            <v>FLMFMMPTS</v>
          </cell>
          <cell r="I1722" t="str">
            <v>FMTSHCR0001005</v>
          </cell>
          <cell r="J1722" t="str">
            <v>S</v>
          </cell>
          <cell r="K1722" t="str">
            <v>POLO T-SHIRT</v>
          </cell>
          <cell r="L1722" t="str">
            <v>NOD</v>
          </cell>
        </row>
        <row r="1723">
          <cell r="C1723" t="str">
            <v>FMTSHCR0001</v>
          </cell>
          <cell r="D1723" t="str">
            <v>CORE</v>
          </cell>
          <cell r="E1723" t="str">
            <v>CO25</v>
          </cell>
          <cell r="F1723">
            <v>1299</v>
          </cell>
          <cell r="G1723" t="str">
            <v>FM</v>
          </cell>
          <cell r="H1723" t="str">
            <v>FLMFMMPTS</v>
          </cell>
          <cell r="I1723" t="str">
            <v>FMTSHCR0001006</v>
          </cell>
          <cell r="J1723" t="str">
            <v>XL</v>
          </cell>
          <cell r="K1723" t="str">
            <v>POLO T-SHIRT</v>
          </cell>
          <cell r="L1723" t="str">
            <v>NOD</v>
          </cell>
        </row>
        <row r="1724">
          <cell r="C1724" t="str">
            <v>FMTSHCR0001</v>
          </cell>
          <cell r="D1724" t="str">
            <v>CORE</v>
          </cell>
          <cell r="E1724" t="str">
            <v>CO25</v>
          </cell>
          <cell r="F1724">
            <v>1299</v>
          </cell>
          <cell r="G1724" t="str">
            <v>FM</v>
          </cell>
          <cell r="H1724" t="str">
            <v>FLMFMMPTS</v>
          </cell>
          <cell r="I1724" t="str">
            <v>FMTSHCR0001007</v>
          </cell>
          <cell r="J1724" t="str">
            <v>XS</v>
          </cell>
          <cell r="K1724" t="str">
            <v>POLO T-SHIRT</v>
          </cell>
          <cell r="L1724" t="str">
            <v>NOD</v>
          </cell>
        </row>
        <row r="1725">
          <cell r="C1725" t="str">
            <v>FMTSHCR0001</v>
          </cell>
          <cell r="D1725" t="str">
            <v>CORE</v>
          </cell>
          <cell r="E1725" t="str">
            <v>CO25</v>
          </cell>
          <cell r="F1725">
            <v>1299</v>
          </cell>
          <cell r="G1725" t="str">
            <v>FM</v>
          </cell>
          <cell r="H1725" t="str">
            <v>FLMFMMPTS</v>
          </cell>
          <cell r="I1725" t="str">
            <v>FMTSHCR0001008</v>
          </cell>
          <cell r="J1725" t="str">
            <v>XXL</v>
          </cell>
          <cell r="K1725" t="str">
            <v>POLO T-SHIRT</v>
          </cell>
          <cell r="L1725" t="str">
            <v>NOD</v>
          </cell>
        </row>
        <row r="1726">
          <cell r="C1726" t="str">
            <v>FMTSHCR0003</v>
          </cell>
          <cell r="D1726" t="str">
            <v>CORE</v>
          </cell>
          <cell r="E1726" t="str">
            <v>CO25</v>
          </cell>
          <cell r="F1726">
            <v>1299</v>
          </cell>
          <cell r="G1726" t="str">
            <v>FM</v>
          </cell>
          <cell r="H1726" t="str">
            <v>FLMFMMPTS</v>
          </cell>
          <cell r="I1726" t="str">
            <v>FMTSHCR0003001</v>
          </cell>
          <cell r="J1726" t="str">
            <v>3XL</v>
          </cell>
          <cell r="K1726" t="str">
            <v>POLO T-SHIRT</v>
          </cell>
          <cell r="L1726" t="str">
            <v>NOD</v>
          </cell>
        </row>
        <row r="1727">
          <cell r="C1727" t="str">
            <v>FMTSHCR0003</v>
          </cell>
          <cell r="D1727" t="str">
            <v>CORE</v>
          </cell>
          <cell r="E1727" t="str">
            <v>CO25</v>
          </cell>
          <cell r="F1727">
            <v>1299</v>
          </cell>
          <cell r="G1727" t="str">
            <v>FM</v>
          </cell>
          <cell r="H1727" t="str">
            <v>FLMFMMPTS</v>
          </cell>
          <cell r="I1727" t="str">
            <v>FMTSHCR0003002</v>
          </cell>
          <cell r="J1727" t="str">
            <v>4XL</v>
          </cell>
          <cell r="K1727" t="str">
            <v>POLO T-SHIRT</v>
          </cell>
          <cell r="L1727" t="str">
            <v>NOD</v>
          </cell>
        </row>
        <row r="1728">
          <cell r="C1728" t="str">
            <v>FMTSHCR0003</v>
          </cell>
          <cell r="D1728" t="str">
            <v>CORE</v>
          </cell>
          <cell r="E1728" t="str">
            <v>CO25</v>
          </cell>
          <cell r="F1728">
            <v>1299</v>
          </cell>
          <cell r="G1728" t="str">
            <v>FM</v>
          </cell>
          <cell r="H1728" t="str">
            <v>FLMFMMPTS</v>
          </cell>
          <cell r="I1728" t="str">
            <v>FMTSHCR0003003</v>
          </cell>
          <cell r="J1728" t="str">
            <v>L</v>
          </cell>
          <cell r="K1728" t="str">
            <v>POLO T-SHIRT</v>
          </cell>
          <cell r="L1728" t="str">
            <v>NOD</v>
          </cell>
        </row>
        <row r="1729">
          <cell r="C1729" t="str">
            <v>FMTSHCR0003</v>
          </cell>
          <cell r="D1729" t="str">
            <v>CORE</v>
          </cell>
          <cell r="E1729" t="str">
            <v>CO25</v>
          </cell>
          <cell r="F1729">
            <v>1299</v>
          </cell>
          <cell r="G1729" t="str">
            <v>FM</v>
          </cell>
          <cell r="H1729" t="str">
            <v>FLMFMMPTS</v>
          </cell>
          <cell r="I1729" t="str">
            <v>FMTSHCR0003004</v>
          </cell>
          <cell r="J1729" t="str">
            <v>M</v>
          </cell>
          <cell r="K1729" t="str">
            <v>POLO T-SHIRT</v>
          </cell>
          <cell r="L1729" t="str">
            <v>NOD</v>
          </cell>
        </row>
        <row r="1730">
          <cell r="C1730" t="str">
            <v>FMTSHCR0003</v>
          </cell>
          <cell r="D1730" t="str">
            <v>CORE</v>
          </cell>
          <cell r="E1730" t="str">
            <v>CO25</v>
          </cell>
          <cell r="F1730">
            <v>1299</v>
          </cell>
          <cell r="G1730" t="str">
            <v>FM</v>
          </cell>
          <cell r="H1730" t="str">
            <v>FLMFMMPTS</v>
          </cell>
          <cell r="I1730" t="str">
            <v>FMTSHCR0003005</v>
          </cell>
          <cell r="J1730" t="str">
            <v>S</v>
          </cell>
          <cell r="K1730" t="str">
            <v>POLO T-SHIRT</v>
          </cell>
          <cell r="L1730" t="str">
            <v>NOD</v>
          </cell>
        </row>
        <row r="1731">
          <cell r="C1731" t="str">
            <v>FMTSHCR0003</v>
          </cell>
          <cell r="D1731" t="str">
            <v>CORE</v>
          </cell>
          <cell r="E1731" t="str">
            <v>CO25</v>
          </cell>
          <cell r="F1731">
            <v>1299</v>
          </cell>
          <cell r="G1731" t="str">
            <v>FM</v>
          </cell>
          <cell r="H1731" t="str">
            <v>FLMFMMPTS</v>
          </cell>
          <cell r="I1731" t="str">
            <v>FMTSHCR0003006</v>
          </cell>
          <cell r="J1731" t="str">
            <v>XL</v>
          </cell>
          <cell r="K1731" t="str">
            <v>POLO T-SHIRT</v>
          </cell>
          <cell r="L1731" t="str">
            <v>NOD</v>
          </cell>
        </row>
        <row r="1732">
          <cell r="C1732" t="str">
            <v>FMTSHCR0003</v>
          </cell>
          <cell r="D1732" t="str">
            <v>CORE</v>
          </cell>
          <cell r="E1732" t="str">
            <v>CO25</v>
          </cell>
          <cell r="F1732">
            <v>1299</v>
          </cell>
          <cell r="G1732" t="str">
            <v>FM</v>
          </cell>
          <cell r="H1732" t="str">
            <v>FLMFMMPTS</v>
          </cell>
          <cell r="I1732" t="str">
            <v>FMTSHCR0003007</v>
          </cell>
          <cell r="J1732" t="str">
            <v>XS</v>
          </cell>
          <cell r="K1732" t="str">
            <v>POLO T-SHIRT</v>
          </cell>
          <cell r="L1732" t="str">
            <v>NOD</v>
          </cell>
        </row>
        <row r="1733">
          <cell r="C1733" t="str">
            <v>FMTSHCR0003</v>
          </cell>
          <cell r="D1733" t="str">
            <v>CORE</v>
          </cell>
          <cell r="E1733" t="str">
            <v>CO25</v>
          </cell>
          <cell r="F1733">
            <v>1299</v>
          </cell>
          <cell r="G1733" t="str">
            <v>FM</v>
          </cell>
          <cell r="H1733" t="str">
            <v>FLMFMMPTS</v>
          </cell>
          <cell r="I1733" t="str">
            <v>FMTSHCR0003008</v>
          </cell>
          <cell r="J1733" t="str">
            <v>XXL</v>
          </cell>
          <cell r="K1733" t="str">
            <v>POLO T-SHIRT</v>
          </cell>
          <cell r="L1733" t="str">
            <v>NOD</v>
          </cell>
        </row>
        <row r="1734">
          <cell r="C1734" t="str">
            <v>FMTSHCR0004</v>
          </cell>
          <cell r="D1734" t="str">
            <v>CORE</v>
          </cell>
          <cell r="E1734" t="str">
            <v>CO25</v>
          </cell>
          <cell r="F1734">
            <v>1299</v>
          </cell>
          <cell r="G1734" t="str">
            <v>FM</v>
          </cell>
          <cell r="H1734" t="str">
            <v>FLMFMMPTS</v>
          </cell>
          <cell r="I1734" t="str">
            <v>FMTSHCR0004001</v>
          </cell>
          <cell r="J1734" t="str">
            <v>3XL</v>
          </cell>
          <cell r="K1734" t="str">
            <v>POLO T-SHIRT</v>
          </cell>
          <cell r="L1734" t="str">
            <v>NOD</v>
          </cell>
        </row>
        <row r="1735">
          <cell r="C1735" t="str">
            <v>FMTSHCR0004</v>
          </cell>
          <cell r="D1735" t="str">
            <v>CORE</v>
          </cell>
          <cell r="E1735" t="str">
            <v>CO25</v>
          </cell>
          <cell r="F1735">
            <v>1299</v>
          </cell>
          <cell r="G1735" t="str">
            <v>FM</v>
          </cell>
          <cell r="H1735" t="str">
            <v>FLMFMMPTS</v>
          </cell>
          <cell r="I1735" t="str">
            <v>FMTSHCR0004002</v>
          </cell>
          <cell r="J1735" t="str">
            <v>4XL</v>
          </cell>
          <cell r="K1735" t="str">
            <v>POLO T-SHIRT</v>
          </cell>
          <cell r="L1735" t="str">
            <v>NOD</v>
          </cell>
        </row>
        <row r="1736">
          <cell r="C1736" t="str">
            <v>FMTSHCR0004</v>
          </cell>
          <cell r="D1736" t="str">
            <v>CORE</v>
          </cell>
          <cell r="E1736" t="str">
            <v>CO25</v>
          </cell>
          <cell r="F1736">
            <v>1299</v>
          </cell>
          <cell r="G1736" t="str">
            <v>FM</v>
          </cell>
          <cell r="H1736" t="str">
            <v>FLMFMMPTS</v>
          </cell>
          <cell r="I1736" t="str">
            <v>FMTSHCR0004003</v>
          </cell>
          <cell r="J1736" t="str">
            <v>L</v>
          </cell>
          <cell r="K1736" t="str">
            <v>POLO T-SHIRT</v>
          </cell>
          <cell r="L1736" t="str">
            <v>NOD</v>
          </cell>
        </row>
        <row r="1737">
          <cell r="C1737" t="str">
            <v>FMTSHCR0004</v>
          </cell>
          <cell r="D1737" t="str">
            <v>CORE</v>
          </cell>
          <cell r="E1737" t="str">
            <v>CO25</v>
          </cell>
          <cell r="F1737">
            <v>1299</v>
          </cell>
          <cell r="G1737" t="str">
            <v>FM</v>
          </cell>
          <cell r="H1737" t="str">
            <v>FLMFMMPTS</v>
          </cell>
          <cell r="I1737" t="str">
            <v>FMTSHCR0004004</v>
          </cell>
          <cell r="J1737" t="str">
            <v>M</v>
          </cell>
          <cell r="K1737" t="str">
            <v>POLO T-SHIRT</v>
          </cell>
          <cell r="L1737" t="str">
            <v>NOD</v>
          </cell>
        </row>
        <row r="1738">
          <cell r="C1738" t="str">
            <v>FMTSHCR0004</v>
          </cell>
          <cell r="D1738" t="str">
            <v>CORE</v>
          </cell>
          <cell r="E1738" t="str">
            <v>CO25</v>
          </cell>
          <cell r="F1738">
            <v>1299</v>
          </cell>
          <cell r="G1738" t="str">
            <v>FM</v>
          </cell>
          <cell r="H1738" t="str">
            <v>FLMFMMPTS</v>
          </cell>
          <cell r="I1738" t="str">
            <v>FMTSHCR0004005</v>
          </cell>
          <cell r="J1738" t="str">
            <v>S</v>
          </cell>
          <cell r="K1738" t="str">
            <v>POLO T-SHIRT</v>
          </cell>
          <cell r="L1738" t="str">
            <v>NOD</v>
          </cell>
        </row>
        <row r="1739">
          <cell r="C1739" t="str">
            <v>FMTSHCR0004</v>
          </cell>
          <cell r="D1739" t="str">
            <v>CORE</v>
          </cell>
          <cell r="E1739" t="str">
            <v>CO25</v>
          </cell>
          <cell r="F1739">
            <v>1299</v>
          </cell>
          <cell r="G1739" t="str">
            <v>FM</v>
          </cell>
          <cell r="H1739" t="str">
            <v>FLMFMMPTS</v>
          </cell>
          <cell r="I1739" t="str">
            <v>FMTSHCR0004006</v>
          </cell>
          <cell r="J1739" t="str">
            <v>XL</v>
          </cell>
          <cell r="K1739" t="str">
            <v>POLO T-SHIRT</v>
          </cell>
          <cell r="L1739" t="str">
            <v>NOD</v>
          </cell>
        </row>
        <row r="1740">
          <cell r="C1740" t="str">
            <v>FMTSHCR0004</v>
          </cell>
          <cell r="D1740" t="str">
            <v>CORE</v>
          </cell>
          <cell r="E1740" t="str">
            <v>CO25</v>
          </cell>
          <cell r="F1740">
            <v>1299</v>
          </cell>
          <cell r="G1740" t="str">
            <v>FM</v>
          </cell>
          <cell r="H1740" t="str">
            <v>FLMFMMPTS</v>
          </cell>
          <cell r="I1740" t="str">
            <v>FMTSHCR0004007</v>
          </cell>
          <cell r="J1740" t="str">
            <v>XS</v>
          </cell>
          <cell r="K1740" t="str">
            <v>POLO T-SHIRT</v>
          </cell>
          <cell r="L1740" t="str">
            <v>NOD</v>
          </cell>
        </row>
        <row r="1741">
          <cell r="C1741" t="str">
            <v>FMTSHCR0004</v>
          </cell>
          <cell r="D1741" t="str">
            <v>CORE</v>
          </cell>
          <cell r="E1741" t="str">
            <v>CO25</v>
          </cell>
          <cell r="F1741">
            <v>1299</v>
          </cell>
          <cell r="G1741" t="str">
            <v>FM</v>
          </cell>
          <cell r="H1741" t="str">
            <v>FLMFMMPTS</v>
          </cell>
          <cell r="I1741" t="str">
            <v>FMTSHCR0004008</v>
          </cell>
          <cell r="J1741" t="str">
            <v>XXL</v>
          </cell>
          <cell r="K1741" t="str">
            <v>POLO T-SHIRT</v>
          </cell>
          <cell r="L1741" t="str">
            <v>NOD</v>
          </cell>
        </row>
        <row r="1742">
          <cell r="C1742" t="str">
            <v>FMTSHCR0005</v>
          </cell>
          <cell r="D1742" t="str">
            <v>CORE</v>
          </cell>
          <cell r="E1742" t="str">
            <v>CO25</v>
          </cell>
          <cell r="F1742">
            <v>1299</v>
          </cell>
          <cell r="G1742" t="str">
            <v>FM</v>
          </cell>
          <cell r="H1742" t="str">
            <v>FLMFMMPTS</v>
          </cell>
          <cell r="I1742" t="str">
            <v>FMTSHCR0005001</v>
          </cell>
          <cell r="J1742" t="str">
            <v>3XL</v>
          </cell>
          <cell r="K1742" t="str">
            <v>POLO T-SHIRT</v>
          </cell>
          <cell r="L1742" t="str">
            <v>NOD</v>
          </cell>
        </row>
        <row r="1743">
          <cell r="C1743" t="str">
            <v>FMTSHCR0005</v>
          </cell>
          <cell r="D1743" t="str">
            <v>CORE</v>
          </cell>
          <cell r="E1743" t="str">
            <v>CO25</v>
          </cell>
          <cell r="F1743">
            <v>1299</v>
          </cell>
          <cell r="G1743" t="str">
            <v>FM</v>
          </cell>
          <cell r="H1743" t="str">
            <v>FLMFMMPTS</v>
          </cell>
          <cell r="I1743" t="str">
            <v>FMTSHCR0005002</v>
          </cell>
          <cell r="J1743" t="str">
            <v>4XL</v>
          </cell>
          <cell r="K1743" t="str">
            <v>POLO T-SHIRT</v>
          </cell>
          <cell r="L1743" t="str">
            <v>NOD</v>
          </cell>
        </row>
        <row r="1744">
          <cell r="C1744" t="str">
            <v>FMTSHCR0005</v>
          </cell>
          <cell r="D1744" t="str">
            <v>CORE</v>
          </cell>
          <cell r="E1744" t="str">
            <v>CO25</v>
          </cell>
          <cell r="F1744">
            <v>1299</v>
          </cell>
          <cell r="G1744" t="str">
            <v>FM</v>
          </cell>
          <cell r="H1744" t="str">
            <v>FLMFMMPTS</v>
          </cell>
          <cell r="I1744" t="str">
            <v>FMTSHCR0005003</v>
          </cell>
          <cell r="J1744" t="str">
            <v>L</v>
          </cell>
          <cell r="K1744" t="str">
            <v>POLO T-SHIRT</v>
          </cell>
          <cell r="L1744" t="str">
            <v>NOD</v>
          </cell>
        </row>
        <row r="1745">
          <cell r="C1745" t="str">
            <v>FMTSHCR0005</v>
          </cell>
          <cell r="D1745" t="str">
            <v>CORE</v>
          </cell>
          <cell r="E1745" t="str">
            <v>CO25</v>
          </cell>
          <cell r="F1745">
            <v>1299</v>
          </cell>
          <cell r="G1745" t="str">
            <v>FM</v>
          </cell>
          <cell r="H1745" t="str">
            <v>FLMFMMPTS</v>
          </cell>
          <cell r="I1745" t="str">
            <v>FMTSHCR0005004</v>
          </cell>
          <cell r="J1745" t="str">
            <v>M</v>
          </cell>
          <cell r="K1745" t="str">
            <v>POLO T-SHIRT</v>
          </cell>
          <cell r="L1745" t="str">
            <v>NOD</v>
          </cell>
        </row>
        <row r="1746">
          <cell r="C1746" t="str">
            <v>FMTSHCR0005</v>
          </cell>
          <cell r="D1746" t="str">
            <v>CORE</v>
          </cell>
          <cell r="E1746" t="str">
            <v>CO25</v>
          </cell>
          <cell r="F1746">
            <v>1299</v>
          </cell>
          <cell r="G1746" t="str">
            <v>FM</v>
          </cell>
          <cell r="H1746" t="str">
            <v>FLMFMMPTS</v>
          </cell>
          <cell r="I1746" t="str">
            <v>FMTSHCR0005005</v>
          </cell>
          <cell r="J1746" t="str">
            <v>S</v>
          </cell>
          <cell r="K1746" t="str">
            <v>POLO T-SHIRT</v>
          </cell>
          <cell r="L1746" t="str">
            <v>NOD</v>
          </cell>
        </row>
        <row r="1747">
          <cell r="C1747" t="str">
            <v>FMTSHCR0005</v>
          </cell>
          <cell r="D1747" t="str">
            <v>CORE</v>
          </cell>
          <cell r="E1747" t="str">
            <v>CO25</v>
          </cell>
          <cell r="F1747">
            <v>1299</v>
          </cell>
          <cell r="G1747" t="str">
            <v>FM</v>
          </cell>
          <cell r="H1747" t="str">
            <v>FLMFMMPTS</v>
          </cell>
          <cell r="I1747" t="str">
            <v>FMTSHCR0005006</v>
          </cell>
          <cell r="J1747" t="str">
            <v>XL</v>
          </cell>
          <cell r="K1747" t="str">
            <v>POLO T-SHIRT</v>
          </cell>
          <cell r="L1747" t="str">
            <v>NOD</v>
          </cell>
        </row>
        <row r="1748">
          <cell r="C1748" t="str">
            <v>FMTSHCR0005</v>
          </cell>
          <cell r="D1748" t="str">
            <v>CORE</v>
          </cell>
          <cell r="E1748" t="str">
            <v>CO25</v>
          </cell>
          <cell r="F1748">
            <v>1299</v>
          </cell>
          <cell r="G1748" t="str">
            <v>FM</v>
          </cell>
          <cell r="H1748" t="str">
            <v>FLMFMMPTS</v>
          </cell>
          <cell r="I1748" t="str">
            <v>FMTSHCR0005007</v>
          </cell>
          <cell r="J1748" t="str">
            <v>XS</v>
          </cell>
          <cell r="K1748" t="str">
            <v>POLO T-SHIRT</v>
          </cell>
          <cell r="L1748" t="str">
            <v>NOD</v>
          </cell>
        </row>
        <row r="1749">
          <cell r="C1749" t="str">
            <v>FMTSHCR0005</v>
          </cell>
          <cell r="D1749" t="str">
            <v>CORE</v>
          </cell>
          <cell r="E1749" t="str">
            <v>CO25</v>
          </cell>
          <cell r="F1749">
            <v>1299</v>
          </cell>
          <cell r="G1749" t="str">
            <v>FM</v>
          </cell>
          <cell r="H1749" t="str">
            <v>FLMFMMPTS</v>
          </cell>
          <cell r="I1749" t="str">
            <v>FMTSHCR0005008</v>
          </cell>
          <cell r="J1749" t="str">
            <v>XXL</v>
          </cell>
          <cell r="K1749" t="str">
            <v>POLO T-SHIRT</v>
          </cell>
          <cell r="L1749" t="str">
            <v>NOD</v>
          </cell>
        </row>
        <row r="1750">
          <cell r="C1750" t="str">
            <v>FMTSHCR0007</v>
          </cell>
          <cell r="D1750" t="str">
            <v>CORE</v>
          </cell>
          <cell r="E1750" t="str">
            <v>CO25</v>
          </cell>
          <cell r="F1750">
            <v>1299</v>
          </cell>
          <cell r="G1750" t="str">
            <v>FM</v>
          </cell>
          <cell r="H1750" t="str">
            <v>FLMFMMPTS</v>
          </cell>
          <cell r="I1750" t="str">
            <v>FMTSHCR0007001</v>
          </cell>
          <cell r="J1750" t="str">
            <v>3XL</v>
          </cell>
          <cell r="K1750" t="str">
            <v>POLO T-SHIRT</v>
          </cell>
          <cell r="L1750" t="str">
            <v>NOD</v>
          </cell>
        </row>
        <row r="1751">
          <cell r="C1751" t="str">
            <v>FMTSHCR0007</v>
          </cell>
          <cell r="D1751" t="str">
            <v>CORE</v>
          </cell>
          <cell r="E1751" t="str">
            <v>CO25</v>
          </cell>
          <cell r="F1751">
            <v>1299</v>
          </cell>
          <cell r="G1751" t="str">
            <v>FM</v>
          </cell>
          <cell r="H1751" t="str">
            <v>FLMFMMPTS</v>
          </cell>
          <cell r="I1751" t="str">
            <v>FMTSHCR0007002</v>
          </cell>
          <cell r="J1751" t="str">
            <v>4XL</v>
          </cell>
          <cell r="K1751" t="str">
            <v>POLO T-SHIRT</v>
          </cell>
          <cell r="L1751" t="str">
            <v>NOD</v>
          </cell>
        </row>
        <row r="1752">
          <cell r="C1752" t="str">
            <v>FMTSHCR0007</v>
          </cell>
          <cell r="D1752" t="str">
            <v>CORE</v>
          </cell>
          <cell r="E1752" t="str">
            <v>CO25</v>
          </cell>
          <cell r="F1752">
            <v>1299</v>
          </cell>
          <cell r="G1752" t="str">
            <v>FM</v>
          </cell>
          <cell r="H1752" t="str">
            <v>FLMFMMPTS</v>
          </cell>
          <cell r="I1752" t="str">
            <v>FMTSHCR0007003</v>
          </cell>
          <cell r="J1752" t="str">
            <v>L</v>
          </cell>
          <cell r="K1752" t="str">
            <v>POLO T-SHIRT</v>
          </cell>
          <cell r="L1752" t="str">
            <v>NOD</v>
          </cell>
        </row>
        <row r="1753">
          <cell r="C1753" t="str">
            <v>FMTSHCR0007</v>
          </cell>
          <cell r="D1753" t="str">
            <v>CORE</v>
          </cell>
          <cell r="E1753" t="str">
            <v>CO25</v>
          </cell>
          <cell r="F1753">
            <v>1299</v>
          </cell>
          <cell r="G1753" t="str">
            <v>FM</v>
          </cell>
          <cell r="H1753" t="str">
            <v>FLMFMMPTS</v>
          </cell>
          <cell r="I1753" t="str">
            <v>FMTSHCR0007004</v>
          </cell>
          <cell r="J1753" t="str">
            <v>M</v>
          </cell>
          <cell r="K1753" t="str">
            <v>POLO T-SHIRT</v>
          </cell>
          <cell r="L1753" t="str">
            <v>NOD</v>
          </cell>
        </row>
        <row r="1754">
          <cell r="C1754" t="str">
            <v>FMTSHCR0007</v>
          </cell>
          <cell r="D1754" t="str">
            <v>CORE</v>
          </cell>
          <cell r="E1754" t="str">
            <v>CO25</v>
          </cell>
          <cell r="F1754">
            <v>1299</v>
          </cell>
          <cell r="G1754" t="str">
            <v>FM</v>
          </cell>
          <cell r="H1754" t="str">
            <v>FLMFMMPTS</v>
          </cell>
          <cell r="I1754" t="str">
            <v>FMTSHCR0007005</v>
          </cell>
          <cell r="J1754" t="str">
            <v>S</v>
          </cell>
          <cell r="K1754" t="str">
            <v>POLO T-SHIRT</v>
          </cell>
          <cell r="L1754" t="str">
            <v>NOD</v>
          </cell>
        </row>
        <row r="1755">
          <cell r="C1755" t="str">
            <v>FMTSHCR0007</v>
          </cell>
          <cell r="D1755" t="str">
            <v>CORE</v>
          </cell>
          <cell r="E1755" t="str">
            <v>CO25</v>
          </cell>
          <cell r="F1755">
            <v>1299</v>
          </cell>
          <cell r="G1755" t="str">
            <v>FM</v>
          </cell>
          <cell r="H1755" t="str">
            <v>FLMFMMPTS</v>
          </cell>
          <cell r="I1755" t="str">
            <v>FMTSHCR0007006</v>
          </cell>
          <cell r="J1755" t="str">
            <v>XL</v>
          </cell>
          <cell r="K1755" t="str">
            <v>POLO T-SHIRT</v>
          </cell>
          <cell r="L1755" t="str">
            <v>NOD</v>
          </cell>
        </row>
        <row r="1756">
          <cell r="C1756" t="str">
            <v>FMTSHCR0007</v>
          </cell>
          <cell r="D1756" t="str">
            <v>CORE</v>
          </cell>
          <cell r="E1756" t="str">
            <v>CO25</v>
          </cell>
          <cell r="F1756">
            <v>1299</v>
          </cell>
          <cell r="G1756" t="str">
            <v>FM</v>
          </cell>
          <cell r="H1756" t="str">
            <v>FLMFMMPTS</v>
          </cell>
          <cell r="I1756" t="str">
            <v>FMTSHCR0007007</v>
          </cell>
          <cell r="J1756" t="str">
            <v>XS</v>
          </cell>
          <cell r="K1756" t="str">
            <v>POLO T-SHIRT</v>
          </cell>
          <cell r="L1756" t="str">
            <v>NOD</v>
          </cell>
        </row>
        <row r="1757">
          <cell r="C1757" t="str">
            <v>FMTSHCR0007</v>
          </cell>
          <cell r="D1757" t="str">
            <v>CORE</v>
          </cell>
          <cell r="E1757" t="str">
            <v>CO25</v>
          </cell>
          <cell r="F1757">
            <v>1299</v>
          </cell>
          <cell r="G1757" t="str">
            <v>FM</v>
          </cell>
          <cell r="H1757" t="str">
            <v>FLMFMMPTS</v>
          </cell>
          <cell r="I1757" t="str">
            <v>FMTSHCR0007008</v>
          </cell>
          <cell r="J1757" t="str">
            <v>XXL</v>
          </cell>
          <cell r="K1757" t="str">
            <v>POLO T-SHIRT</v>
          </cell>
          <cell r="L1757" t="str">
            <v>NOD</v>
          </cell>
        </row>
        <row r="1758">
          <cell r="C1758" t="str">
            <v>FMTSHCR0008</v>
          </cell>
          <cell r="D1758" t="str">
            <v>CORE</v>
          </cell>
          <cell r="E1758" t="str">
            <v>CO25</v>
          </cell>
          <cell r="F1758">
            <v>1299</v>
          </cell>
          <cell r="G1758" t="str">
            <v>FM</v>
          </cell>
          <cell r="H1758" t="str">
            <v>FLMFMMPTS</v>
          </cell>
          <cell r="I1758" t="str">
            <v>FMTSHCR0008001</v>
          </cell>
          <cell r="J1758" t="str">
            <v>3XL</v>
          </cell>
          <cell r="K1758" t="str">
            <v>POLO T-SHIRT</v>
          </cell>
          <cell r="L1758" t="str">
            <v>NOD</v>
          </cell>
        </row>
        <row r="1759">
          <cell r="C1759" t="str">
            <v>FMTSHCR0008</v>
          </cell>
          <cell r="D1759" t="str">
            <v>CORE</v>
          </cell>
          <cell r="E1759" t="str">
            <v>CO25</v>
          </cell>
          <cell r="F1759">
            <v>1299</v>
          </cell>
          <cell r="G1759" t="str">
            <v>FM</v>
          </cell>
          <cell r="H1759" t="str">
            <v>FLMFMMPTS</v>
          </cell>
          <cell r="I1759" t="str">
            <v>FMTSHCR0008002</v>
          </cell>
          <cell r="J1759" t="str">
            <v>4XL</v>
          </cell>
          <cell r="K1759" t="str">
            <v>POLO T-SHIRT</v>
          </cell>
          <cell r="L1759" t="str">
            <v>NOD</v>
          </cell>
        </row>
        <row r="1760">
          <cell r="C1760" t="str">
            <v>FMTSHCR0008</v>
          </cell>
          <cell r="D1760" t="str">
            <v>CORE</v>
          </cell>
          <cell r="E1760" t="str">
            <v>CO25</v>
          </cell>
          <cell r="F1760">
            <v>1299</v>
          </cell>
          <cell r="G1760" t="str">
            <v>FM</v>
          </cell>
          <cell r="H1760" t="str">
            <v>FLMFMMPTS</v>
          </cell>
          <cell r="I1760" t="str">
            <v>FMTSHCR0008003</v>
          </cell>
          <cell r="J1760" t="str">
            <v>L</v>
          </cell>
          <cell r="K1760" t="str">
            <v>POLO T-SHIRT</v>
          </cell>
          <cell r="L1760" t="str">
            <v>NOD</v>
          </cell>
        </row>
        <row r="1761">
          <cell r="C1761" t="str">
            <v>FMTSHCR0008</v>
          </cell>
          <cell r="D1761" t="str">
            <v>CORE</v>
          </cell>
          <cell r="E1761" t="str">
            <v>CO25</v>
          </cell>
          <cell r="F1761">
            <v>1299</v>
          </cell>
          <cell r="G1761" t="str">
            <v>FM</v>
          </cell>
          <cell r="H1761" t="str">
            <v>FLMFMMPTS</v>
          </cell>
          <cell r="I1761" t="str">
            <v>FMTSHCR0008004</v>
          </cell>
          <cell r="J1761" t="str">
            <v>M</v>
          </cell>
          <cell r="K1761" t="str">
            <v>POLO T-SHIRT</v>
          </cell>
          <cell r="L1761" t="str">
            <v>NOD</v>
          </cell>
        </row>
        <row r="1762">
          <cell r="C1762" t="str">
            <v>FMTSHCR0008</v>
          </cell>
          <cell r="D1762" t="str">
            <v>CORE</v>
          </cell>
          <cell r="E1762" t="str">
            <v>CO25</v>
          </cell>
          <cell r="F1762">
            <v>1299</v>
          </cell>
          <cell r="G1762" t="str">
            <v>FM</v>
          </cell>
          <cell r="H1762" t="str">
            <v>FLMFMMPTS</v>
          </cell>
          <cell r="I1762" t="str">
            <v>FMTSHCR0008005</v>
          </cell>
          <cell r="J1762" t="str">
            <v>S</v>
          </cell>
          <cell r="K1762" t="str">
            <v>POLO T-SHIRT</v>
          </cell>
          <cell r="L1762" t="str">
            <v>NOD</v>
          </cell>
        </row>
        <row r="1763">
          <cell r="C1763" t="str">
            <v>FMTSHCR0008</v>
          </cell>
          <cell r="D1763" t="str">
            <v>CORE</v>
          </cell>
          <cell r="E1763" t="str">
            <v>CO25</v>
          </cell>
          <cell r="F1763">
            <v>1299</v>
          </cell>
          <cell r="G1763" t="str">
            <v>FM</v>
          </cell>
          <cell r="H1763" t="str">
            <v>FLMFMMPTS</v>
          </cell>
          <cell r="I1763" t="str">
            <v>FMTSHCR0008006</v>
          </cell>
          <cell r="J1763" t="str">
            <v>XL</v>
          </cell>
          <cell r="K1763" t="str">
            <v>POLO T-SHIRT</v>
          </cell>
          <cell r="L1763" t="str">
            <v>NOD</v>
          </cell>
        </row>
        <row r="1764">
          <cell r="C1764" t="str">
            <v>FMTSHCR0008</v>
          </cell>
          <cell r="D1764" t="str">
            <v>CORE</v>
          </cell>
          <cell r="E1764" t="str">
            <v>CO25</v>
          </cell>
          <cell r="F1764">
            <v>1299</v>
          </cell>
          <cell r="G1764" t="str">
            <v>FM</v>
          </cell>
          <cell r="H1764" t="str">
            <v>FLMFMMPTS</v>
          </cell>
          <cell r="I1764" t="str">
            <v>FMTSHCR0008007</v>
          </cell>
          <cell r="J1764" t="str">
            <v>XS</v>
          </cell>
          <cell r="K1764" t="str">
            <v>POLO T-SHIRT</v>
          </cell>
          <cell r="L1764" t="str">
            <v>NOD</v>
          </cell>
        </row>
        <row r="1765">
          <cell r="C1765" t="str">
            <v>FMTSHCR0008</v>
          </cell>
          <cell r="D1765" t="str">
            <v>CORE</v>
          </cell>
          <cell r="E1765" t="str">
            <v>CO25</v>
          </cell>
          <cell r="F1765">
            <v>1299</v>
          </cell>
          <cell r="G1765" t="str">
            <v>FM</v>
          </cell>
          <cell r="H1765" t="str">
            <v>FLMFMMPTS</v>
          </cell>
          <cell r="I1765" t="str">
            <v>FMTSHCR0008008</v>
          </cell>
          <cell r="J1765" t="str">
            <v>XXL</v>
          </cell>
          <cell r="K1765" t="str">
            <v>POLO T-SHIRT</v>
          </cell>
          <cell r="L1765" t="str">
            <v>NOD</v>
          </cell>
        </row>
        <row r="1766">
          <cell r="C1766" t="str">
            <v>FMTSHCR0009</v>
          </cell>
          <cell r="D1766" t="str">
            <v>CORE</v>
          </cell>
          <cell r="E1766" t="str">
            <v>CO25</v>
          </cell>
          <cell r="F1766">
            <v>1299</v>
          </cell>
          <cell r="G1766" t="str">
            <v>FM</v>
          </cell>
          <cell r="H1766" t="str">
            <v>FLMFMMPTS</v>
          </cell>
          <cell r="I1766" t="str">
            <v>FMTSHCR0009001</v>
          </cell>
          <cell r="J1766" t="str">
            <v>3XL</v>
          </cell>
          <cell r="K1766" t="str">
            <v>POLO T-SHIRT</v>
          </cell>
          <cell r="L1766" t="str">
            <v>NOD</v>
          </cell>
        </row>
        <row r="1767">
          <cell r="C1767" t="str">
            <v>FMTSHCR0009</v>
          </cell>
          <cell r="D1767" t="str">
            <v>CORE</v>
          </cell>
          <cell r="E1767" t="str">
            <v>CO25</v>
          </cell>
          <cell r="F1767">
            <v>1299</v>
          </cell>
          <cell r="G1767" t="str">
            <v>FM</v>
          </cell>
          <cell r="H1767" t="str">
            <v>FLMFMMPTS</v>
          </cell>
          <cell r="I1767" t="str">
            <v>FMTSHCR0009002</v>
          </cell>
          <cell r="J1767" t="str">
            <v>4XL</v>
          </cell>
          <cell r="K1767" t="str">
            <v>POLO T-SHIRT</v>
          </cell>
          <cell r="L1767" t="str">
            <v>NOD</v>
          </cell>
        </row>
        <row r="1768">
          <cell r="C1768" t="str">
            <v>FMTSHCR0009</v>
          </cell>
          <cell r="D1768" t="str">
            <v>CORE</v>
          </cell>
          <cell r="E1768" t="str">
            <v>CO25</v>
          </cell>
          <cell r="F1768">
            <v>1299</v>
          </cell>
          <cell r="G1768" t="str">
            <v>FM</v>
          </cell>
          <cell r="H1768" t="str">
            <v>FLMFMMPTS</v>
          </cell>
          <cell r="I1768" t="str">
            <v>FMTSHCR0009003</v>
          </cell>
          <cell r="J1768" t="str">
            <v>5XL</v>
          </cell>
          <cell r="K1768" t="str">
            <v>POLO T-SHIRT</v>
          </cell>
          <cell r="L1768" t="str">
            <v>NOD</v>
          </cell>
        </row>
        <row r="1769">
          <cell r="C1769" t="str">
            <v>FMTSHCR0009</v>
          </cell>
          <cell r="D1769" t="str">
            <v>CORE</v>
          </cell>
          <cell r="E1769" t="str">
            <v>CO25</v>
          </cell>
          <cell r="F1769">
            <v>1299</v>
          </cell>
          <cell r="G1769" t="str">
            <v>FM</v>
          </cell>
          <cell r="H1769" t="str">
            <v>FLMFMMPTS</v>
          </cell>
          <cell r="I1769" t="str">
            <v>FMTSHCR0009004</v>
          </cell>
          <cell r="J1769" t="str">
            <v>L</v>
          </cell>
          <cell r="K1769" t="str">
            <v>POLO T-SHIRT</v>
          </cell>
          <cell r="L1769" t="str">
            <v>NOD</v>
          </cell>
        </row>
        <row r="1770">
          <cell r="C1770" t="str">
            <v>FMTSHCR0009</v>
          </cell>
          <cell r="D1770" t="str">
            <v>CORE</v>
          </cell>
          <cell r="E1770" t="str">
            <v>CO25</v>
          </cell>
          <cell r="F1770">
            <v>1299</v>
          </cell>
          <cell r="G1770" t="str">
            <v>FM</v>
          </cell>
          <cell r="H1770" t="str">
            <v>FLMFMMPTS</v>
          </cell>
          <cell r="I1770" t="str">
            <v>FMTSHCR0009005</v>
          </cell>
          <cell r="J1770" t="str">
            <v>M</v>
          </cell>
          <cell r="K1770" t="str">
            <v>POLO T-SHIRT</v>
          </cell>
          <cell r="L1770" t="str">
            <v>NOD</v>
          </cell>
        </row>
        <row r="1771">
          <cell r="C1771" t="str">
            <v>FMTSHCR0009</v>
          </cell>
          <cell r="D1771" t="str">
            <v>CORE</v>
          </cell>
          <cell r="E1771" t="str">
            <v>CO25</v>
          </cell>
          <cell r="F1771">
            <v>1299</v>
          </cell>
          <cell r="G1771" t="str">
            <v>FM</v>
          </cell>
          <cell r="H1771" t="str">
            <v>FLMFMMPTS</v>
          </cell>
          <cell r="I1771" t="str">
            <v>FMTSHCR0009006</v>
          </cell>
          <cell r="J1771" t="str">
            <v>S</v>
          </cell>
          <cell r="K1771" t="str">
            <v>POLO T-SHIRT</v>
          </cell>
          <cell r="L1771" t="str">
            <v>NOD</v>
          </cell>
        </row>
        <row r="1772">
          <cell r="C1772" t="str">
            <v>FMTSHCR0009</v>
          </cell>
          <cell r="D1772" t="str">
            <v>CORE</v>
          </cell>
          <cell r="E1772" t="str">
            <v>CO25</v>
          </cell>
          <cell r="F1772">
            <v>1299</v>
          </cell>
          <cell r="G1772" t="str">
            <v>FM</v>
          </cell>
          <cell r="H1772" t="str">
            <v>FLMFMMPTS</v>
          </cell>
          <cell r="I1772" t="str">
            <v>FMTSHCR0009007</v>
          </cell>
          <cell r="J1772" t="str">
            <v>XL</v>
          </cell>
          <cell r="K1772" t="str">
            <v>POLO T-SHIRT</v>
          </cell>
          <cell r="L1772" t="str">
            <v>NOD</v>
          </cell>
        </row>
        <row r="1773">
          <cell r="C1773" t="str">
            <v>FMTSHCR0009</v>
          </cell>
          <cell r="D1773" t="str">
            <v>CORE</v>
          </cell>
          <cell r="E1773" t="str">
            <v>CO25</v>
          </cell>
          <cell r="F1773">
            <v>1299</v>
          </cell>
          <cell r="G1773" t="str">
            <v>FM</v>
          </cell>
          <cell r="H1773" t="str">
            <v>FLMFMMPTS</v>
          </cell>
          <cell r="I1773" t="str">
            <v>FMTSHCR0009008</v>
          </cell>
          <cell r="J1773" t="str">
            <v>XS</v>
          </cell>
          <cell r="K1773" t="str">
            <v>POLO T-SHIRT</v>
          </cell>
          <cell r="L1773" t="str">
            <v>NOD</v>
          </cell>
        </row>
        <row r="1774">
          <cell r="C1774" t="str">
            <v>FMTSHCR0009</v>
          </cell>
          <cell r="D1774" t="str">
            <v>CORE</v>
          </cell>
          <cell r="E1774" t="str">
            <v>CO25</v>
          </cell>
          <cell r="F1774">
            <v>1299</v>
          </cell>
          <cell r="G1774" t="str">
            <v>FM</v>
          </cell>
          <cell r="H1774" t="str">
            <v>FLMFMMPTS</v>
          </cell>
          <cell r="I1774" t="str">
            <v>FMTSHCR0009009</v>
          </cell>
          <cell r="J1774" t="str">
            <v>XXL</v>
          </cell>
          <cell r="K1774" t="str">
            <v>POLO T-SHIRT</v>
          </cell>
          <cell r="L1774" t="str">
            <v>NOD</v>
          </cell>
        </row>
        <row r="1775">
          <cell r="C1775" t="str">
            <v>FMTSHCR0010</v>
          </cell>
          <cell r="D1775" t="str">
            <v>CORE</v>
          </cell>
          <cell r="E1775" t="str">
            <v>CO25</v>
          </cell>
          <cell r="F1775">
            <v>1299</v>
          </cell>
          <cell r="G1775" t="str">
            <v>FM</v>
          </cell>
          <cell r="H1775" t="str">
            <v>FLMFMMPTS</v>
          </cell>
          <cell r="I1775" t="str">
            <v>FMTSHCR0010001</v>
          </cell>
          <cell r="J1775" t="str">
            <v>3XL</v>
          </cell>
          <cell r="K1775" t="str">
            <v>POLO T-SHIRT</v>
          </cell>
          <cell r="L1775" t="str">
            <v>NOD</v>
          </cell>
        </row>
        <row r="1776">
          <cell r="C1776" t="str">
            <v>FMTSHCR0010</v>
          </cell>
          <cell r="D1776" t="str">
            <v>CORE</v>
          </cell>
          <cell r="E1776" t="str">
            <v>CO25</v>
          </cell>
          <cell r="F1776">
            <v>1299</v>
          </cell>
          <cell r="G1776" t="str">
            <v>FM</v>
          </cell>
          <cell r="H1776" t="str">
            <v>FLMFMMPTS</v>
          </cell>
          <cell r="I1776" t="str">
            <v>FMTSHCR0010002</v>
          </cell>
          <cell r="J1776" t="str">
            <v>4XL</v>
          </cell>
          <cell r="K1776" t="str">
            <v>POLO T-SHIRT</v>
          </cell>
          <cell r="L1776" t="str">
            <v>NOD</v>
          </cell>
        </row>
        <row r="1777">
          <cell r="C1777" t="str">
            <v>FMTSHCR0010</v>
          </cell>
          <cell r="D1777" t="str">
            <v>CORE</v>
          </cell>
          <cell r="E1777" t="str">
            <v>CO25</v>
          </cell>
          <cell r="F1777">
            <v>1299</v>
          </cell>
          <cell r="G1777" t="str">
            <v>FM</v>
          </cell>
          <cell r="H1777" t="str">
            <v>FLMFMMPTS</v>
          </cell>
          <cell r="I1777" t="str">
            <v>FMTSHCR0010003</v>
          </cell>
          <cell r="J1777" t="str">
            <v>5XL</v>
          </cell>
          <cell r="K1777" t="str">
            <v>POLO T-SHIRT</v>
          </cell>
          <cell r="L1777" t="str">
            <v>NOD</v>
          </cell>
        </row>
        <row r="1778">
          <cell r="C1778" t="str">
            <v>FMTSHCR0010</v>
          </cell>
          <cell r="D1778" t="str">
            <v>CORE</v>
          </cell>
          <cell r="E1778" t="str">
            <v>CO25</v>
          </cell>
          <cell r="F1778">
            <v>1299</v>
          </cell>
          <cell r="G1778" t="str">
            <v>FM</v>
          </cell>
          <cell r="H1778" t="str">
            <v>FLMFMMPTS</v>
          </cell>
          <cell r="I1778" t="str">
            <v>FMTSHCR0010004</v>
          </cell>
          <cell r="J1778" t="str">
            <v>L</v>
          </cell>
          <cell r="K1778" t="str">
            <v>POLO T-SHIRT</v>
          </cell>
          <cell r="L1778" t="str">
            <v>NOD</v>
          </cell>
        </row>
        <row r="1779">
          <cell r="C1779" t="str">
            <v>FMTSHCR0010</v>
          </cell>
          <cell r="D1779" t="str">
            <v>CORE</v>
          </cell>
          <cell r="E1779" t="str">
            <v>CO25</v>
          </cell>
          <cell r="F1779">
            <v>1299</v>
          </cell>
          <cell r="G1779" t="str">
            <v>FM</v>
          </cell>
          <cell r="H1779" t="str">
            <v>FLMFMMPTS</v>
          </cell>
          <cell r="I1779" t="str">
            <v>FMTSHCR0010005</v>
          </cell>
          <cell r="J1779" t="str">
            <v>M</v>
          </cell>
          <cell r="K1779" t="str">
            <v>POLO T-SHIRT</v>
          </cell>
          <cell r="L1779" t="str">
            <v>NOD</v>
          </cell>
        </row>
        <row r="1780">
          <cell r="C1780" t="str">
            <v>FMTSHCR0010</v>
          </cell>
          <cell r="D1780" t="str">
            <v>CORE</v>
          </cell>
          <cell r="E1780" t="str">
            <v>CO25</v>
          </cell>
          <cell r="F1780">
            <v>1299</v>
          </cell>
          <cell r="G1780" t="str">
            <v>FM</v>
          </cell>
          <cell r="H1780" t="str">
            <v>FLMFMMPTS</v>
          </cell>
          <cell r="I1780" t="str">
            <v>FMTSHCR0010006</v>
          </cell>
          <cell r="J1780" t="str">
            <v>S</v>
          </cell>
          <cell r="K1780" t="str">
            <v>POLO T-SHIRT</v>
          </cell>
          <cell r="L1780" t="str">
            <v>NOD</v>
          </cell>
        </row>
        <row r="1781">
          <cell r="C1781" t="str">
            <v>FMTSHCR0010</v>
          </cell>
          <cell r="D1781" t="str">
            <v>CORE</v>
          </cell>
          <cell r="E1781" t="str">
            <v>CO25</v>
          </cell>
          <cell r="F1781">
            <v>1299</v>
          </cell>
          <cell r="G1781" t="str">
            <v>FM</v>
          </cell>
          <cell r="H1781" t="str">
            <v>FLMFMMPTS</v>
          </cell>
          <cell r="I1781" t="str">
            <v>FMTSHCR0010007</v>
          </cell>
          <cell r="J1781" t="str">
            <v>XL</v>
          </cell>
          <cell r="K1781" t="str">
            <v>POLO T-SHIRT</v>
          </cell>
          <cell r="L1781" t="str">
            <v>NOD</v>
          </cell>
        </row>
        <row r="1782">
          <cell r="C1782" t="str">
            <v>FMTSHCR0010</v>
          </cell>
          <cell r="D1782" t="str">
            <v>CORE</v>
          </cell>
          <cell r="E1782" t="str">
            <v>CO25</v>
          </cell>
          <cell r="F1782">
            <v>1299</v>
          </cell>
          <cell r="G1782" t="str">
            <v>FM</v>
          </cell>
          <cell r="H1782" t="str">
            <v>FLMFMMPTS</v>
          </cell>
          <cell r="I1782" t="str">
            <v>FMTSHCR0010008</v>
          </cell>
          <cell r="J1782" t="str">
            <v>XS</v>
          </cell>
          <cell r="K1782" t="str">
            <v>POLO T-SHIRT</v>
          </cell>
          <cell r="L1782" t="str">
            <v>NOD</v>
          </cell>
        </row>
        <row r="1783">
          <cell r="C1783" t="str">
            <v>FMTSHCR0010</v>
          </cell>
          <cell r="D1783" t="str">
            <v>CORE</v>
          </cell>
          <cell r="E1783" t="str">
            <v>CO25</v>
          </cell>
          <cell r="F1783">
            <v>1299</v>
          </cell>
          <cell r="G1783" t="str">
            <v>FM</v>
          </cell>
          <cell r="H1783" t="str">
            <v>FLMFMMPTS</v>
          </cell>
          <cell r="I1783" t="str">
            <v>FMTSHCR0010009</v>
          </cell>
          <cell r="J1783" t="str">
            <v>XXL</v>
          </cell>
          <cell r="K1783" t="str">
            <v>POLO T-SHIRT</v>
          </cell>
          <cell r="L1783" t="str">
            <v>NOD</v>
          </cell>
        </row>
        <row r="1784">
          <cell r="C1784" t="str">
            <v>FMTSHCR0013</v>
          </cell>
          <cell r="D1784" t="str">
            <v>CORE</v>
          </cell>
          <cell r="E1784" t="str">
            <v>CO25</v>
          </cell>
          <cell r="F1784">
            <v>1299</v>
          </cell>
          <cell r="G1784" t="str">
            <v>FM</v>
          </cell>
          <cell r="H1784" t="str">
            <v>FLMFMMPTS</v>
          </cell>
          <cell r="I1784" t="str">
            <v>FMTSHCR0013001</v>
          </cell>
          <cell r="J1784" t="str">
            <v>3XL</v>
          </cell>
          <cell r="K1784" t="str">
            <v>POLO T-SHIRT</v>
          </cell>
          <cell r="L1784" t="str">
            <v>NOD</v>
          </cell>
        </row>
        <row r="1785">
          <cell r="C1785" t="str">
            <v>FMTSHCR0013</v>
          </cell>
          <cell r="D1785" t="str">
            <v>CORE</v>
          </cell>
          <cell r="E1785" t="str">
            <v>CO25</v>
          </cell>
          <cell r="F1785">
            <v>1299</v>
          </cell>
          <cell r="G1785" t="str">
            <v>FM</v>
          </cell>
          <cell r="H1785" t="str">
            <v>FLMFMMPTS</v>
          </cell>
          <cell r="I1785" t="str">
            <v>FMTSHCR0013002</v>
          </cell>
          <cell r="J1785" t="str">
            <v>4XL</v>
          </cell>
          <cell r="K1785" t="str">
            <v>POLO T-SHIRT</v>
          </cell>
          <cell r="L1785" t="str">
            <v>NOD</v>
          </cell>
        </row>
        <row r="1786">
          <cell r="C1786" t="str">
            <v>FMTSHCR0013</v>
          </cell>
          <cell r="D1786" t="str">
            <v>CORE</v>
          </cell>
          <cell r="E1786" t="str">
            <v>CO25</v>
          </cell>
          <cell r="F1786">
            <v>1299</v>
          </cell>
          <cell r="G1786" t="str">
            <v>FM</v>
          </cell>
          <cell r="H1786" t="str">
            <v>FLMFMMPTS</v>
          </cell>
          <cell r="I1786" t="str">
            <v>FMTSHCR0013003</v>
          </cell>
          <cell r="J1786" t="str">
            <v>5XL</v>
          </cell>
          <cell r="K1786" t="str">
            <v>POLO T-SHIRT</v>
          </cell>
          <cell r="L1786" t="str">
            <v>NOD</v>
          </cell>
        </row>
        <row r="1787">
          <cell r="C1787" t="str">
            <v>FMTSHCR0013</v>
          </cell>
          <cell r="D1787" t="str">
            <v>CORE</v>
          </cell>
          <cell r="E1787" t="str">
            <v>CO25</v>
          </cell>
          <cell r="F1787">
            <v>1299</v>
          </cell>
          <cell r="G1787" t="str">
            <v>FM</v>
          </cell>
          <cell r="H1787" t="str">
            <v>FLMFMMPTS</v>
          </cell>
          <cell r="I1787" t="str">
            <v>FMTSHCR0013004</v>
          </cell>
          <cell r="J1787" t="str">
            <v>L</v>
          </cell>
          <cell r="K1787" t="str">
            <v>POLO T-SHIRT</v>
          </cell>
          <cell r="L1787" t="str">
            <v>NOD</v>
          </cell>
        </row>
        <row r="1788">
          <cell r="C1788" t="str">
            <v>FMTSHCR0013</v>
          </cell>
          <cell r="D1788" t="str">
            <v>CORE</v>
          </cell>
          <cell r="E1788" t="str">
            <v>CO25</v>
          </cell>
          <cell r="F1788">
            <v>1299</v>
          </cell>
          <cell r="G1788" t="str">
            <v>FM</v>
          </cell>
          <cell r="H1788" t="str">
            <v>FLMFMMPTS</v>
          </cell>
          <cell r="I1788" t="str">
            <v>FMTSHCR0013005</v>
          </cell>
          <cell r="J1788" t="str">
            <v>M</v>
          </cell>
          <cell r="K1788" t="str">
            <v>POLO T-SHIRT</v>
          </cell>
          <cell r="L1788" t="str">
            <v>NOD</v>
          </cell>
        </row>
        <row r="1789">
          <cell r="C1789" t="str">
            <v>FMTSHCR0013</v>
          </cell>
          <cell r="D1789" t="str">
            <v>CORE</v>
          </cell>
          <cell r="E1789" t="str">
            <v>CO25</v>
          </cell>
          <cell r="F1789">
            <v>1299</v>
          </cell>
          <cell r="G1789" t="str">
            <v>FM</v>
          </cell>
          <cell r="H1789" t="str">
            <v>FLMFMMPTS</v>
          </cell>
          <cell r="I1789" t="str">
            <v>FMTSHCR0013006</v>
          </cell>
          <cell r="J1789" t="str">
            <v>S</v>
          </cell>
          <cell r="K1789" t="str">
            <v>POLO T-SHIRT</v>
          </cell>
          <cell r="L1789" t="str">
            <v>NOD</v>
          </cell>
        </row>
        <row r="1790">
          <cell r="C1790" t="str">
            <v>FMTSHCR0013</v>
          </cell>
          <cell r="D1790" t="str">
            <v>CORE</v>
          </cell>
          <cell r="E1790" t="str">
            <v>CO25</v>
          </cell>
          <cell r="F1790">
            <v>1299</v>
          </cell>
          <cell r="G1790" t="str">
            <v>FM</v>
          </cell>
          <cell r="H1790" t="str">
            <v>FLMFMMPTS</v>
          </cell>
          <cell r="I1790" t="str">
            <v>FMTSHCR0013007</v>
          </cell>
          <cell r="J1790" t="str">
            <v>XL</v>
          </cell>
          <cell r="K1790" t="str">
            <v>POLO T-SHIRT</v>
          </cell>
          <cell r="L1790" t="str">
            <v>NOD</v>
          </cell>
        </row>
        <row r="1791">
          <cell r="C1791" t="str">
            <v>FMTSHCR0013</v>
          </cell>
          <cell r="D1791" t="str">
            <v>CORE</v>
          </cell>
          <cell r="E1791" t="str">
            <v>CO25</v>
          </cell>
          <cell r="F1791">
            <v>1299</v>
          </cell>
          <cell r="G1791" t="str">
            <v>FM</v>
          </cell>
          <cell r="H1791" t="str">
            <v>FLMFMMPTS</v>
          </cell>
          <cell r="I1791" t="str">
            <v>FMTSHCR0013008</v>
          </cell>
          <cell r="J1791" t="str">
            <v>XS</v>
          </cell>
          <cell r="K1791" t="str">
            <v>POLO T-SHIRT</v>
          </cell>
          <cell r="L1791" t="str">
            <v>NOD</v>
          </cell>
        </row>
        <row r="1792">
          <cell r="C1792" t="str">
            <v>FMTSHCR0013</v>
          </cell>
          <cell r="D1792" t="str">
            <v>CORE</v>
          </cell>
          <cell r="E1792" t="str">
            <v>CO25</v>
          </cell>
          <cell r="F1792">
            <v>1299</v>
          </cell>
          <cell r="G1792" t="str">
            <v>FM</v>
          </cell>
          <cell r="H1792" t="str">
            <v>FLMFMMPTS</v>
          </cell>
          <cell r="I1792" t="str">
            <v>FMTSHCR0013009</v>
          </cell>
          <cell r="J1792" t="str">
            <v>XXL</v>
          </cell>
          <cell r="K1792" t="str">
            <v>POLO T-SHIRT</v>
          </cell>
          <cell r="L1792" t="str">
            <v>NOD</v>
          </cell>
        </row>
        <row r="1793">
          <cell r="C1793" t="str">
            <v>FMTSHCR0014</v>
          </cell>
          <cell r="D1793" t="str">
            <v>CORE</v>
          </cell>
          <cell r="E1793" t="str">
            <v>CO25</v>
          </cell>
          <cell r="F1793">
            <v>1299</v>
          </cell>
          <cell r="G1793" t="str">
            <v>FM</v>
          </cell>
          <cell r="H1793" t="str">
            <v>FLMFMMPTS</v>
          </cell>
          <cell r="I1793" t="str">
            <v>FMTSHCR0014001</v>
          </cell>
          <cell r="J1793" t="str">
            <v>3XL</v>
          </cell>
          <cell r="K1793" t="str">
            <v>POLO T-SHIRT</v>
          </cell>
          <cell r="L1793" t="str">
            <v>NOD</v>
          </cell>
        </row>
        <row r="1794">
          <cell r="C1794" t="str">
            <v>FMTSHCR0014</v>
          </cell>
          <cell r="D1794" t="str">
            <v>CORE</v>
          </cell>
          <cell r="E1794" t="str">
            <v>CO25</v>
          </cell>
          <cell r="F1794">
            <v>1299</v>
          </cell>
          <cell r="G1794" t="str">
            <v>FM</v>
          </cell>
          <cell r="H1794" t="str">
            <v>FLMFMMPTS</v>
          </cell>
          <cell r="I1794" t="str">
            <v>FMTSHCR0014002</v>
          </cell>
          <cell r="J1794" t="str">
            <v>4XL</v>
          </cell>
          <cell r="K1794" t="str">
            <v>POLO T-SHIRT</v>
          </cell>
          <cell r="L1794" t="str">
            <v>NOD</v>
          </cell>
        </row>
        <row r="1795">
          <cell r="C1795" t="str">
            <v>FMTSHCR0014</v>
          </cell>
          <cell r="D1795" t="str">
            <v>CORE</v>
          </cell>
          <cell r="E1795" t="str">
            <v>CO25</v>
          </cell>
          <cell r="F1795">
            <v>1299</v>
          </cell>
          <cell r="G1795" t="str">
            <v>FM</v>
          </cell>
          <cell r="H1795" t="str">
            <v>FLMFMMPTS</v>
          </cell>
          <cell r="I1795" t="str">
            <v>FMTSHCR0014003</v>
          </cell>
          <cell r="J1795" t="str">
            <v>5XL</v>
          </cell>
          <cell r="K1795" t="str">
            <v>POLO T-SHIRT</v>
          </cell>
          <cell r="L1795" t="str">
            <v>NOD</v>
          </cell>
        </row>
        <row r="1796">
          <cell r="C1796" t="str">
            <v>FMTSHCR0014</v>
          </cell>
          <cell r="D1796" t="str">
            <v>CORE</v>
          </cell>
          <cell r="E1796" t="str">
            <v>CO25</v>
          </cell>
          <cell r="F1796">
            <v>1299</v>
          </cell>
          <cell r="G1796" t="str">
            <v>FM</v>
          </cell>
          <cell r="H1796" t="str">
            <v>FLMFMMPTS</v>
          </cell>
          <cell r="I1796" t="str">
            <v>FMTSHCR0014004</v>
          </cell>
          <cell r="J1796" t="str">
            <v>L</v>
          </cell>
          <cell r="K1796" t="str">
            <v>POLO T-SHIRT</v>
          </cell>
          <cell r="L1796" t="str">
            <v>NOD</v>
          </cell>
        </row>
        <row r="1797">
          <cell r="C1797" t="str">
            <v>FMTSHCR0014</v>
          </cell>
          <cell r="D1797" t="str">
            <v>CORE</v>
          </cell>
          <cell r="E1797" t="str">
            <v>CO25</v>
          </cell>
          <cell r="F1797">
            <v>1299</v>
          </cell>
          <cell r="G1797" t="str">
            <v>FM</v>
          </cell>
          <cell r="H1797" t="str">
            <v>FLMFMMPTS</v>
          </cell>
          <cell r="I1797" t="str">
            <v>FMTSHCR0014005</v>
          </cell>
          <cell r="J1797" t="str">
            <v>M</v>
          </cell>
          <cell r="K1797" t="str">
            <v>POLO T-SHIRT</v>
          </cell>
          <cell r="L1797" t="str">
            <v>NOD</v>
          </cell>
        </row>
        <row r="1798">
          <cell r="C1798" t="str">
            <v>FMTSHCR0014</v>
          </cell>
          <cell r="D1798" t="str">
            <v>CORE</v>
          </cell>
          <cell r="E1798" t="str">
            <v>CO25</v>
          </cell>
          <cell r="F1798">
            <v>1299</v>
          </cell>
          <cell r="G1798" t="str">
            <v>FM</v>
          </cell>
          <cell r="H1798" t="str">
            <v>FLMFMMPTS</v>
          </cell>
          <cell r="I1798" t="str">
            <v>FMTSHCR0014006</v>
          </cell>
          <cell r="J1798" t="str">
            <v>S</v>
          </cell>
          <cell r="K1798" t="str">
            <v>POLO T-SHIRT</v>
          </cell>
          <cell r="L1798" t="str">
            <v>NOD</v>
          </cell>
        </row>
        <row r="1799">
          <cell r="C1799" t="str">
            <v>FMTSHCR0014</v>
          </cell>
          <cell r="D1799" t="str">
            <v>CORE</v>
          </cell>
          <cell r="E1799" t="str">
            <v>CO25</v>
          </cell>
          <cell r="F1799">
            <v>1299</v>
          </cell>
          <cell r="G1799" t="str">
            <v>FM</v>
          </cell>
          <cell r="H1799" t="str">
            <v>FLMFMMPTS</v>
          </cell>
          <cell r="I1799" t="str">
            <v>FMTSHCR0014007</v>
          </cell>
          <cell r="J1799" t="str">
            <v>XL</v>
          </cell>
          <cell r="K1799" t="str">
            <v>POLO T-SHIRT</v>
          </cell>
          <cell r="L1799" t="str">
            <v>NOD</v>
          </cell>
        </row>
        <row r="1800">
          <cell r="C1800" t="str">
            <v>FMTSHCR0014</v>
          </cell>
          <cell r="D1800" t="str">
            <v>CORE</v>
          </cell>
          <cell r="E1800" t="str">
            <v>CO25</v>
          </cell>
          <cell r="F1800">
            <v>1299</v>
          </cell>
          <cell r="G1800" t="str">
            <v>FM</v>
          </cell>
          <cell r="H1800" t="str">
            <v>FLMFMMPTS</v>
          </cell>
          <cell r="I1800" t="str">
            <v>FMTSHCR0014008</v>
          </cell>
          <cell r="J1800" t="str">
            <v>XS</v>
          </cell>
          <cell r="K1800" t="str">
            <v>POLO T-SHIRT</v>
          </cell>
          <cell r="L1800" t="str">
            <v>NOD</v>
          </cell>
        </row>
        <row r="1801">
          <cell r="C1801" t="str">
            <v>FMTSHCR0014</v>
          </cell>
          <cell r="D1801" t="str">
            <v>CORE</v>
          </cell>
          <cell r="E1801" t="str">
            <v>CO25</v>
          </cell>
          <cell r="F1801">
            <v>1299</v>
          </cell>
          <cell r="G1801" t="str">
            <v>FM</v>
          </cell>
          <cell r="H1801" t="str">
            <v>FLMFMMPTS</v>
          </cell>
          <cell r="I1801" t="str">
            <v>FMTSHCR0014009</v>
          </cell>
          <cell r="J1801" t="str">
            <v>XXL</v>
          </cell>
          <cell r="K1801" t="str">
            <v>POLO T-SHIRT</v>
          </cell>
          <cell r="L1801" t="str">
            <v>NOD</v>
          </cell>
        </row>
        <row r="1802">
          <cell r="C1802" t="str">
            <v>UDJEN1251H</v>
          </cell>
          <cell r="D1802" t="str">
            <v>OCOR</v>
          </cell>
          <cell r="E1802" t="str">
            <v>OC25</v>
          </cell>
          <cell r="F1802">
            <v>3897.16</v>
          </cell>
          <cell r="G1802" t="str">
            <v>UD</v>
          </cell>
          <cell r="H1802" t="str">
            <v>USPUDMJEN</v>
          </cell>
          <cell r="I1802" t="str">
            <v>UDJEN1251H001</v>
          </cell>
          <cell r="J1802" t="str">
            <v>28</v>
          </cell>
          <cell r="K1802" t="str">
            <v>JEANS</v>
          </cell>
          <cell r="L1802" t="str">
            <v>NOD</v>
          </cell>
        </row>
        <row r="1803">
          <cell r="C1803" t="str">
            <v>UDJEN1251H</v>
          </cell>
          <cell r="D1803" t="str">
            <v>OCOR</v>
          </cell>
          <cell r="E1803" t="str">
            <v>OC25</v>
          </cell>
          <cell r="F1803">
            <v>3897.16</v>
          </cell>
          <cell r="G1803" t="str">
            <v>UD</v>
          </cell>
          <cell r="H1803" t="str">
            <v>USPUDMJEN</v>
          </cell>
          <cell r="I1803" t="str">
            <v>UDJEN1251H002</v>
          </cell>
          <cell r="J1803" t="str">
            <v>30</v>
          </cell>
          <cell r="K1803" t="str">
            <v>JEANS</v>
          </cell>
          <cell r="L1803" t="str">
            <v>NOD</v>
          </cell>
        </row>
        <row r="1804">
          <cell r="C1804" t="str">
            <v>UDJEN1251H</v>
          </cell>
          <cell r="D1804" t="str">
            <v>OCOR</v>
          </cell>
          <cell r="E1804" t="str">
            <v>OC25</v>
          </cell>
          <cell r="F1804">
            <v>3897.16</v>
          </cell>
          <cell r="G1804" t="str">
            <v>UD</v>
          </cell>
          <cell r="H1804" t="str">
            <v>USPUDMJEN</v>
          </cell>
          <cell r="I1804" t="str">
            <v>UDJEN1251H003</v>
          </cell>
          <cell r="J1804" t="str">
            <v>32</v>
          </cell>
          <cell r="K1804" t="str">
            <v>JEANS</v>
          </cell>
          <cell r="L1804" t="str">
            <v>NOD</v>
          </cell>
        </row>
        <row r="1805">
          <cell r="C1805" t="str">
            <v>UDJEN1251H</v>
          </cell>
          <cell r="D1805" t="str">
            <v>OCOR</v>
          </cell>
          <cell r="E1805" t="str">
            <v>OC25</v>
          </cell>
          <cell r="F1805">
            <v>3897.16</v>
          </cell>
          <cell r="G1805" t="str">
            <v>UD</v>
          </cell>
          <cell r="H1805" t="str">
            <v>USPUDMJEN</v>
          </cell>
          <cell r="I1805" t="str">
            <v>UDJEN1251H004</v>
          </cell>
          <cell r="J1805" t="str">
            <v>34</v>
          </cell>
          <cell r="K1805" t="str">
            <v>JEANS</v>
          </cell>
          <cell r="L1805" t="str">
            <v>NOD</v>
          </cell>
        </row>
        <row r="1806">
          <cell r="C1806" t="str">
            <v>UDJEN1251H</v>
          </cell>
          <cell r="D1806" t="str">
            <v>OCOR</v>
          </cell>
          <cell r="E1806" t="str">
            <v>OC25</v>
          </cell>
          <cell r="F1806">
            <v>3897.16</v>
          </cell>
          <cell r="G1806" t="str">
            <v>UD</v>
          </cell>
          <cell r="H1806" t="str">
            <v>USPUDMJEN</v>
          </cell>
          <cell r="I1806" t="str">
            <v>UDJEN1251H005</v>
          </cell>
          <cell r="J1806" t="str">
            <v>36</v>
          </cell>
          <cell r="K1806" t="str">
            <v>JEANS</v>
          </cell>
          <cell r="L1806" t="str">
            <v>NOD</v>
          </cell>
        </row>
        <row r="1807">
          <cell r="C1807" t="str">
            <v>UDJEN1251H</v>
          </cell>
          <cell r="D1807" t="str">
            <v>OCOR</v>
          </cell>
          <cell r="E1807" t="str">
            <v>OC25</v>
          </cell>
          <cell r="F1807">
            <v>3897.16</v>
          </cell>
          <cell r="G1807" t="str">
            <v>UD</v>
          </cell>
          <cell r="H1807" t="str">
            <v>USPUDMJEN</v>
          </cell>
          <cell r="I1807" t="str">
            <v>UDJEN1251H006</v>
          </cell>
          <cell r="J1807" t="str">
            <v>38</v>
          </cell>
          <cell r="K1807" t="str">
            <v>JEANS</v>
          </cell>
          <cell r="L1807" t="str">
            <v>NOD</v>
          </cell>
        </row>
        <row r="1808">
          <cell r="C1808" t="str">
            <v>UDJEN1251H</v>
          </cell>
          <cell r="D1808" t="str">
            <v>OCOR</v>
          </cell>
          <cell r="E1808" t="str">
            <v>OC25</v>
          </cell>
          <cell r="F1808">
            <v>3897.16</v>
          </cell>
          <cell r="G1808" t="str">
            <v>UD</v>
          </cell>
          <cell r="H1808" t="str">
            <v>USPUDMJEN</v>
          </cell>
          <cell r="I1808" t="str">
            <v>UDJEN1251H007</v>
          </cell>
          <cell r="J1808" t="str">
            <v>40</v>
          </cell>
          <cell r="K1808" t="str">
            <v>JEANS</v>
          </cell>
          <cell r="L1808" t="str">
            <v>NOD</v>
          </cell>
        </row>
        <row r="1809">
          <cell r="C1809" t="str">
            <v>UDJEN1251H</v>
          </cell>
          <cell r="D1809" t="str">
            <v>OCOR</v>
          </cell>
          <cell r="E1809" t="str">
            <v>OC25</v>
          </cell>
          <cell r="F1809">
            <v>3897.16</v>
          </cell>
          <cell r="G1809" t="str">
            <v>UD</v>
          </cell>
          <cell r="H1809" t="str">
            <v>USPUDMJEN</v>
          </cell>
          <cell r="I1809" t="str">
            <v>UDJEN1251H008</v>
          </cell>
          <cell r="J1809" t="str">
            <v>42</v>
          </cell>
          <cell r="K1809" t="str">
            <v>JEANS</v>
          </cell>
          <cell r="L1809" t="str">
            <v>NOD</v>
          </cell>
        </row>
        <row r="1810">
          <cell r="C1810" t="str">
            <v>UDJEN1251H</v>
          </cell>
          <cell r="D1810" t="str">
            <v>OCOR</v>
          </cell>
          <cell r="E1810" t="str">
            <v>OC25</v>
          </cell>
          <cell r="F1810">
            <v>4107.88</v>
          </cell>
          <cell r="G1810" t="str">
            <v>UD</v>
          </cell>
          <cell r="H1810" t="str">
            <v>USPUDMJEN</v>
          </cell>
          <cell r="I1810" t="str">
            <v>UDJEN1251H009</v>
          </cell>
          <cell r="J1810" t="str">
            <v>44</v>
          </cell>
          <cell r="K1810" t="str">
            <v>JEANS</v>
          </cell>
          <cell r="L1810" t="str">
            <v>NOD</v>
          </cell>
        </row>
        <row r="1811">
          <cell r="C1811" t="str">
            <v>UDJEN1251H</v>
          </cell>
          <cell r="D1811" t="str">
            <v>OCOR</v>
          </cell>
          <cell r="E1811" t="str">
            <v>OC25</v>
          </cell>
          <cell r="F1811">
            <v>4107.88</v>
          </cell>
          <cell r="G1811" t="str">
            <v>UD</v>
          </cell>
          <cell r="H1811" t="str">
            <v>USPUDMJEN</v>
          </cell>
          <cell r="I1811" t="str">
            <v>UDJEN1251H010</v>
          </cell>
          <cell r="J1811" t="str">
            <v>46</v>
          </cell>
          <cell r="K1811" t="str">
            <v>JEANS</v>
          </cell>
          <cell r="L1811" t="str">
            <v>NOD</v>
          </cell>
        </row>
        <row r="1812">
          <cell r="C1812" t="str">
            <v>UDJEN1251H</v>
          </cell>
          <cell r="D1812" t="str">
            <v>OCOR</v>
          </cell>
          <cell r="E1812" t="str">
            <v>OC25</v>
          </cell>
          <cell r="F1812">
            <v>4107.88</v>
          </cell>
          <cell r="G1812" t="str">
            <v>UD</v>
          </cell>
          <cell r="H1812" t="str">
            <v>USPUDMJEN</v>
          </cell>
          <cell r="I1812" t="str">
            <v>UDJEN1251H011</v>
          </cell>
          <cell r="J1812" t="str">
            <v>48</v>
          </cell>
          <cell r="K1812" t="str">
            <v>JEANS</v>
          </cell>
          <cell r="L1812" t="str">
            <v>NOD</v>
          </cell>
        </row>
        <row r="1813">
          <cell r="C1813" t="str">
            <v>UDJEN1257</v>
          </cell>
          <cell r="D1813" t="str">
            <v>OCOR</v>
          </cell>
          <cell r="E1813" t="str">
            <v>OC25</v>
          </cell>
          <cell r="F1813">
            <v>3475</v>
          </cell>
          <cell r="G1813" t="str">
            <v>UD</v>
          </cell>
          <cell r="H1813" t="str">
            <v>USPUDMJEN</v>
          </cell>
          <cell r="I1813" t="str">
            <v>UDJEN1257001</v>
          </cell>
          <cell r="J1813" t="str">
            <v>28</v>
          </cell>
          <cell r="K1813" t="str">
            <v>JEANS</v>
          </cell>
          <cell r="L1813" t="str">
            <v>NOD</v>
          </cell>
        </row>
        <row r="1814">
          <cell r="C1814" t="str">
            <v>UDJEN1257</v>
          </cell>
          <cell r="D1814" t="str">
            <v>OCOR</v>
          </cell>
          <cell r="E1814" t="str">
            <v>OC25</v>
          </cell>
          <cell r="F1814">
            <v>3475</v>
          </cell>
          <cell r="G1814" t="str">
            <v>UD</v>
          </cell>
          <cell r="H1814" t="str">
            <v>USPUDMJEN</v>
          </cell>
          <cell r="I1814" t="str">
            <v>UDJEN1257002</v>
          </cell>
          <cell r="J1814" t="str">
            <v>30</v>
          </cell>
          <cell r="K1814" t="str">
            <v>JEANS</v>
          </cell>
          <cell r="L1814" t="str">
            <v>NOD</v>
          </cell>
        </row>
        <row r="1815">
          <cell r="C1815" t="str">
            <v>UDJEN1257</v>
          </cell>
          <cell r="D1815" t="str">
            <v>OCOR</v>
          </cell>
          <cell r="E1815" t="str">
            <v>OC25</v>
          </cell>
          <cell r="F1815">
            <v>3475</v>
          </cell>
          <cell r="G1815" t="str">
            <v>UD</v>
          </cell>
          <cell r="H1815" t="str">
            <v>USPUDMJEN</v>
          </cell>
          <cell r="I1815" t="str">
            <v>UDJEN1257003</v>
          </cell>
          <cell r="J1815" t="str">
            <v>32</v>
          </cell>
          <cell r="K1815" t="str">
            <v>JEANS</v>
          </cell>
          <cell r="L1815" t="str">
            <v>NOD</v>
          </cell>
        </row>
        <row r="1816">
          <cell r="C1816" t="str">
            <v>UDJEN1257</v>
          </cell>
          <cell r="D1816" t="str">
            <v>OCOR</v>
          </cell>
          <cell r="E1816" t="str">
            <v>OC25</v>
          </cell>
          <cell r="F1816">
            <v>3475</v>
          </cell>
          <cell r="G1816" t="str">
            <v>UD</v>
          </cell>
          <cell r="H1816" t="str">
            <v>USPUDMJEN</v>
          </cell>
          <cell r="I1816" t="str">
            <v>UDJEN1257004</v>
          </cell>
          <cell r="J1816" t="str">
            <v>34</v>
          </cell>
          <cell r="K1816" t="str">
            <v>JEANS</v>
          </cell>
          <cell r="L1816" t="str">
            <v>NOD</v>
          </cell>
        </row>
        <row r="1817">
          <cell r="C1817" t="str">
            <v>UDJEN1257</v>
          </cell>
          <cell r="D1817" t="str">
            <v>OCOR</v>
          </cell>
          <cell r="E1817" t="str">
            <v>OC25</v>
          </cell>
          <cell r="F1817">
            <v>3475</v>
          </cell>
          <cell r="G1817" t="str">
            <v>UD</v>
          </cell>
          <cell r="H1817" t="str">
            <v>USPUDMJEN</v>
          </cell>
          <cell r="I1817" t="str">
            <v>UDJEN1257005</v>
          </cell>
          <cell r="J1817" t="str">
            <v>36</v>
          </cell>
          <cell r="K1817" t="str">
            <v>JEANS</v>
          </cell>
          <cell r="L1817" t="str">
            <v>NOD</v>
          </cell>
        </row>
        <row r="1818">
          <cell r="C1818" t="str">
            <v>UDJEN1257</v>
          </cell>
          <cell r="D1818" t="str">
            <v>OCOR</v>
          </cell>
          <cell r="E1818" t="str">
            <v>OC25</v>
          </cell>
          <cell r="F1818">
            <v>3475</v>
          </cell>
          <cell r="G1818" t="str">
            <v>UD</v>
          </cell>
          <cell r="H1818" t="str">
            <v>USPUDMJEN</v>
          </cell>
          <cell r="I1818" t="str">
            <v>UDJEN1257006</v>
          </cell>
          <cell r="J1818" t="str">
            <v>38</v>
          </cell>
          <cell r="K1818" t="str">
            <v>JEANS</v>
          </cell>
          <cell r="L1818" t="str">
            <v>NOD</v>
          </cell>
        </row>
        <row r="1819">
          <cell r="C1819" t="str">
            <v>UDJEN1257</v>
          </cell>
          <cell r="D1819" t="str">
            <v>OCOR</v>
          </cell>
          <cell r="E1819" t="str">
            <v>OC25</v>
          </cell>
          <cell r="F1819">
            <v>3475</v>
          </cell>
          <cell r="G1819" t="str">
            <v>UD</v>
          </cell>
          <cell r="H1819" t="str">
            <v>USPUDMJEN</v>
          </cell>
          <cell r="I1819" t="str">
            <v>UDJEN1257007</v>
          </cell>
          <cell r="J1819" t="str">
            <v>40</v>
          </cell>
          <cell r="K1819" t="str">
            <v>JEANS</v>
          </cell>
          <cell r="L1819" t="str">
            <v>NOD</v>
          </cell>
        </row>
        <row r="1820">
          <cell r="C1820" t="str">
            <v>UDJEN1257</v>
          </cell>
          <cell r="D1820" t="str">
            <v>OCOR</v>
          </cell>
          <cell r="E1820" t="str">
            <v>OC25</v>
          </cell>
          <cell r="F1820">
            <v>3475</v>
          </cell>
          <cell r="G1820" t="str">
            <v>UD</v>
          </cell>
          <cell r="H1820" t="str">
            <v>USPUDMJEN</v>
          </cell>
          <cell r="I1820" t="str">
            <v>UDJEN1257008</v>
          </cell>
          <cell r="J1820" t="str">
            <v>42</v>
          </cell>
          <cell r="K1820" t="str">
            <v>JEANS</v>
          </cell>
          <cell r="L1820" t="str">
            <v>NOD</v>
          </cell>
        </row>
        <row r="1821">
          <cell r="C1821" t="str">
            <v>UDJEN1257</v>
          </cell>
          <cell r="D1821" t="str">
            <v>OCOR</v>
          </cell>
          <cell r="E1821" t="str">
            <v>OC25</v>
          </cell>
          <cell r="F1821">
            <v>3686</v>
          </cell>
          <cell r="G1821" t="str">
            <v>UD</v>
          </cell>
          <cell r="H1821" t="str">
            <v>USPUDMJEN</v>
          </cell>
          <cell r="I1821" t="str">
            <v>UDJEN1257009</v>
          </cell>
          <cell r="J1821" t="str">
            <v>44</v>
          </cell>
          <cell r="K1821" t="str">
            <v>JEANS</v>
          </cell>
          <cell r="L1821" t="str">
            <v>NOD</v>
          </cell>
        </row>
        <row r="1822">
          <cell r="C1822" t="str">
            <v>UDJEN1257</v>
          </cell>
          <cell r="D1822" t="str">
            <v>OCOR</v>
          </cell>
          <cell r="E1822" t="str">
            <v>OC25</v>
          </cell>
          <cell r="F1822">
            <v>3686</v>
          </cell>
          <cell r="G1822" t="str">
            <v>UD</v>
          </cell>
          <cell r="H1822" t="str">
            <v>USPUDMJEN</v>
          </cell>
          <cell r="I1822" t="str">
            <v>UDJEN1257010</v>
          </cell>
          <cell r="J1822" t="str">
            <v>46</v>
          </cell>
          <cell r="K1822" t="str">
            <v>JEANS</v>
          </cell>
          <cell r="L1822" t="str">
            <v>NOD</v>
          </cell>
        </row>
        <row r="1823">
          <cell r="C1823" t="str">
            <v>UDJEN1257</v>
          </cell>
          <cell r="D1823" t="str">
            <v>OCOR</v>
          </cell>
          <cell r="E1823" t="str">
            <v>OC25</v>
          </cell>
          <cell r="F1823">
            <v>3686</v>
          </cell>
          <cell r="G1823" t="str">
            <v>UD</v>
          </cell>
          <cell r="H1823" t="str">
            <v>USPUDMJEN</v>
          </cell>
          <cell r="I1823" t="str">
            <v>UDJEN1257011</v>
          </cell>
          <cell r="J1823" t="str">
            <v>48</v>
          </cell>
          <cell r="K1823" t="str">
            <v>JEANS</v>
          </cell>
          <cell r="L1823" t="str">
            <v>NOD</v>
          </cell>
        </row>
        <row r="1824">
          <cell r="C1824" t="str">
            <v>UDJEN1257H</v>
          </cell>
          <cell r="D1824" t="str">
            <v>OCOR</v>
          </cell>
          <cell r="E1824" t="str">
            <v>OC25</v>
          </cell>
          <cell r="F1824">
            <v>3475</v>
          </cell>
          <cell r="G1824" t="str">
            <v>UD</v>
          </cell>
          <cell r="H1824" t="str">
            <v>USPUDMJEN</v>
          </cell>
          <cell r="I1824" t="str">
            <v>UDJEN1257H001</v>
          </cell>
          <cell r="J1824" t="str">
            <v>28</v>
          </cell>
          <cell r="K1824" t="str">
            <v>JEANS</v>
          </cell>
          <cell r="L1824" t="str">
            <v>NOD</v>
          </cell>
        </row>
        <row r="1825">
          <cell r="C1825" t="str">
            <v>UDJEN1257H</v>
          </cell>
          <cell r="D1825" t="str">
            <v>OCOR</v>
          </cell>
          <cell r="E1825" t="str">
            <v>OC25</v>
          </cell>
          <cell r="F1825">
            <v>3475</v>
          </cell>
          <cell r="G1825" t="str">
            <v>UD</v>
          </cell>
          <cell r="H1825" t="str">
            <v>USPUDMJEN</v>
          </cell>
          <cell r="I1825" t="str">
            <v>UDJEN1257H002</v>
          </cell>
          <cell r="J1825" t="str">
            <v>30</v>
          </cell>
          <cell r="K1825" t="str">
            <v>JEANS</v>
          </cell>
          <cell r="L1825" t="str">
            <v>NOD</v>
          </cell>
        </row>
        <row r="1826">
          <cell r="C1826" t="str">
            <v>UDJEN1257H</v>
          </cell>
          <cell r="D1826" t="str">
            <v>OCOR</v>
          </cell>
          <cell r="E1826" t="str">
            <v>OC25</v>
          </cell>
          <cell r="F1826">
            <v>3475</v>
          </cell>
          <cell r="G1826" t="str">
            <v>UD</v>
          </cell>
          <cell r="H1826" t="str">
            <v>USPUDMJEN</v>
          </cell>
          <cell r="I1826" t="str">
            <v>UDJEN1257H003</v>
          </cell>
          <cell r="J1826" t="str">
            <v>32</v>
          </cell>
          <cell r="K1826" t="str">
            <v>JEANS</v>
          </cell>
          <cell r="L1826" t="str">
            <v>NOD</v>
          </cell>
        </row>
        <row r="1827">
          <cell r="C1827" t="str">
            <v>UDJEN1257H</v>
          </cell>
          <cell r="D1827" t="str">
            <v>OCOR</v>
          </cell>
          <cell r="E1827" t="str">
            <v>OC25</v>
          </cell>
          <cell r="F1827">
            <v>3475</v>
          </cell>
          <cell r="G1827" t="str">
            <v>UD</v>
          </cell>
          <cell r="H1827" t="str">
            <v>USPUDMJEN</v>
          </cell>
          <cell r="I1827" t="str">
            <v>UDJEN1257H004</v>
          </cell>
          <cell r="J1827" t="str">
            <v>34</v>
          </cell>
          <cell r="K1827" t="str">
            <v>JEANS</v>
          </cell>
          <cell r="L1827" t="str">
            <v>NOD</v>
          </cell>
        </row>
        <row r="1828">
          <cell r="C1828" t="str">
            <v>UDJEN1257H</v>
          </cell>
          <cell r="D1828" t="str">
            <v>OCOR</v>
          </cell>
          <cell r="E1828" t="str">
            <v>OC25</v>
          </cell>
          <cell r="F1828">
            <v>3475</v>
          </cell>
          <cell r="G1828" t="str">
            <v>UD</v>
          </cell>
          <cell r="H1828" t="str">
            <v>USPUDMJEN</v>
          </cell>
          <cell r="I1828" t="str">
            <v>UDJEN1257H005</v>
          </cell>
          <cell r="J1828" t="str">
            <v>36</v>
          </cell>
          <cell r="K1828" t="str">
            <v>JEANS</v>
          </cell>
          <cell r="L1828" t="str">
            <v>NOD</v>
          </cell>
        </row>
        <row r="1829">
          <cell r="C1829" t="str">
            <v>UDJEN1257H</v>
          </cell>
          <cell r="D1829" t="str">
            <v>OCOR</v>
          </cell>
          <cell r="E1829" t="str">
            <v>OC25</v>
          </cell>
          <cell r="F1829">
            <v>3475</v>
          </cell>
          <cell r="G1829" t="str">
            <v>UD</v>
          </cell>
          <cell r="H1829" t="str">
            <v>USPUDMJEN</v>
          </cell>
          <cell r="I1829" t="str">
            <v>UDJEN1257H006</v>
          </cell>
          <cell r="J1829" t="str">
            <v>38</v>
          </cell>
          <cell r="K1829" t="str">
            <v>JEANS</v>
          </cell>
          <cell r="L1829" t="str">
            <v>NOD</v>
          </cell>
        </row>
        <row r="1830">
          <cell r="C1830" t="str">
            <v>UDJEN1257H</v>
          </cell>
          <cell r="D1830" t="str">
            <v>OCOR</v>
          </cell>
          <cell r="E1830" t="str">
            <v>OC25</v>
          </cell>
          <cell r="F1830">
            <v>3475</v>
          </cell>
          <cell r="G1830" t="str">
            <v>UD</v>
          </cell>
          <cell r="H1830" t="str">
            <v>USPUDMJEN</v>
          </cell>
          <cell r="I1830" t="str">
            <v>UDJEN1257H007</v>
          </cell>
          <cell r="J1830" t="str">
            <v>40</v>
          </cell>
          <cell r="K1830" t="str">
            <v>JEANS</v>
          </cell>
          <cell r="L1830" t="str">
            <v>NOD</v>
          </cell>
        </row>
        <row r="1831">
          <cell r="C1831" t="str">
            <v>UDJEN1257H</v>
          </cell>
          <cell r="D1831" t="str">
            <v>OCOR</v>
          </cell>
          <cell r="E1831" t="str">
            <v>OC25</v>
          </cell>
          <cell r="F1831">
            <v>3475</v>
          </cell>
          <cell r="G1831" t="str">
            <v>UD</v>
          </cell>
          <cell r="H1831" t="str">
            <v>USPUDMJEN</v>
          </cell>
          <cell r="I1831" t="str">
            <v>UDJEN1257H008</v>
          </cell>
          <cell r="J1831" t="str">
            <v>42</v>
          </cell>
          <cell r="K1831" t="str">
            <v>JEANS</v>
          </cell>
          <cell r="L1831" t="str">
            <v>NOD</v>
          </cell>
        </row>
        <row r="1832">
          <cell r="C1832" t="str">
            <v>UDJEN1257H</v>
          </cell>
          <cell r="D1832" t="str">
            <v>OCOR</v>
          </cell>
          <cell r="E1832" t="str">
            <v>OC25</v>
          </cell>
          <cell r="F1832">
            <v>3686</v>
          </cell>
          <cell r="G1832" t="str">
            <v>UD</v>
          </cell>
          <cell r="H1832" t="str">
            <v>USPUDMJEN</v>
          </cell>
          <cell r="I1832" t="str">
            <v>UDJEN1257H009</v>
          </cell>
          <cell r="J1832" t="str">
            <v>44</v>
          </cell>
          <cell r="K1832" t="str">
            <v>JEANS</v>
          </cell>
          <cell r="L1832" t="str">
            <v>NOD</v>
          </cell>
        </row>
        <row r="1833">
          <cell r="C1833" t="str">
            <v>UDJEN1257H</v>
          </cell>
          <cell r="D1833" t="str">
            <v>OCOR</v>
          </cell>
          <cell r="E1833" t="str">
            <v>OC25</v>
          </cell>
          <cell r="F1833">
            <v>3686</v>
          </cell>
          <cell r="G1833" t="str">
            <v>UD</v>
          </cell>
          <cell r="H1833" t="str">
            <v>USPUDMJEN</v>
          </cell>
          <cell r="I1833" t="str">
            <v>UDJEN1257H010</v>
          </cell>
          <cell r="J1833" t="str">
            <v>46</v>
          </cell>
          <cell r="K1833" t="str">
            <v>JEANS</v>
          </cell>
          <cell r="L1833" t="str">
            <v>NOD</v>
          </cell>
        </row>
        <row r="1834">
          <cell r="C1834" t="str">
            <v>UDJEN1257H</v>
          </cell>
          <cell r="D1834" t="str">
            <v>OCOR</v>
          </cell>
          <cell r="E1834" t="str">
            <v>OC25</v>
          </cell>
          <cell r="F1834">
            <v>3686</v>
          </cell>
          <cell r="G1834" t="str">
            <v>UD</v>
          </cell>
          <cell r="H1834" t="str">
            <v>USPUDMJEN</v>
          </cell>
          <cell r="I1834" t="str">
            <v>UDJEN1257H011</v>
          </cell>
          <cell r="J1834" t="str">
            <v>48</v>
          </cell>
          <cell r="K1834" t="str">
            <v>JEANS</v>
          </cell>
          <cell r="L1834" t="str">
            <v>NOD</v>
          </cell>
        </row>
        <row r="1835">
          <cell r="C1835" t="str">
            <v>UDJEN1258</v>
          </cell>
          <cell r="D1835" t="str">
            <v>OCOR</v>
          </cell>
          <cell r="E1835" t="str">
            <v>OC25</v>
          </cell>
          <cell r="F1835">
            <v>3475</v>
          </cell>
          <cell r="G1835" t="str">
            <v>UD</v>
          </cell>
          <cell r="H1835" t="str">
            <v>USPUDMJEN</v>
          </cell>
          <cell r="I1835" t="str">
            <v>UDJEN1258001</v>
          </cell>
          <cell r="J1835" t="str">
            <v>28</v>
          </cell>
          <cell r="K1835" t="str">
            <v>JEANS</v>
          </cell>
          <cell r="L1835" t="str">
            <v>NOD</v>
          </cell>
        </row>
        <row r="1836">
          <cell r="C1836" t="str">
            <v>UDJEN1258</v>
          </cell>
          <cell r="D1836" t="str">
            <v>OCOR</v>
          </cell>
          <cell r="E1836" t="str">
            <v>OC25</v>
          </cell>
          <cell r="F1836">
            <v>3475</v>
          </cell>
          <cell r="G1836" t="str">
            <v>UD</v>
          </cell>
          <cell r="H1836" t="str">
            <v>USPUDMJEN</v>
          </cell>
          <cell r="I1836" t="str">
            <v>UDJEN1258002</v>
          </cell>
          <cell r="J1836" t="str">
            <v>30</v>
          </cell>
          <cell r="K1836" t="str">
            <v>JEANS</v>
          </cell>
          <cell r="L1836" t="str">
            <v>NOD</v>
          </cell>
        </row>
        <row r="1837">
          <cell r="C1837" t="str">
            <v>UDJEN1258</v>
          </cell>
          <cell r="D1837" t="str">
            <v>OCOR</v>
          </cell>
          <cell r="E1837" t="str">
            <v>OC25</v>
          </cell>
          <cell r="F1837">
            <v>3475</v>
          </cell>
          <cell r="G1837" t="str">
            <v>UD</v>
          </cell>
          <cell r="H1837" t="str">
            <v>USPUDMJEN</v>
          </cell>
          <cell r="I1837" t="str">
            <v>UDJEN1258003</v>
          </cell>
          <cell r="J1837" t="str">
            <v>32</v>
          </cell>
          <cell r="K1837" t="str">
            <v>JEANS</v>
          </cell>
          <cell r="L1837" t="str">
            <v>NOD</v>
          </cell>
        </row>
        <row r="1838">
          <cell r="C1838" t="str">
            <v>UDJEN1258</v>
          </cell>
          <cell r="D1838" t="str">
            <v>OCOR</v>
          </cell>
          <cell r="E1838" t="str">
            <v>OC25</v>
          </cell>
          <cell r="F1838">
            <v>3475</v>
          </cell>
          <cell r="G1838" t="str">
            <v>UD</v>
          </cell>
          <cell r="H1838" t="str">
            <v>USPUDMJEN</v>
          </cell>
          <cell r="I1838" t="str">
            <v>UDJEN1258004</v>
          </cell>
          <cell r="J1838" t="str">
            <v>34</v>
          </cell>
          <cell r="K1838" t="str">
            <v>JEANS</v>
          </cell>
          <cell r="L1838" t="str">
            <v>NOD</v>
          </cell>
        </row>
        <row r="1839">
          <cell r="C1839" t="str">
            <v>UDJEN1258</v>
          </cell>
          <cell r="D1839" t="str">
            <v>OCOR</v>
          </cell>
          <cell r="E1839" t="str">
            <v>OC25</v>
          </cell>
          <cell r="F1839">
            <v>3475</v>
          </cell>
          <cell r="G1839" t="str">
            <v>UD</v>
          </cell>
          <cell r="H1839" t="str">
            <v>USPUDMJEN</v>
          </cell>
          <cell r="I1839" t="str">
            <v>UDJEN1258005</v>
          </cell>
          <cell r="J1839" t="str">
            <v>36</v>
          </cell>
          <cell r="K1839" t="str">
            <v>JEANS</v>
          </cell>
          <cell r="L1839" t="str">
            <v>NOD</v>
          </cell>
        </row>
        <row r="1840">
          <cell r="C1840" t="str">
            <v>UDJEN1258</v>
          </cell>
          <cell r="D1840" t="str">
            <v>OCOR</v>
          </cell>
          <cell r="E1840" t="str">
            <v>OC25</v>
          </cell>
          <cell r="F1840">
            <v>3475</v>
          </cell>
          <cell r="G1840" t="str">
            <v>UD</v>
          </cell>
          <cell r="H1840" t="str">
            <v>USPUDMJEN</v>
          </cell>
          <cell r="I1840" t="str">
            <v>UDJEN1258006</v>
          </cell>
          <cell r="J1840" t="str">
            <v>38</v>
          </cell>
          <cell r="K1840" t="str">
            <v>JEANS</v>
          </cell>
          <cell r="L1840" t="str">
            <v>NOD</v>
          </cell>
        </row>
        <row r="1841">
          <cell r="C1841" t="str">
            <v>UDJEN1258</v>
          </cell>
          <cell r="D1841" t="str">
            <v>OCOR</v>
          </cell>
          <cell r="E1841" t="str">
            <v>OC25</v>
          </cell>
          <cell r="F1841">
            <v>3475</v>
          </cell>
          <cell r="G1841" t="str">
            <v>UD</v>
          </cell>
          <cell r="H1841" t="str">
            <v>USPUDMJEN</v>
          </cell>
          <cell r="I1841" t="str">
            <v>UDJEN1258007</v>
          </cell>
          <cell r="J1841" t="str">
            <v>40</v>
          </cell>
          <cell r="K1841" t="str">
            <v>JEANS</v>
          </cell>
          <cell r="L1841" t="str">
            <v>NOD</v>
          </cell>
        </row>
        <row r="1842">
          <cell r="C1842" t="str">
            <v>UDJEN1258</v>
          </cell>
          <cell r="D1842" t="str">
            <v>OCOR</v>
          </cell>
          <cell r="E1842" t="str">
            <v>OC25</v>
          </cell>
          <cell r="F1842">
            <v>3475</v>
          </cell>
          <cell r="G1842" t="str">
            <v>UD</v>
          </cell>
          <cell r="H1842" t="str">
            <v>USPUDMJEN</v>
          </cell>
          <cell r="I1842" t="str">
            <v>UDJEN1258008</v>
          </cell>
          <cell r="J1842" t="str">
            <v>42</v>
          </cell>
          <cell r="K1842" t="str">
            <v>JEANS</v>
          </cell>
          <cell r="L1842" t="str">
            <v>NOD</v>
          </cell>
        </row>
        <row r="1843">
          <cell r="C1843" t="str">
            <v>UDJEN1258</v>
          </cell>
          <cell r="D1843" t="str">
            <v>OCOR</v>
          </cell>
          <cell r="E1843" t="str">
            <v>OC25</v>
          </cell>
          <cell r="F1843">
            <v>3686</v>
          </cell>
          <cell r="G1843" t="str">
            <v>UD</v>
          </cell>
          <cell r="H1843" t="str">
            <v>USPUDMJEN</v>
          </cell>
          <cell r="I1843" t="str">
            <v>UDJEN1258009</v>
          </cell>
          <cell r="J1843" t="str">
            <v>44</v>
          </cell>
          <cell r="K1843" t="str">
            <v>JEANS</v>
          </cell>
          <cell r="L1843" t="str">
            <v>NOD</v>
          </cell>
        </row>
        <row r="1844">
          <cell r="C1844" t="str">
            <v>UDJEN1258</v>
          </cell>
          <cell r="D1844" t="str">
            <v>OCOR</v>
          </cell>
          <cell r="E1844" t="str">
            <v>OC25</v>
          </cell>
          <cell r="F1844">
            <v>3686</v>
          </cell>
          <cell r="G1844" t="str">
            <v>UD</v>
          </cell>
          <cell r="H1844" t="str">
            <v>USPUDMJEN</v>
          </cell>
          <cell r="I1844" t="str">
            <v>UDJEN1258010</v>
          </cell>
          <cell r="J1844" t="str">
            <v>46</v>
          </cell>
          <cell r="K1844" t="str">
            <v>JEANS</v>
          </cell>
          <cell r="L1844" t="str">
            <v>NOD</v>
          </cell>
        </row>
        <row r="1845">
          <cell r="C1845" t="str">
            <v>UDJEN1258</v>
          </cell>
          <cell r="D1845" t="str">
            <v>OCOR</v>
          </cell>
          <cell r="E1845" t="str">
            <v>OC25</v>
          </cell>
          <cell r="F1845">
            <v>3686</v>
          </cell>
          <cell r="G1845" t="str">
            <v>UD</v>
          </cell>
          <cell r="H1845" t="str">
            <v>USPUDMJEN</v>
          </cell>
          <cell r="I1845" t="str">
            <v>UDJEN1258011</v>
          </cell>
          <cell r="J1845" t="str">
            <v>48</v>
          </cell>
          <cell r="K1845" t="str">
            <v>JEANS</v>
          </cell>
          <cell r="L1845" t="str">
            <v>NOD</v>
          </cell>
        </row>
        <row r="1846">
          <cell r="C1846" t="str">
            <v>UDJEN1258H</v>
          </cell>
          <cell r="D1846" t="str">
            <v>OCOR</v>
          </cell>
          <cell r="E1846" t="str">
            <v>OC25</v>
          </cell>
          <cell r="F1846">
            <v>3475</v>
          </cell>
          <cell r="G1846" t="str">
            <v>UD</v>
          </cell>
          <cell r="H1846" t="str">
            <v>USPUDMJEN</v>
          </cell>
          <cell r="I1846" t="str">
            <v>UDJEN1258H001</v>
          </cell>
          <cell r="J1846" t="str">
            <v>28</v>
          </cell>
          <cell r="K1846" t="str">
            <v>JEANS</v>
          </cell>
          <cell r="L1846" t="str">
            <v>NOD</v>
          </cell>
        </row>
        <row r="1847">
          <cell r="C1847" t="str">
            <v>UDJEN1258H</v>
          </cell>
          <cell r="D1847" t="str">
            <v>OCOR</v>
          </cell>
          <cell r="E1847" t="str">
            <v>OC25</v>
          </cell>
          <cell r="F1847">
            <v>3475</v>
          </cell>
          <cell r="G1847" t="str">
            <v>UD</v>
          </cell>
          <cell r="H1847" t="str">
            <v>USPUDMJEN</v>
          </cell>
          <cell r="I1847" t="str">
            <v>UDJEN1258H002</v>
          </cell>
          <cell r="J1847" t="str">
            <v>30</v>
          </cell>
          <cell r="K1847" t="str">
            <v>JEANS</v>
          </cell>
          <cell r="L1847" t="str">
            <v>NOD</v>
          </cell>
        </row>
        <row r="1848">
          <cell r="C1848" t="str">
            <v>UDJEN1258H</v>
          </cell>
          <cell r="D1848" t="str">
            <v>OCOR</v>
          </cell>
          <cell r="E1848" t="str">
            <v>OC25</v>
          </cell>
          <cell r="F1848">
            <v>3475</v>
          </cell>
          <cell r="G1848" t="str">
            <v>UD</v>
          </cell>
          <cell r="H1848" t="str">
            <v>USPUDMJEN</v>
          </cell>
          <cell r="I1848" t="str">
            <v>UDJEN1258H003</v>
          </cell>
          <cell r="J1848" t="str">
            <v>32</v>
          </cell>
          <cell r="K1848" t="str">
            <v>JEANS</v>
          </cell>
          <cell r="L1848" t="str">
            <v>NOD</v>
          </cell>
        </row>
        <row r="1849">
          <cell r="C1849" t="str">
            <v>UDJEN1258H</v>
          </cell>
          <cell r="D1849" t="str">
            <v>OCOR</v>
          </cell>
          <cell r="E1849" t="str">
            <v>OC25</v>
          </cell>
          <cell r="F1849">
            <v>3475</v>
          </cell>
          <cell r="G1849" t="str">
            <v>UD</v>
          </cell>
          <cell r="H1849" t="str">
            <v>USPUDMJEN</v>
          </cell>
          <cell r="I1849" t="str">
            <v>UDJEN1258H004</v>
          </cell>
          <cell r="J1849" t="str">
            <v>34</v>
          </cell>
          <cell r="K1849" t="str">
            <v>JEANS</v>
          </cell>
          <cell r="L1849" t="str">
            <v>NOD</v>
          </cell>
        </row>
        <row r="1850">
          <cell r="C1850" t="str">
            <v>UDJEN1258H</v>
          </cell>
          <cell r="D1850" t="str">
            <v>OCOR</v>
          </cell>
          <cell r="E1850" t="str">
            <v>OC25</v>
          </cell>
          <cell r="F1850">
            <v>3475</v>
          </cell>
          <cell r="G1850" t="str">
            <v>UD</v>
          </cell>
          <cell r="H1850" t="str">
            <v>USPUDMJEN</v>
          </cell>
          <cell r="I1850" t="str">
            <v>UDJEN1258H005</v>
          </cell>
          <cell r="J1850" t="str">
            <v>36</v>
          </cell>
          <cell r="K1850" t="str">
            <v>JEANS</v>
          </cell>
          <cell r="L1850" t="str">
            <v>NOD</v>
          </cell>
        </row>
        <row r="1851">
          <cell r="C1851" t="str">
            <v>UDJEN1258H</v>
          </cell>
          <cell r="D1851" t="str">
            <v>OCOR</v>
          </cell>
          <cell r="E1851" t="str">
            <v>OC25</v>
          </cell>
          <cell r="F1851">
            <v>3475</v>
          </cell>
          <cell r="G1851" t="str">
            <v>UD</v>
          </cell>
          <cell r="H1851" t="str">
            <v>USPUDMJEN</v>
          </cell>
          <cell r="I1851" t="str">
            <v>UDJEN1258H006</v>
          </cell>
          <cell r="J1851" t="str">
            <v>38</v>
          </cell>
          <cell r="K1851" t="str">
            <v>JEANS</v>
          </cell>
          <cell r="L1851" t="str">
            <v>NOD</v>
          </cell>
        </row>
        <row r="1852">
          <cell r="C1852" t="str">
            <v>UDJEN1258H</v>
          </cell>
          <cell r="D1852" t="str">
            <v>OCOR</v>
          </cell>
          <cell r="E1852" t="str">
            <v>OC25</v>
          </cell>
          <cell r="F1852">
            <v>3475</v>
          </cell>
          <cell r="G1852" t="str">
            <v>UD</v>
          </cell>
          <cell r="H1852" t="str">
            <v>USPUDMJEN</v>
          </cell>
          <cell r="I1852" t="str">
            <v>UDJEN1258H007</v>
          </cell>
          <cell r="J1852" t="str">
            <v>40</v>
          </cell>
          <cell r="K1852" t="str">
            <v>JEANS</v>
          </cell>
          <cell r="L1852" t="str">
            <v>NOD</v>
          </cell>
        </row>
        <row r="1853">
          <cell r="C1853" t="str">
            <v>UDJEN1258H</v>
          </cell>
          <cell r="D1853" t="str">
            <v>OCOR</v>
          </cell>
          <cell r="E1853" t="str">
            <v>OC25</v>
          </cell>
          <cell r="F1853">
            <v>3475</v>
          </cell>
          <cell r="G1853" t="str">
            <v>UD</v>
          </cell>
          <cell r="H1853" t="str">
            <v>USPUDMJEN</v>
          </cell>
          <cell r="I1853" t="str">
            <v>UDJEN1258H008</v>
          </cell>
          <cell r="J1853" t="str">
            <v>42</v>
          </cell>
          <cell r="K1853" t="str">
            <v>JEANS</v>
          </cell>
          <cell r="L1853" t="str">
            <v>NOD</v>
          </cell>
        </row>
        <row r="1854">
          <cell r="C1854" t="str">
            <v>UDJEN1258H</v>
          </cell>
          <cell r="D1854" t="str">
            <v>OCOR</v>
          </cell>
          <cell r="E1854" t="str">
            <v>OC25</v>
          </cell>
          <cell r="F1854">
            <v>3686</v>
          </cell>
          <cell r="G1854" t="str">
            <v>UD</v>
          </cell>
          <cell r="H1854" t="str">
            <v>USPUDMJEN</v>
          </cell>
          <cell r="I1854" t="str">
            <v>UDJEN1258H009</v>
          </cell>
          <cell r="J1854" t="str">
            <v>44</v>
          </cell>
          <cell r="K1854" t="str">
            <v>JEANS</v>
          </cell>
          <cell r="L1854" t="str">
            <v>NOD</v>
          </cell>
        </row>
        <row r="1855">
          <cell r="C1855" t="str">
            <v>UDJEN1258H</v>
          </cell>
          <cell r="D1855" t="str">
            <v>OCOR</v>
          </cell>
          <cell r="E1855" t="str">
            <v>OC25</v>
          </cell>
          <cell r="F1855">
            <v>3686</v>
          </cell>
          <cell r="G1855" t="str">
            <v>UD</v>
          </cell>
          <cell r="H1855" t="str">
            <v>USPUDMJEN</v>
          </cell>
          <cell r="I1855" t="str">
            <v>UDJEN1258H010</v>
          </cell>
          <cell r="J1855" t="str">
            <v>46</v>
          </cell>
          <cell r="K1855" t="str">
            <v>JEANS</v>
          </cell>
          <cell r="L1855" t="str">
            <v>NOD</v>
          </cell>
        </row>
        <row r="1856">
          <cell r="C1856" t="str">
            <v>UDJEN1258H</v>
          </cell>
          <cell r="D1856" t="str">
            <v>OCOR</v>
          </cell>
          <cell r="E1856" t="str">
            <v>OC25</v>
          </cell>
          <cell r="F1856">
            <v>3686</v>
          </cell>
          <cell r="G1856" t="str">
            <v>UD</v>
          </cell>
          <cell r="H1856" t="str">
            <v>USPUDMJEN</v>
          </cell>
          <cell r="I1856" t="str">
            <v>UDJEN1258H011</v>
          </cell>
          <cell r="J1856" t="str">
            <v>48</v>
          </cell>
          <cell r="K1856" t="str">
            <v>JEANS</v>
          </cell>
          <cell r="L1856" t="str">
            <v>NOD</v>
          </cell>
        </row>
        <row r="1857">
          <cell r="C1857" t="str">
            <v>UDJEN1299</v>
          </cell>
          <cell r="D1857" t="str">
            <v>OCOR</v>
          </cell>
          <cell r="E1857" t="str">
            <v>OC25</v>
          </cell>
          <cell r="F1857">
            <v>4213</v>
          </cell>
          <cell r="G1857" t="str">
            <v>UD</v>
          </cell>
          <cell r="H1857" t="str">
            <v>USPUDMJEN</v>
          </cell>
          <cell r="I1857" t="str">
            <v>UDJEN1299001</v>
          </cell>
          <cell r="J1857" t="str">
            <v>28</v>
          </cell>
          <cell r="K1857" t="str">
            <v>JEANS</v>
          </cell>
          <cell r="L1857" t="str">
            <v>NOD</v>
          </cell>
        </row>
        <row r="1858">
          <cell r="C1858" t="str">
            <v>UDJEN1299</v>
          </cell>
          <cell r="D1858" t="str">
            <v>OCOR</v>
          </cell>
          <cell r="E1858" t="str">
            <v>OC25</v>
          </cell>
          <cell r="F1858">
            <v>4213</v>
          </cell>
          <cell r="G1858" t="str">
            <v>UD</v>
          </cell>
          <cell r="H1858" t="str">
            <v>USPUDMJEN</v>
          </cell>
          <cell r="I1858" t="str">
            <v>UDJEN1299002</v>
          </cell>
          <cell r="J1858" t="str">
            <v>30</v>
          </cell>
          <cell r="K1858" t="str">
            <v>JEANS</v>
          </cell>
          <cell r="L1858" t="str">
            <v>NOD</v>
          </cell>
        </row>
        <row r="1859">
          <cell r="C1859" t="str">
            <v>UDJEN1299</v>
          </cell>
          <cell r="D1859" t="str">
            <v>OCOR</v>
          </cell>
          <cell r="E1859" t="str">
            <v>OC25</v>
          </cell>
          <cell r="F1859">
            <v>4213</v>
          </cell>
          <cell r="G1859" t="str">
            <v>UD</v>
          </cell>
          <cell r="H1859" t="str">
            <v>USPUDMJEN</v>
          </cell>
          <cell r="I1859" t="str">
            <v>UDJEN1299003</v>
          </cell>
          <cell r="J1859" t="str">
            <v>32</v>
          </cell>
          <cell r="K1859" t="str">
            <v>JEANS</v>
          </cell>
          <cell r="L1859" t="str">
            <v>NOD</v>
          </cell>
        </row>
        <row r="1860">
          <cell r="C1860" t="str">
            <v>UDJEN1299</v>
          </cell>
          <cell r="D1860" t="str">
            <v>OCOR</v>
          </cell>
          <cell r="E1860" t="str">
            <v>OC25</v>
          </cell>
          <cell r="F1860">
            <v>4213</v>
          </cell>
          <cell r="G1860" t="str">
            <v>UD</v>
          </cell>
          <cell r="H1860" t="str">
            <v>USPUDMJEN</v>
          </cell>
          <cell r="I1860" t="str">
            <v>UDJEN1299004</v>
          </cell>
          <cell r="J1860" t="str">
            <v>34</v>
          </cell>
          <cell r="K1860" t="str">
            <v>JEANS</v>
          </cell>
          <cell r="L1860" t="str">
            <v>NOD</v>
          </cell>
        </row>
        <row r="1861">
          <cell r="C1861" t="str">
            <v>UDJEN1299</v>
          </cell>
          <cell r="D1861" t="str">
            <v>OCOR</v>
          </cell>
          <cell r="E1861" t="str">
            <v>OC25</v>
          </cell>
          <cell r="F1861">
            <v>4213</v>
          </cell>
          <cell r="G1861" t="str">
            <v>UD</v>
          </cell>
          <cell r="H1861" t="str">
            <v>USPUDMJEN</v>
          </cell>
          <cell r="I1861" t="str">
            <v>UDJEN1299005</v>
          </cell>
          <cell r="J1861" t="str">
            <v>36</v>
          </cell>
          <cell r="K1861" t="str">
            <v>JEANS</v>
          </cell>
          <cell r="L1861" t="str">
            <v>NOD</v>
          </cell>
        </row>
        <row r="1862">
          <cell r="C1862" t="str">
            <v>UDJEN1299</v>
          </cell>
          <cell r="D1862" t="str">
            <v>OCOR</v>
          </cell>
          <cell r="E1862" t="str">
            <v>OC25</v>
          </cell>
          <cell r="F1862">
            <v>4213</v>
          </cell>
          <cell r="G1862" t="str">
            <v>UD</v>
          </cell>
          <cell r="H1862" t="str">
            <v>USPUDMJEN</v>
          </cell>
          <cell r="I1862" t="str">
            <v>UDJEN1299006</v>
          </cell>
          <cell r="J1862" t="str">
            <v>38</v>
          </cell>
          <cell r="K1862" t="str">
            <v>JEANS</v>
          </cell>
          <cell r="L1862" t="str">
            <v>NOD</v>
          </cell>
        </row>
        <row r="1863">
          <cell r="C1863" t="str">
            <v>UDJEN1299</v>
          </cell>
          <cell r="D1863" t="str">
            <v>OCOR</v>
          </cell>
          <cell r="E1863" t="str">
            <v>OC25</v>
          </cell>
          <cell r="F1863">
            <v>4213</v>
          </cell>
          <cell r="G1863" t="str">
            <v>UD</v>
          </cell>
          <cell r="H1863" t="str">
            <v>USPUDMJEN</v>
          </cell>
          <cell r="I1863" t="str">
            <v>UDJEN1299007</v>
          </cell>
          <cell r="J1863" t="str">
            <v>40</v>
          </cell>
          <cell r="K1863" t="str">
            <v>JEANS</v>
          </cell>
          <cell r="L1863" t="str">
            <v>NOD</v>
          </cell>
        </row>
        <row r="1864">
          <cell r="C1864" t="str">
            <v>UDJEN1299</v>
          </cell>
          <cell r="D1864" t="str">
            <v>OCOR</v>
          </cell>
          <cell r="E1864" t="str">
            <v>OC25</v>
          </cell>
          <cell r="F1864">
            <v>4213</v>
          </cell>
          <cell r="G1864" t="str">
            <v>UD</v>
          </cell>
          <cell r="H1864" t="str">
            <v>USPUDMJEN</v>
          </cell>
          <cell r="I1864" t="str">
            <v>UDJEN1299008</v>
          </cell>
          <cell r="J1864" t="str">
            <v>42</v>
          </cell>
          <cell r="K1864" t="str">
            <v>JEANS</v>
          </cell>
          <cell r="L1864" t="str">
            <v>NOD</v>
          </cell>
        </row>
        <row r="1865">
          <cell r="C1865" t="str">
            <v>UDJEN1299</v>
          </cell>
          <cell r="D1865" t="str">
            <v>OCOR</v>
          </cell>
          <cell r="E1865" t="str">
            <v>OC25</v>
          </cell>
          <cell r="F1865">
            <v>4423</v>
          </cell>
          <cell r="G1865" t="str">
            <v>UD</v>
          </cell>
          <cell r="H1865" t="str">
            <v>USPUDMJEN</v>
          </cell>
          <cell r="I1865" t="str">
            <v>UDJEN1299009</v>
          </cell>
          <cell r="J1865" t="str">
            <v>44</v>
          </cell>
          <cell r="K1865" t="str">
            <v>JEANS</v>
          </cell>
          <cell r="L1865" t="str">
            <v>NOD</v>
          </cell>
        </row>
        <row r="1866">
          <cell r="C1866" t="str">
            <v>UDJEN1299</v>
          </cell>
          <cell r="D1866" t="str">
            <v>OCOR</v>
          </cell>
          <cell r="E1866" t="str">
            <v>OC25</v>
          </cell>
          <cell r="F1866">
            <v>4423</v>
          </cell>
          <cell r="G1866" t="str">
            <v>UD</v>
          </cell>
          <cell r="H1866" t="str">
            <v>USPUDMJEN</v>
          </cell>
          <cell r="I1866" t="str">
            <v>UDJEN1299010</v>
          </cell>
          <cell r="J1866" t="str">
            <v>46</v>
          </cell>
          <cell r="K1866" t="str">
            <v>JEANS</v>
          </cell>
          <cell r="L1866" t="str">
            <v>NOD</v>
          </cell>
        </row>
        <row r="1867">
          <cell r="C1867" t="str">
            <v>UDJEN1299</v>
          </cell>
          <cell r="D1867" t="str">
            <v>OCOR</v>
          </cell>
          <cell r="E1867" t="str">
            <v>OC25</v>
          </cell>
          <cell r="F1867">
            <v>4423</v>
          </cell>
          <cell r="G1867" t="str">
            <v>UD</v>
          </cell>
          <cell r="H1867" t="str">
            <v>USPUDMJEN</v>
          </cell>
          <cell r="I1867" t="str">
            <v>UDJEN1299011</v>
          </cell>
          <cell r="J1867" t="str">
            <v>48</v>
          </cell>
          <cell r="K1867" t="str">
            <v>JEANS</v>
          </cell>
          <cell r="L1867" t="str">
            <v>NOD</v>
          </cell>
        </row>
        <row r="1868">
          <cell r="C1868" t="str">
            <v>UDJEN1342</v>
          </cell>
          <cell r="D1868" t="str">
            <v>OCOR</v>
          </cell>
          <cell r="E1868" t="str">
            <v>OC25</v>
          </cell>
          <cell r="F1868">
            <v>3475</v>
          </cell>
          <cell r="G1868" t="str">
            <v>UD</v>
          </cell>
          <cell r="H1868" t="str">
            <v>USPUDMJEN</v>
          </cell>
          <cell r="I1868" t="str">
            <v>UDJEN1342001</v>
          </cell>
          <cell r="J1868" t="str">
            <v>28</v>
          </cell>
          <cell r="K1868" t="str">
            <v>JEANS</v>
          </cell>
          <cell r="L1868" t="str">
            <v>NOD</v>
          </cell>
        </row>
        <row r="1869">
          <cell r="C1869" t="str">
            <v>UDJEN1342</v>
          </cell>
          <cell r="D1869" t="str">
            <v>OCOR</v>
          </cell>
          <cell r="E1869" t="str">
            <v>OC25</v>
          </cell>
          <cell r="F1869">
            <v>3475</v>
          </cell>
          <cell r="G1869" t="str">
            <v>UD</v>
          </cell>
          <cell r="H1869" t="str">
            <v>USPUDMJEN</v>
          </cell>
          <cell r="I1869" t="str">
            <v>UDJEN1342002</v>
          </cell>
          <cell r="J1869" t="str">
            <v>30</v>
          </cell>
          <cell r="K1869" t="str">
            <v>JEANS</v>
          </cell>
          <cell r="L1869" t="str">
            <v>NOD</v>
          </cell>
        </row>
        <row r="1870">
          <cell r="C1870" t="str">
            <v>UDJEN1342</v>
          </cell>
          <cell r="D1870" t="str">
            <v>OCOR</v>
          </cell>
          <cell r="E1870" t="str">
            <v>OC25</v>
          </cell>
          <cell r="F1870">
            <v>3475</v>
          </cell>
          <cell r="G1870" t="str">
            <v>UD</v>
          </cell>
          <cell r="H1870" t="str">
            <v>USPUDMJEN</v>
          </cell>
          <cell r="I1870" t="str">
            <v>UDJEN1342003</v>
          </cell>
          <cell r="J1870" t="str">
            <v>32</v>
          </cell>
          <cell r="K1870" t="str">
            <v>JEANS</v>
          </cell>
          <cell r="L1870" t="str">
            <v>NOD</v>
          </cell>
        </row>
        <row r="1871">
          <cell r="C1871" t="str">
            <v>UDJEN1342</v>
          </cell>
          <cell r="D1871" t="str">
            <v>OCOR</v>
          </cell>
          <cell r="E1871" t="str">
            <v>OC25</v>
          </cell>
          <cell r="F1871">
            <v>3475</v>
          </cell>
          <cell r="G1871" t="str">
            <v>UD</v>
          </cell>
          <cell r="H1871" t="str">
            <v>USPUDMJEN</v>
          </cell>
          <cell r="I1871" t="str">
            <v>UDJEN1342004</v>
          </cell>
          <cell r="J1871" t="str">
            <v>34</v>
          </cell>
          <cell r="K1871" t="str">
            <v>JEANS</v>
          </cell>
          <cell r="L1871" t="str">
            <v>NOD</v>
          </cell>
        </row>
        <row r="1872">
          <cell r="C1872" t="str">
            <v>UDJEN1342</v>
          </cell>
          <cell r="D1872" t="str">
            <v>OCOR</v>
          </cell>
          <cell r="E1872" t="str">
            <v>OC25</v>
          </cell>
          <cell r="F1872">
            <v>3475</v>
          </cell>
          <cell r="G1872" t="str">
            <v>UD</v>
          </cell>
          <cell r="H1872" t="str">
            <v>USPUDMJEN</v>
          </cell>
          <cell r="I1872" t="str">
            <v>UDJEN1342005</v>
          </cell>
          <cell r="J1872" t="str">
            <v>36</v>
          </cell>
          <cell r="K1872" t="str">
            <v>JEANS</v>
          </cell>
          <cell r="L1872" t="str">
            <v>NOD</v>
          </cell>
        </row>
        <row r="1873">
          <cell r="C1873" t="str">
            <v>UDJEN1342</v>
          </cell>
          <cell r="D1873" t="str">
            <v>OCOR</v>
          </cell>
          <cell r="E1873" t="str">
            <v>OC25</v>
          </cell>
          <cell r="F1873">
            <v>3475</v>
          </cell>
          <cell r="G1873" t="str">
            <v>UD</v>
          </cell>
          <cell r="H1873" t="str">
            <v>USPUDMJEN</v>
          </cell>
          <cell r="I1873" t="str">
            <v>UDJEN1342006</v>
          </cell>
          <cell r="J1873" t="str">
            <v>38</v>
          </cell>
          <cell r="K1873" t="str">
            <v>JEANS</v>
          </cell>
          <cell r="L1873" t="str">
            <v>NOD</v>
          </cell>
        </row>
        <row r="1874">
          <cell r="C1874" t="str">
            <v>UDJEN1342</v>
          </cell>
          <cell r="D1874" t="str">
            <v>OCOR</v>
          </cell>
          <cell r="E1874" t="str">
            <v>OC25</v>
          </cell>
          <cell r="F1874">
            <v>3475</v>
          </cell>
          <cell r="G1874" t="str">
            <v>UD</v>
          </cell>
          <cell r="H1874" t="str">
            <v>USPUDMJEN</v>
          </cell>
          <cell r="I1874" t="str">
            <v>UDJEN1342007</v>
          </cell>
          <cell r="J1874" t="str">
            <v>40</v>
          </cell>
          <cell r="K1874" t="str">
            <v>JEANS</v>
          </cell>
          <cell r="L1874" t="str">
            <v>NOD</v>
          </cell>
        </row>
        <row r="1875">
          <cell r="C1875" t="str">
            <v>UDJEN1342</v>
          </cell>
          <cell r="D1875" t="str">
            <v>OCOR</v>
          </cell>
          <cell r="E1875" t="str">
            <v>OC25</v>
          </cell>
          <cell r="F1875">
            <v>3475</v>
          </cell>
          <cell r="G1875" t="str">
            <v>UD</v>
          </cell>
          <cell r="H1875" t="str">
            <v>USPUDMJEN</v>
          </cell>
          <cell r="I1875" t="str">
            <v>UDJEN1342008</v>
          </cell>
          <cell r="J1875" t="str">
            <v>42</v>
          </cell>
          <cell r="K1875" t="str">
            <v>JEANS</v>
          </cell>
          <cell r="L1875" t="str">
            <v>NOD</v>
          </cell>
        </row>
        <row r="1876">
          <cell r="C1876" t="str">
            <v>UDJEN1342</v>
          </cell>
          <cell r="D1876" t="str">
            <v>OCOR</v>
          </cell>
          <cell r="E1876" t="str">
            <v>OC25</v>
          </cell>
          <cell r="F1876">
            <v>3686</v>
          </cell>
          <cell r="G1876" t="str">
            <v>UD</v>
          </cell>
          <cell r="H1876" t="str">
            <v>USPUDMJEN</v>
          </cell>
          <cell r="I1876" t="str">
            <v>UDJEN1342009</v>
          </cell>
          <cell r="J1876" t="str">
            <v>44</v>
          </cell>
          <cell r="K1876" t="str">
            <v>JEANS</v>
          </cell>
          <cell r="L1876" t="str">
            <v>NOD</v>
          </cell>
        </row>
        <row r="1877">
          <cell r="C1877" t="str">
            <v>UDJEN1342</v>
          </cell>
          <cell r="D1877" t="str">
            <v>OCOR</v>
          </cell>
          <cell r="E1877" t="str">
            <v>OC25</v>
          </cell>
          <cell r="F1877">
            <v>3686</v>
          </cell>
          <cell r="G1877" t="str">
            <v>UD</v>
          </cell>
          <cell r="H1877" t="str">
            <v>USPUDMJEN</v>
          </cell>
          <cell r="I1877" t="str">
            <v>UDJEN1342010</v>
          </cell>
          <cell r="J1877" t="str">
            <v>46</v>
          </cell>
          <cell r="K1877" t="str">
            <v>JEANS</v>
          </cell>
          <cell r="L1877" t="str">
            <v>NOD</v>
          </cell>
        </row>
        <row r="1878">
          <cell r="C1878" t="str">
            <v>UDJEN1342</v>
          </cell>
          <cell r="D1878" t="str">
            <v>OCOR</v>
          </cell>
          <cell r="E1878" t="str">
            <v>OC25</v>
          </cell>
          <cell r="F1878">
            <v>3686</v>
          </cell>
          <cell r="G1878" t="str">
            <v>UD</v>
          </cell>
          <cell r="H1878" t="str">
            <v>USPUDMJEN</v>
          </cell>
          <cell r="I1878" t="str">
            <v>UDJEN1342011</v>
          </cell>
          <cell r="J1878" t="str">
            <v>48</v>
          </cell>
          <cell r="K1878" t="str">
            <v>JEANS</v>
          </cell>
          <cell r="L1878" t="str">
            <v>NOD</v>
          </cell>
        </row>
        <row r="1879">
          <cell r="C1879" t="str">
            <v>UDJEN1356</v>
          </cell>
          <cell r="D1879" t="str">
            <v>OCOR</v>
          </cell>
          <cell r="E1879" t="str">
            <v>OC25</v>
          </cell>
          <cell r="F1879">
            <v>3686</v>
          </cell>
          <cell r="G1879" t="str">
            <v>UD</v>
          </cell>
          <cell r="H1879" t="str">
            <v>USPUDMJEN</v>
          </cell>
          <cell r="I1879" t="str">
            <v>UDJEN1356001</v>
          </cell>
          <cell r="J1879" t="str">
            <v>28</v>
          </cell>
          <cell r="K1879" t="str">
            <v>JEANS</v>
          </cell>
          <cell r="L1879" t="str">
            <v>NOD</v>
          </cell>
        </row>
        <row r="1880">
          <cell r="C1880" t="str">
            <v>UDJEN1356</v>
          </cell>
          <cell r="D1880" t="str">
            <v>OCOR</v>
          </cell>
          <cell r="E1880" t="str">
            <v>OC25</v>
          </cell>
          <cell r="F1880">
            <v>3686</v>
          </cell>
          <cell r="G1880" t="str">
            <v>UD</v>
          </cell>
          <cell r="H1880" t="str">
            <v>USPUDMJEN</v>
          </cell>
          <cell r="I1880" t="str">
            <v>UDJEN1356002</v>
          </cell>
          <cell r="J1880" t="str">
            <v>30</v>
          </cell>
          <cell r="K1880" t="str">
            <v>JEANS</v>
          </cell>
          <cell r="L1880" t="str">
            <v>NOD</v>
          </cell>
        </row>
        <row r="1881">
          <cell r="C1881" t="str">
            <v>UDJEN1356</v>
          </cell>
          <cell r="D1881" t="str">
            <v>OCOR</v>
          </cell>
          <cell r="E1881" t="str">
            <v>OC25</v>
          </cell>
          <cell r="F1881">
            <v>3686</v>
          </cell>
          <cell r="G1881" t="str">
            <v>UD</v>
          </cell>
          <cell r="H1881" t="str">
            <v>USPUDMJEN</v>
          </cell>
          <cell r="I1881" t="str">
            <v>UDJEN1356003</v>
          </cell>
          <cell r="J1881" t="str">
            <v>32</v>
          </cell>
          <cell r="K1881" t="str">
            <v>JEANS</v>
          </cell>
          <cell r="L1881" t="str">
            <v>NOD</v>
          </cell>
        </row>
        <row r="1882">
          <cell r="C1882" t="str">
            <v>UDJEN1356</v>
          </cell>
          <cell r="D1882" t="str">
            <v>OCOR</v>
          </cell>
          <cell r="E1882" t="str">
            <v>OC25</v>
          </cell>
          <cell r="F1882">
            <v>3686</v>
          </cell>
          <cell r="G1882" t="str">
            <v>UD</v>
          </cell>
          <cell r="H1882" t="str">
            <v>USPUDMJEN</v>
          </cell>
          <cell r="I1882" t="str">
            <v>UDJEN1356004</v>
          </cell>
          <cell r="J1882" t="str">
            <v>34</v>
          </cell>
          <cell r="K1882" t="str">
            <v>JEANS</v>
          </cell>
          <cell r="L1882" t="str">
            <v>NOD</v>
          </cell>
        </row>
        <row r="1883">
          <cell r="C1883" t="str">
            <v>UDJEN1356</v>
          </cell>
          <cell r="D1883" t="str">
            <v>OCOR</v>
          </cell>
          <cell r="E1883" t="str">
            <v>OC25</v>
          </cell>
          <cell r="F1883">
            <v>3686</v>
          </cell>
          <cell r="G1883" t="str">
            <v>UD</v>
          </cell>
          <cell r="H1883" t="str">
            <v>USPUDMJEN</v>
          </cell>
          <cell r="I1883" t="str">
            <v>UDJEN1356005</v>
          </cell>
          <cell r="J1883" t="str">
            <v>36</v>
          </cell>
          <cell r="K1883" t="str">
            <v>JEANS</v>
          </cell>
          <cell r="L1883" t="str">
            <v>NOD</v>
          </cell>
        </row>
        <row r="1884">
          <cell r="C1884" t="str">
            <v>UDJEN1356</v>
          </cell>
          <cell r="D1884" t="str">
            <v>OCOR</v>
          </cell>
          <cell r="E1884" t="str">
            <v>OC25</v>
          </cell>
          <cell r="F1884">
            <v>3686</v>
          </cell>
          <cell r="G1884" t="str">
            <v>UD</v>
          </cell>
          <cell r="H1884" t="str">
            <v>USPUDMJEN</v>
          </cell>
          <cell r="I1884" t="str">
            <v>UDJEN1356006</v>
          </cell>
          <cell r="J1884" t="str">
            <v>38</v>
          </cell>
          <cell r="K1884" t="str">
            <v>JEANS</v>
          </cell>
          <cell r="L1884" t="str">
            <v>NOD</v>
          </cell>
        </row>
        <row r="1885">
          <cell r="C1885" t="str">
            <v>UDJEN1356</v>
          </cell>
          <cell r="D1885" t="str">
            <v>OCOR</v>
          </cell>
          <cell r="E1885" t="str">
            <v>OC25</v>
          </cell>
          <cell r="F1885">
            <v>3686</v>
          </cell>
          <cell r="G1885" t="str">
            <v>UD</v>
          </cell>
          <cell r="H1885" t="str">
            <v>USPUDMJEN</v>
          </cell>
          <cell r="I1885" t="str">
            <v>UDJEN1356007</v>
          </cell>
          <cell r="J1885" t="str">
            <v>40</v>
          </cell>
          <cell r="K1885" t="str">
            <v>JEANS</v>
          </cell>
          <cell r="L1885" t="str">
            <v>NOD</v>
          </cell>
        </row>
        <row r="1886">
          <cell r="C1886" t="str">
            <v>UDJEN1356</v>
          </cell>
          <cell r="D1886" t="str">
            <v>OCOR</v>
          </cell>
          <cell r="E1886" t="str">
            <v>OC25</v>
          </cell>
          <cell r="F1886">
            <v>3686</v>
          </cell>
          <cell r="G1886" t="str">
            <v>UD</v>
          </cell>
          <cell r="H1886" t="str">
            <v>USPUDMJEN</v>
          </cell>
          <cell r="I1886" t="str">
            <v>UDJEN1356008</v>
          </cell>
          <cell r="J1886" t="str">
            <v>42</v>
          </cell>
          <cell r="K1886" t="str">
            <v>JEANS</v>
          </cell>
          <cell r="L1886" t="str">
            <v>NOD</v>
          </cell>
        </row>
        <row r="1887">
          <cell r="C1887" t="str">
            <v>UDJEN1356</v>
          </cell>
          <cell r="D1887" t="str">
            <v>OCOR</v>
          </cell>
          <cell r="E1887" t="str">
            <v>OC25</v>
          </cell>
          <cell r="F1887">
            <v>3897</v>
          </cell>
          <cell r="G1887" t="str">
            <v>UD</v>
          </cell>
          <cell r="H1887" t="str">
            <v>USPUDMJEN</v>
          </cell>
          <cell r="I1887" t="str">
            <v>UDJEN1356009</v>
          </cell>
          <cell r="J1887" t="str">
            <v>44</v>
          </cell>
          <cell r="K1887" t="str">
            <v>JEANS</v>
          </cell>
          <cell r="L1887" t="str">
            <v>NOD</v>
          </cell>
        </row>
        <row r="1888">
          <cell r="C1888" t="str">
            <v>UDJEN1356</v>
          </cell>
          <cell r="D1888" t="str">
            <v>OCOR</v>
          </cell>
          <cell r="E1888" t="str">
            <v>OC25</v>
          </cell>
          <cell r="F1888">
            <v>3897</v>
          </cell>
          <cell r="G1888" t="str">
            <v>UD</v>
          </cell>
          <cell r="H1888" t="str">
            <v>USPUDMJEN</v>
          </cell>
          <cell r="I1888" t="str">
            <v>UDJEN1356010</v>
          </cell>
          <cell r="J1888" t="str">
            <v>46</v>
          </cell>
          <cell r="K1888" t="str">
            <v>JEANS</v>
          </cell>
          <cell r="L1888" t="str">
            <v>NOD</v>
          </cell>
        </row>
        <row r="1889">
          <cell r="C1889" t="str">
            <v>UDJEN1356</v>
          </cell>
          <cell r="D1889" t="str">
            <v>OCOR</v>
          </cell>
          <cell r="E1889" t="str">
            <v>OC25</v>
          </cell>
          <cell r="F1889">
            <v>3897</v>
          </cell>
          <cell r="G1889" t="str">
            <v>UD</v>
          </cell>
          <cell r="H1889" t="str">
            <v>USPUDMJEN</v>
          </cell>
          <cell r="I1889" t="str">
            <v>UDJEN1356011</v>
          </cell>
          <cell r="J1889" t="str">
            <v>48</v>
          </cell>
          <cell r="K1889" t="str">
            <v>JEANS</v>
          </cell>
          <cell r="L1889" t="str">
            <v>NOD</v>
          </cell>
        </row>
        <row r="1890">
          <cell r="C1890" t="str">
            <v>UDJEN1356H</v>
          </cell>
          <cell r="D1890" t="str">
            <v>OCOR</v>
          </cell>
          <cell r="E1890" t="str">
            <v>OC25</v>
          </cell>
          <cell r="F1890">
            <v>3686</v>
          </cell>
          <cell r="G1890" t="str">
            <v>UD</v>
          </cell>
          <cell r="H1890" t="str">
            <v>USPUDMJEN</v>
          </cell>
          <cell r="I1890" t="str">
            <v>UDJEN1356H001</v>
          </cell>
          <cell r="J1890" t="str">
            <v>28</v>
          </cell>
          <cell r="K1890" t="str">
            <v>JEANS</v>
          </cell>
          <cell r="L1890" t="str">
            <v>NOD</v>
          </cell>
        </row>
        <row r="1891">
          <cell r="C1891" t="str">
            <v>UDJEN1356H</v>
          </cell>
          <cell r="D1891" t="str">
            <v>OCOR</v>
          </cell>
          <cell r="E1891" t="str">
            <v>OC25</v>
          </cell>
          <cell r="F1891">
            <v>3686</v>
          </cell>
          <cell r="G1891" t="str">
            <v>UD</v>
          </cell>
          <cell r="H1891" t="str">
            <v>USPUDMJEN</v>
          </cell>
          <cell r="I1891" t="str">
            <v>UDJEN1356H002</v>
          </cell>
          <cell r="J1891" t="str">
            <v>30</v>
          </cell>
          <cell r="K1891" t="str">
            <v>JEANS</v>
          </cell>
          <cell r="L1891" t="str">
            <v>NOD</v>
          </cell>
        </row>
        <row r="1892">
          <cell r="C1892" t="str">
            <v>UDJEN1356H</v>
          </cell>
          <cell r="D1892" t="str">
            <v>OCOR</v>
          </cell>
          <cell r="E1892" t="str">
            <v>OC25</v>
          </cell>
          <cell r="F1892">
            <v>3686</v>
          </cell>
          <cell r="G1892" t="str">
            <v>UD</v>
          </cell>
          <cell r="H1892" t="str">
            <v>USPUDMJEN</v>
          </cell>
          <cell r="I1892" t="str">
            <v>UDJEN1356H003</v>
          </cell>
          <cell r="J1892" t="str">
            <v>32</v>
          </cell>
          <cell r="K1892" t="str">
            <v>JEANS</v>
          </cell>
          <cell r="L1892" t="str">
            <v>NOD</v>
          </cell>
        </row>
        <row r="1893">
          <cell r="C1893" t="str">
            <v>UDJEN1356H</v>
          </cell>
          <cell r="D1893" t="str">
            <v>OCOR</v>
          </cell>
          <cell r="E1893" t="str">
            <v>OC25</v>
          </cell>
          <cell r="F1893">
            <v>3686</v>
          </cell>
          <cell r="G1893" t="str">
            <v>UD</v>
          </cell>
          <cell r="H1893" t="str">
            <v>USPUDMJEN</v>
          </cell>
          <cell r="I1893" t="str">
            <v>UDJEN1356H004</v>
          </cell>
          <cell r="J1893" t="str">
            <v>34</v>
          </cell>
          <cell r="K1893" t="str">
            <v>JEANS</v>
          </cell>
          <cell r="L1893" t="str">
            <v>NOD</v>
          </cell>
        </row>
        <row r="1894">
          <cell r="C1894" t="str">
            <v>UDJEN1356H</v>
          </cell>
          <cell r="D1894" t="str">
            <v>OCOR</v>
          </cell>
          <cell r="E1894" t="str">
            <v>OC25</v>
          </cell>
          <cell r="F1894">
            <v>3686</v>
          </cell>
          <cell r="G1894" t="str">
            <v>UD</v>
          </cell>
          <cell r="H1894" t="str">
            <v>USPUDMJEN</v>
          </cell>
          <cell r="I1894" t="str">
            <v>UDJEN1356H005</v>
          </cell>
          <cell r="J1894" t="str">
            <v>36</v>
          </cell>
          <cell r="K1894" t="str">
            <v>JEANS</v>
          </cell>
          <cell r="L1894" t="str">
            <v>NOD</v>
          </cell>
        </row>
        <row r="1895">
          <cell r="C1895" t="str">
            <v>UDJEN1356H</v>
          </cell>
          <cell r="D1895" t="str">
            <v>OCOR</v>
          </cell>
          <cell r="E1895" t="str">
            <v>OC25</v>
          </cell>
          <cell r="F1895">
            <v>3686</v>
          </cell>
          <cell r="G1895" t="str">
            <v>UD</v>
          </cell>
          <cell r="H1895" t="str">
            <v>USPUDMJEN</v>
          </cell>
          <cell r="I1895" t="str">
            <v>UDJEN1356H006</v>
          </cell>
          <cell r="J1895" t="str">
            <v>38</v>
          </cell>
          <cell r="K1895" t="str">
            <v>JEANS</v>
          </cell>
          <cell r="L1895" t="str">
            <v>NOD</v>
          </cell>
        </row>
        <row r="1896">
          <cell r="C1896" t="str">
            <v>UDJEN1356H</v>
          </cell>
          <cell r="D1896" t="str">
            <v>OCOR</v>
          </cell>
          <cell r="E1896" t="str">
            <v>OC25</v>
          </cell>
          <cell r="F1896">
            <v>3686</v>
          </cell>
          <cell r="G1896" t="str">
            <v>UD</v>
          </cell>
          <cell r="H1896" t="str">
            <v>USPUDMJEN</v>
          </cell>
          <cell r="I1896" t="str">
            <v>UDJEN1356H007</v>
          </cell>
          <cell r="J1896" t="str">
            <v>40</v>
          </cell>
          <cell r="K1896" t="str">
            <v>JEANS</v>
          </cell>
          <cell r="L1896" t="str">
            <v>NOD</v>
          </cell>
        </row>
        <row r="1897">
          <cell r="C1897" t="str">
            <v>UDJEN1356H</v>
          </cell>
          <cell r="D1897" t="str">
            <v>OCOR</v>
          </cell>
          <cell r="E1897" t="str">
            <v>OC25</v>
          </cell>
          <cell r="F1897">
            <v>3686</v>
          </cell>
          <cell r="G1897" t="str">
            <v>UD</v>
          </cell>
          <cell r="H1897" t="str">
            <v>USPUDMJEN</v>
          </cell>
          <cell r="I1897" t="str">
            <v>UDJEN1356H008</v>
          </cell>
          <cell r="J1897" t="str">
            <v>42</v>
          </cell>
          <cell r="K1897" t="str">
            <v>JEANS</v>
          </cell>
          <cell r="L1897" t="str">
            <v>NOD</v>
          </cell>
        </row>
        <row r="1898">
          <cell r="C1898" t="str">
            <v>UDJEN1356H</v>
          </cell>
          <cell r="D1898" t="str">
            <v>OCOR</v>
          </cell>
          <cell r="E1898" t="str">
            <v>OC25</v>
          </cell>
          <cell r="F1898">
            <v>3897</v>
          </cell>
          <cell r="G1898" t="str">
            <v>UD</v>
          </cell>
          <cell r="H1898" t="str">
            <v>USPUDMJEN</v>
          </cell>
          <cell r="I1898" t="str">
            <v>UDJEN1356H009</v>
          </cell>
          <cell r="J1898" t="str">
            <v>44</v>
          </cell>
          <cell r="K1898" t="str">
            <v>JEANS</v>
          </cell>
          <cell r="L1898" t="str">
            <v>NOD</v>
          </cell>
        </row>
        <row r="1899">
          <cell r="C1899" t="str">
            <v>UDJEN1356H</v>
          </cell>
          <cell r="D1899" t="str">
            <v>OCOR</v>
          </cell>
          <cell r="E1899" t="str">
            <v>OC25</v>
          </cell>
          <cell r="F1899">
            <v>3897</v>
          </cell>
          <cell r="G1899" t="str">
            <v>UD</v>
          </cell>
          <cell r="H1899" t="str">
            <v>USPUDMJEN</v>
          </cell>
          <cell r="I1899" t="str">
            <v>UDJEN1356H010</v>
          </cell>
          <cell r="J1899" t="str">
            <v>46</v>
          </cell>
          <cell r="K1899" t="str">
            <v>JEANS</v>
          </cell>
          <cell r="L1899" t="str">
            <v>NOD</v>
          </cell>
        </row>
        <row r="1900">
          <cell r="C1900" t="str">
            <v>UDJEN1356H</v>
          </cell>
          <cell r="D1900" t="str">
            <v>OCOR</v>
          </cell>
          <cell r="E1900" t="str">
            <v>OC25</v>
          </cell>
          <cell r="F1900">
            <v>3897</v>
          </cell>
          <cell r="G1900" t="str">
            <v>UD</v>
          </cell>
          <cell r="H1900" t="str">
            <v>USPUDMJEN</v>
          </cell>
          <cell r="I1900" t="str">
            <v>UDJEN1356H011</v>
          </cell>
          <cell r="J1900" t="str">
            <v>48</v>
          </cell>
          <cell r="K1900" t="str">
            <v>JEANS</v>
          </cell>
          <cell r="L1900" t="str">
            <v>NOD</v>
          </cell>
        </row>
        <row r="1901">
          <cell r="C1901" t="str">
            <v>UDJEN1357</v>
          </cell>
          <cell r="D1901" t="str">
            <v>OCOR</v>
          </cell>
          <cell r="E1901" t="str">
            <v>OC25</v>
          </cell>
          <cell r="F1901">
            <v>3686</v>
          </cell>
          <cell r="G1901" t="str">
            <v>UD</v>
          </cell>
          <cell r="H1901" t="str">
            <v>USPUDMJEN</v>
          </cell>
          <cell r="I1901" t="str">
            <v>UDJEN1357001</v>
          </cell>
          <cell r="J1901" t="str">
            <v>28</v>
          </cell>
          <cell r="K1901" t="str">
            <v>JEANS</v>
          </cell>
          <cell r="L1901" t="str">
            <v>NOD</v>
          </cell>
        </row>
        <row r="1902">
          <cell r="C1902" t="str">
            <v>UDJEN1357</v>
          </cell>
          <cell r="D1902" t="str">
            <v>OCOR</v>
          </cell>
          <cell r="E1902" t="str">
            <v>OC25</v>
          </cell>
          <cell r="F1902">
            <v>3686</v>
          </cell>
          <cell r="G1902" t="str">
            <v>UD</v>
          </cell>
          <cell r="H1902" t="str">
            <v>USPUDMJEN</v>
          </cell>
          <cell r="I1902" t="str">
            <v>UDJEN1357002</v>
          </cell>
          <cell r="J1902" t="str">
            <v>30</v>
          </cell>
          <cell r="K1902" t="str">
            <v>JEANS</v>
          </cell>
          <cell r="L1902" t="str">
            <v>NOD</v>
          </cell>
        </row>
        <row r="1903">
          <cell r="C1903" t="str">
            <v>UDJEN1357</v>
          </cell>
          <cell r="D1903" t="str">
            <v>OCOR</v>
          </cell>
          <cell r="E1903" t="str">
            <v>OC25</v>
          </cell>
          <cell r="F1903">
            <v>3686</v>
          </cell>
          <cell r="G1903" t="str">
            <v>UD</v>
          </cell>
          <cell r="H1903" t="str">
            <v>USPUDMJEN</v>
          </cell>
          <cell r="I1903" t="str">
            <v>UDJEN1357003</v>
          </cell>
          <cell r="J1903" t="str">
            <v>32</v>
          </cell>
          <cell r="K1903" t="str">
            <v>JEANS</v>
          </cell>
          <cell r="L1903" t="str">
            <v>NOD</v>
          </cell>
        </row>
        <row r="1904">
          <cell r="C1904" t="str">
            <v>UDJEN1357</v>
          </cell>
          <cell r="D1904" t="str">
            <v>OCOR</v>
          </cell>
          <cell r="E1904" t="str">
            <v>OC25</v>
          </cell>
          <cell r="F1904">
            <v>3686</v>
          </cell>
          <cell r="G1904" t="str">
            <v>UD</v>
          </cell>
          <cell r="H1904" t="str">
            <v>USPUDMJEN</v>
          </cell>
          <cell r="I1904" t="str">
            <v>UDJEN1357004</v>
          </cell>
          <cell r="J1904" t="str">
            <v>34</v>
          </cell>
          <cell r="K1904" t="str">
            <v>JEANS</v>
          </cell>
          <cell r="L1904" t="str">
            <v>NOD</v>
          </cell>
        </row>
        <row r="1905">
          <cell r="C1905" t="str">
            <v>UDJEN1357</v>
          </cell>
          <cell r="D1905" t="str">
            <v>OCOR</v>
          </cell>
          <cell r="E1905" t="str">
            <v>OC25</v>
          </cell>
          <cell r="F1905">
            <v>3686</v>
          </cell>
          <cell r="G1905" t="str">
            <v>UD</v>
          </cell>
          <cell r="H1905" t="str">
            <v>USPUDMJEN</v>
          </cell>
          <cell r="I1905" t="str">
            <v>UDJEN1357005</v>
          </cell>
          <cell r="J1905" t="str">
            <v>36</v>
          </cell>
          <cell r="K1905" t="str">
            <v>JEANS</v>
          </cell>
          <cell r="L1905" t="str">
            <v>NOD</v>
          </cell>
        </row>
        <row r="1906">
          <cell r="C1906" t="str">
            <v>UDJEN1357</v>
          </cell>
          <cell r="D1906" t="str">
            <v>OCOR</v>
          </cell>
          <cell r="E1906" t="str">
            <v>OC25</v>
          </cell>
          <cell r="F1906">
            <v>3686</v>
          </cell>
          <cell r="G1906" t="str">
            <v>UD</v>
          </cell>
          <cell r="H1906" t="str">
            <v>USPUDMJEN</v>
          </cell>
          <cell r="I1906" t="str">
            <v>UDJEN1357006</v>
          </cell>
          <cell r="J1906" t="str">
            <v>38</v>
          </cell>
          <cell r="K1906" t="str">
            <v>JEANS</v>
          </cell>
          <cell r="L1906" t="str">
            <v>NOD</v>
          </cell>
        </row>
        <row r="1907">
          <cell r="C1907" t="str">
            <v>UDJEN1357</v>
          </cell>
          <cell r="D1907" t="str">
            <v>OCOR</v>
          </cell>
          <cell r="E1907" t="str">
            <v>OC25</v>
          </cell>
          <cell r="F1907">
            <v>3686</v>
          </cell>
          <cell r="G1907" t="str">
            <v>UD</v>
          </cell>
          <cell r="H1907" t="str">
            <v>USPUDMJEN</v>
          </cell>
          <cell r="I1907" t="str">
            <v>UDJEN1357007</v>
          </cell>
          <cell r="J1907" t="str">
            <v>40</v>
          </cell>
          <cell r="K1907" t="str">
            <v>JEANS</v>
          </cell>
          <cell r="L1907" t="str">
            <v>NOD</v>
          </cell>
        </row>
        <row r="1908">
          <cell r="C1908" t="str">
            <v>UDJEN1357</v>
          </cell>
          <cell r="D1908" t="str">
            <v>OCOR</v>
          </cell>
          <cell r="E1908" t="str">
            <v>OC25</v>
          </cell>
          <cell r="F1908">
            <v>3686</v>
          </cell>
          <cell r="G1908" t="str">
            <v>UD</v>
          </cell>
          <cell r="H1908" t="str">
            <v>USPUDMJEN</v>
          </cell>
          <cell r="I1908" t="str">
            <v>UDJEN1357008</v>
          </cell>
          <cell r="J1908" t="str">
            <v>42</v>
          </cell>
          <cell r="K1908" t="str">
            <v>JEANS</v>
          </cell>
          <cell r="L1908" t="str">
            <v>NOD</v>
          </cell>
        </row>
        <row r="1909">
          <cell r="C1909" t="str">
            <v>UDJEN1357</v>
          </cell>
          <cell r="D1909" t="str">
            <v>OCOR</v>
          </cell>
          <cell r="E1909" t="str">
            <v>OC25</v>
          </cell>
          <cell r="F1909">
            <v>3897</v>
          </cell>
          <cell r="G1909" t="str">
            <v>UD</v>
          </cell>
          <cell r="H1909" t="str">
            <v>USPUDMJEN</v>
          </cell>
          <cell r="I1909" t="str">
            <v>UDJEN1357009</v>
          </cell>
          <cell r="J1909" t="str">
            <v>44</v>
          </cell>
          <cell r="K1909" t="str">
            <v>JEANS</v>
          </cell>
          <cell r="L1909" t="str">
            <v>NOD</v>
          </cell>
        </row>
        <row r="1910">
          <cell r="C1910" t="str">
            <v>UDJEN1357</v>
          </cell>
          <cell r="D1910" t="str">
            <v>OCOR</v>
          </cell>
          <cell r="E1910" t="str">
            <v>OC25</v>
          </cell>
          <cell r="F1910">
            <v>3897</v>
          </cell>
          <cell r="G1910" t="str">
            <v>UD</v>
          </cell>
          <cell r="H1910" t="str">
            <v>USPUDMJEN</v>
          </cell>
          <cell r="I1910" t="str">
            <v>UDJEN1357010</v>
          </cell>
          <cell r="J1910" t="str">
            <v>46</v>
          </cell>
          <cell r="K1910" t="str">
            <v>JEANS</v>
          </cell>
          <cell r="L1910" t="str">
            <v>NOD</v>
          </cell>
        </row>
        <row r="1911">
          <cell r="C1911" t="str">
            <v>UDJEN1357</v>
          </cell>
          <cell r="D1911" t="str">
            <v>OCOR</v>
          </cell>
          <cell r="E1911" t="str">
            <v>OC25</v>
          </cell>
          <cell r="F1911">
            <v>3897</v>
          </cell>
          <cell r="G1911" t="str">
            <v>UD</v>
          </cell>
          <cell r="H1911" t="str">
            <v>USPUDMJEN</v>
          </cell>
          <cell r="I1911" t="str">
            <v>UDJEN1357011</v>
          </cell>
          <cell r="J1911" t="str">
            <v>48</v>
          </cell>
          <cell r="K1911" t="str">
            <v>JEANS</v>
          </cell>
          <cell r="L1911" t="str">
            <v>NOD</v>
          </cell>
        </row>
        <row r="1912">
          <cell r="C1912" t="str">
            <v>UDJEN1361</v>
          </cell>
          <cell r="D1912" t="str">
            <v>OCOR</v>
          </cell>
          <cell r="E1912" t="str">
            <v>OC25</v>
          </cell>
          <cell r="F1912">
            <v>3897</v>
          </cell>
          <cell r="G1912" t="str">
            <v>UD</v>
          </cell>
          <cell r="H1912" t="str">
            <v>USPUDMJEN</v>
          </cell>
          <cell r="I1912" t="str">
            <v>UDJEN1361001</v>
          </cell>
          <cell r="J1912" t="str">
            <v>28</v>
          </cell>
          <cell r="K1912" t="str">
            <v>JEANS</v>
          </cell>
          <cell r="L1912" t="str">
            <v>NOD</v>
          </cell>
        </row>
        <row r="1913">
          <cell r="C1913" t="str">
            <v>UDJEN1361</v>
          </cell>
          <cell r="D1913" t="str">
            <v>OCOR</v>
          </cell>
          <cell r="E1913" t="str">
            <v>OC25</v>
          </cell>
          <cell r="F1913">
            <v>3897</v>
          </cell>
          <cell r="G1913" t="str">
            <v>UD</v>
          </cell>
          <cell r="H1913" t="str">
            <v>USPUDMJEN</v>
          </cell>
          <cell r="I1913" t="str">
            <v>UDJEN1361002</v>
          </cell>
          <cell r="J1913" t="str">
            <v>30</v>
          </cell>
          <cell r="K1913" t="str">
            <v>JEANS</v>
          </cell>
          <cell r="L1913" t="str">
            <v>NOD</v>
          </cell>
        </row>
        <row r="1914">
          <cell r="C1914" t="str">
            <v>UDJEN1361</v>
          </cell>
          <cell r="D1914" t="str">
            <v>OCOR</v>
          </cell>
          <cell r="E1914" t="str">
            <v>OC25</v>
          </cell>
          <cell r="F1914">
            <v>3897</v>
          </cell>
          <cell r="G1914" t="str">
            <v>UD</v>
          </cell>
          <cell r="H1914" t="str">
            <v>USPUDMJEN</v>
          </cell>
          <cell r="I1914" t="str">
            <v>UDJEN1361003</v>
          </cell>
          <cell r="J1914" t="str">
            <v>32</v>
          </cell>
          <cell r="K1914" t="str">
            <v>JEANS</v>
          </cell>
          <cell r="L1914" t="str">
            <v>NOD</v>
          </cell>
        </row>
        <row r="1915">
          <cell r="C1915" t="str">
            <v>UDJEN1361</v>
          </cell>
          <cell r="D1915" t="str">
            <v>OCOR</v>
          </cell>
          <cell r="E1915" t="str">
            <v>OC25</v>
          </cell>
          <cell r="F1915">
            <v>3897</v>
          </cell>
          <cell r="G1915" t="str">
            <v>UD</v>
          </cell>
          <cell r="H1915" t="str">
            <v>USPUDMJEN</v>
          </cell>
          <cell r="I1915" t="str">
            <v>UDJEN1361004</v>
          </cell>
          <cell r="J1915" t="str">
            <v>34</v>
          </cell>
          <cell r="K1915" t="str">
            <v>JEANS</v>
          </cell>
          <cell r="L1915" t="str">
            <v>NOD</v>
          </cell>
        </row>
        <row r="1916">
          <cell r="C1916" t="str">
            <v>UDJEN1361</v>
          </cell>
          <cell r="D1916" t="str">
            <v>OCOR</v>
          </cell>
          <cell r="E1916" t="str">
            <v>OC25</v>
          </cell>
          <cell r="F1916">
            <v>3897</v>
          </cell>
          <cell r="G1916" t="str">
            <v>UD</v>
          </cell>
          <cell r="H1916" t="str">
            <v>USPUDMJEN</v>
          </cell>
          <cell r="I1916" t="str">
            <v>UDJEN1361005</v>
          </cell>
          <cell r="J1916" t="str">
            <v>36</v>
          </cell>
          <cell r="K1916" t="str">
            <v>JEANS</v>
          </cell>
          <cell r="L1916" t="str">
            <v>NOD</v>
          </cell>
        </row>
        <row r="1917">
          <cell r="C1917" t="str">
            <v>UDJEN1361</v>
          </cell>
          <cell r="D1917" t="str">
            <v>OCOR</v>
          </cell>
          <cell r="E1917" t="str">
            <v>OC25</v>
          </cell>
          <cell r="F1917">
            <v>3897</v>
          </cell>
          <cell r="G1917" t="str">
            <v>UD</v>
          </cell>
          <cell r="H1917" t="str">
            <v>USPUDMJEN</v>
          </cell>
          <cell r="I1917" t="str">
            <v>UDJEN1361006</v>
          </cell>
          <cell r="J1917" t="str">
            <v>38</v>
          </cell>
          <cell r="K1917" t="str">
            <v>JEANS</v>
          </cell>
          <cell r="L1917" t="str">
            <v>NOD</v>
          </cell>
        </row>
        <row r="1918">
          <cell r="C1918" t="str">
            <v>UDJEN1361</v>
          </cell>
          <cell r="D1918" t="str">
            <v>OCOR</v>
          </cell>
          <cell r="E1918" t="str">
            <v>OC25</v>
          </cell>
          <cell r="F1918">
            <v>3897</v>
          </cell>
          <cell r="G1918" t="str">
            <v>UD</v>
          </cell>
          <cell r="H1918" t="str">
            <v>USPUDMJEN</v>
          </cell>
          <cell r="I1918" t="str">
            <v>UDJEN1361007</v>
          </cell>
          <cell r="J1918" t="str">
            <v>40</v>
          </cell>
          <cell r="K1918" t="str">
            <v>JEANS</v>
          </cell>
          <cell r="L1918" t="str">
            <v>NOD</v>
          </cell>
        </row>
        <row r="1919">
          <cell r="C1919" t="str">
            <v>UDJEN1361</v>
          </cell>
          <cell r="D1919" t="str">
            <v>OCOR</v>
          </cell>
          <cell r="E1919" t="str">
            <v>OC25</v>
          </cell>
          <cell r="F1919">
            <v>3897</v>
          </cell>
          <cell r="G1919" t="str">
            <v>UD</v>
          </cell>
          <cell r="H1919" t="str">
            <v>USPUDMJEN</v>
          </cell>
          <cell r="I1919" t="str">
            <v>UDJEN1361008</v>
          </cell>
          <cell r="J1919" t="str">
            <v>42</v>
          </cell>
          <cell r="K1919" t="str">
            <v>JEANS</v>
          </cell>
          <cell r="L1919" t="str">
            <v>NOD</v>
          </cell>
        </row>
        <row r="1920">
          <cell r="C1920" t="str">
            <v>UDJEN1361</v>
          </cell>
          <cell r="D1920" t="str">
            <v>OCOR</v>
          </cell>
          <cell r="E1920" t="str">
            <v>OC25</v>
          </cell>
          <cell r="F1920">
            <v>4107</v>
          </cell>
          <cell r="G1920" t="str">
            <v>UD</v>
          </cell>
          <cell r="H1920" t="str">
            <v>USPUDMJEN</v>
          </cell>
          <cell r="I1920" t="str">
            <v>UDJEN1361009</v>
          </cell>
          <cell r="J1920" t="str">
            <v>44</v>
          </cell>
          <cell r="K1920" t="str">
            <v>JEANS</v>
          </cell>
          <cell r="L1920" t="str">
            <v>NOD</v>
          </cell>
        </row>
        <row r="1921">
          <cell r="C1921" t="str">
            <v>UDJEN1361</v>
          </cell>
          <cell r="D1921" t="str">
            <v>OCOR</v>
          </cell>
          <cell r="E1921" t="str">
            <v>OC25</v>
          </cell>
          <cell r="F1921">
            <v>4107</v>
          </cell>
          <cell r="G1921" t="str">
            <v>UD</v>
          </cell>
          <cell r="H1921" t="str">
            <v>USPUDMJEN</v>
          </cell>
          <cell r="I1921" t="str">
            <v>UDJEN1361010</v>
          </cell>
          <cell r="J1921" t="str">
            <v>46</v>
          </cell>
          <cell r="K1921" t="str">
            <v>JEANS</v>
          </cell>
          <cell r="L1921" t="str">
            <v>NOD</v>
          </cell>
        </row>
        <row r="1922">
          <cell r="C1922" t="str">
            <v>UDJEN1361</v>
          </cell>
          <cell r="D1922" t="str">
            <v>OCOR</v>
          </cell>
          <cell r="E1922" t="str">
            <v>OC25</v>
          </cell>
          <cell r="F1922">
            <v>4107</v>
          </cell>
          <cell r="G1922" t="str">
            <v>UD</v>
          </cell>
          <cell r="H1922" t="str">
            <v>USPUDMJEN</v>
          </cell>
          <cell r="I1922" t="str">
            <v>UDJEN1361011</v>
          </cell>
          <cell r="J1922" t="str">
            <v>48</v>
          </cell>
          <cell r="K1922" t="str">
            <v>JEANS</v>
          </cell>
          <cell r="L1922" t="str">
            <v>NOD</v>
          </cell>
        </row>
        <row r="1923">
          <cell r="C1923" t="str">
            <v>UDJEN1368</v>
          </cell>
          <cell r="D1923" t="str">
            <v>OCOR</v>
          </cell>
          <cell r="E1923" t="str">
            <v>OC25</v>
          </cell>
          <cell r="F1923">
            <v>4213</v>
          </cell>
          <cell r="G1923" t="str">
            <v>UD</v>
          </cell>
          <cell r="H1923" t="str">
            <v>USPUDMJEN</v>
          </cell>
          <cell r="I1923" t="str">
            <v>UDJEN1368001</v>
          </cell>
          <cell r="J1923" t="str">
            <v>28</v>
          </cell>
          <cell r="K1923" t="str">
            <v>JEANS</v>
          </cell>
          <cell r="L1923" t="str">
            <v>NOD</v>
          </cell>
        </row>
        <row r="1924">
          <cell r="C1924" t="str">
            <v>UDJEN1368</v>
          </cell>
          <cell r="D1924" t="str">
            <v>OCOR</v>
          </cell>
          <cell r="E1924" t="str">
            <v>OC25</v>
          </cell>
          <cell r="F1924">
            <v>4213</v>
          </cell>
          <cell r="G1924" t="str">
            <v>UD</v>
          </cell>
          <cell r="H1924" t="str">
            <v>USPUDMJEN</v>
          </cell>
          <cell r="I1924" t="str">
            <v>UDJEN1368002</v>
          </cell>
          <cell r="J1924" t="str">
            <v>30</v>
          </cell>
          <cell r="K1924" t="str">
            <v>JEANS</v>
          </cell>
          <cell r="L1924" t="str">
            <v>NOD</v>
          </cell>
        </row>
        <row r="1925">
          <cell r="C1925" t="str">
            <v>UDJEN1368</v>
          </cell>
          <cell r="D1925" t="str">
            <v>OCOR</v>
          </cell>
          <cell r="E1925" t="str">
            <v>OC25</v>
          </cell>
          <cell r="F1925">
            <v>4213</v>
          </cell>
          <cell r="G1925" t="str">
            <v>UD</v>
          </cell>
          <cell r="H1925" t="str">
            <v>USPUDMJEN</v>
          </cell>
          <cell r="I1925" t="str">
            <v>UDJEN1368003</v>
          </cell>
          <cell r="J1925" t="str">
            <v>32</v>
          </cell>
          <cell r="K1925" t="str">
            <v>JEANS</v>
          </cell>
          <cell r="L1925" t="str">
            <v>NOD</v>
          </cell>
        </row>
        <row r="1926">
          <cell r="C1926" t="str">
            <v>UDJEN1368</v>
          </cell>
          <cell r="D1926" t="str">
            <v>OCOR</v>
          </cell>
          <cell r="E1926" t="str">
            <v>OC25</v>
          </cell>
          <cell r="F1926">
            <v>4213</v>
          </cell>
          <cell r="G1926" t="str">
            <v>UD</v>
          </cell>
          <cell r="H1926" t="str">
            <v>USPUDMJEN</v>
          </cell>
          <cell r="I1926" t="str">
            <v>UDJEN1368004</v>
          </cell>
          <cell r="J1926" t="str">
            <v>34</v>
          </cell>
          <cell r="K1926" t="str">
            <v>JEANS</v>
          </cell>
          <cell r="L1926" t="str">
            <v>NOD</v>
          </cell>
        </row>
        <row r="1927">
          <cell r="C1927" t="str">
            <v>UDJEN1368</v>
          </cell>
          <cell r="D1927" t="str">
            <v>OCOR</v>
          </cell>
          <cell r="E1927" t="str">
            <v>OC25</v>
          </cell>
          <cell r="F1927">
            <v>4213</v>
          </cell>
          <cell r="G1927" t="str">
            <v>UD</v>
          </cell>
          <cell r="H1927" t="str">
            <v>USPUDMJEN</v>
          </cell>
          <cell r="I1927" t="str">
            <v>UDJEN1368005</v>
          </cell>
          <cell r="J1927" t="str">
            <v>36</v>
          </cell>
          <cell r="K1927" t="str">
            <v>JEANS</v>
          </cell>
          <cell r="L1927" t="str">
            <v>NOD</v>
          </cell>
        </row>
        <row r="1928">
          <cell r="C1928" t="str">
            <v>UDJEN1368</v>
          </cell>
          <cell r="D1928" t="str">
            <v>OCOR</v>
          </cell>
          <cell r="E1928" t="str">
            <v>OC25</v>
          </cell>
          <cell r="F1928">
            <v>4213</v>
          </cell>
          <cell r="G1928" t="str">
            <v>UD</v>
          </cell>
          <cell r="H1928" t="str">
            <v>USPUDMJEN</v>
          </cell>
          <cell r="I1928" t="str">
            <v>UDJEN1368006</v>
          </cell>
          <cell r="J1928" t="str">
            <v>38</v>
          </cell>
          <cell r="K1928" t="str">
            <v>JEANS</v>
          </cell>
          <cell r="L1928" t="str">
            <v>NOD</v>
          </cell>
        </row>
        <row r="1929">
          <cell r="C1929" t="str">
            <v>UDJEN1368</v>
          </cell>
          <cell r="D1929" t="str">
            <v>OCOR</v>
          </cell>
          <cell r="E1929" t="str">
            <v>OC25</v>
          </cell>
          <cell r="F1929">
            <v>4213</v>
          </cell>
          <cell r="G1929" t="str">
            <v>UD</v>
          </cell>
          <cell r="H1929" t="str">
            <v>USPUDMJEN</v>
          </cell>
          <cell r="I1929" t="str">
            <v>UDJEN1368007</v>
          </cell>
          <cell r="J1929" t="str">
            <v>40</v>
          </cell>
          <cell r="K1929" t="str">
            <v>JEANS</v>
          </cell>
          <cell r="L1929" t="str">
            <v>NOD</v>
          </cell>
        </row>
        <row r="1930">
          <cell r="C1930" t="str">
            <v>UDJEN1368</v>
          </cell>
          <cell r="D1930" t="str">
            <v>OCOR</v>
          </cell>
          <cell r="E1930" t="str">
            <v>OC25</v>
          </cell>
          <cell r="F1930">
            <v>4213</v>
          </cell>
          <cell r="G1930" t="str">
            <v>UD</v>
          </cell>
          <cell r="H1930" t="str">
            <v>USPUDMJEN</v>
          </cell>
          <cell r="I1930" t="str">
            <v>UDJEN1368008</v>
          </cell>
          <cell r="J1930" t="str">
            <v>42</v>
          </cell>
          <cell r="K1930" t="str">
            <v>JEANS</v>
          </cell>
          <cell r="L1930" t="str">
            <v>NOD</v>
          </cell>
        </row>
        <row r="1931">
          <cell r="C1931" t="str">
            <v>UDJEN1368</v>
          </cell>
          <cell r="D1931" t="str">
            <v>OCOR</v>
          </cell>
          <cell r="E1931" t="str">
            <v>OC25</v>
          </cell>
          <cell r="F1931">
            <v>4423</v>
          </cell>
          <cell r="G1931" t="str">
            <v>UD</v>
          </cell>
          <cell r="H1931" t="str">
            <v>USPUDMJEN</v>
          </cell>
          <cell r="I1931" t="str">
            <v>UDJEN1368009</v>
          </cell>
          <cell r="J1931" t="str">
            <v>44</v>
          </cell>
          <cell r="K1931" t="str">
            <v>JEANS</v>
          </cell>
          <cell r="L1931" t="str">
            <v>NOD</v>
          </cell>
        </row>
        <row r="1932">
          <cell r="C1932" t="str">
            <v>UDJEN1368</v>
          </cell>
          <cell r="D1932" t="str">
            <v>OCOR</v>
          </cell>
          <cell r="E1932" t="str">
            <v>OC25</v>
          </cell>
          <cell r="F1932">
            <v>4423</v>
          </cell>
          <cell r="G1932" t="str">
            <v>UD</v>
          </cell>
          <cell r="H1932" t="str">
            <v>USPUDMJEN</v>
          </cell>
          <cell r="I1932" t="str">
            <v>UDJEN1368010</v>
          </cell>
          <cell r="J1932" t="str">
            <v>46</v>
          </cell>
          <cell r="K1932" t="str">
            <v>JEANS</v>
          </cell>
          <cell r="L1932" t="str">
            <v>NOD</v>
          </cell>
        </row>
        <row r="1933">
          <cell r="C1933" t="str">
            <v>UDJEN1368</v>
          </cell>
          <cell r="D1933" t="str">
            <v>OCOR</v>
          </cell>
          <cell r="E1933" t="str">
            <v>OC25</v>
          </cell>
          <cell r="F1933">
            <v>4423</v>
          </cell>
          <cell r="G1933" t="str">
            <v>UD</v>
          </cell>
          <cell r="H1933" t="str">
            <v>USPUDMJEN</v>
          </cell>
          <cell r="I1933" t="str">
            <v>UDJEN1368011</v>
          </cell>
          <cell r="J1933" t="str">
            <v>48</v>
          </cell>
          <cell r="K1933" t="str">
            <v>JEANS</v>
          </cell>
          <cell r="L1933" t="str">
            <v>NOD</v>
          </cell>
        </row>
        <row r="1934">
          <cell r="C1934" t="str">
            <v>UDJEN1414H</v>
          </cell>
          <cell r="D1934" t="str">
            <v>OCOR</v>
          </cell>
          <cell r="E1934" t="str">
            <v>OC25</v>
          </cell>
          <cell r="F1934">
            <v>3686</v>
          </cell>
          <cell r="G1934" t="str">
            <v>UD</v>
          </cell>
          <cell r="H1934" t="str">
            <v>USPUDMJEN</v>
          </cell>
          <cell r="I1934" t="str">
            <v>UDJEN1414H001</v>
          </cell>
          <cell r="J1934" t="str">
            <v>28</v>
          </cell>
          <cell r="K1934" t="str">
            <v>JEANS</v>
          </cell>
          <cell r="L1934" t="str">
            <v>NOD</v>
          </cell>
        </row>
        <row r="1935">
          <cell r="C1935" t="str">
            <v>UDJEN1414H</v>
          </cell>
          <cell r="D1935" t="str">
            <v>OCOR</v>
          </cell>
          <cell r="E1935" t="str">
            <v>OC25</v>
          </cell>
          <cell r="F1935">
            <v>3686</v>
          </cell>
          <cell r="G1935" t="str">
            <v>UD</v>
          </cell>
          <cell r="H1935" t="str">
            <v>USPUDMJEN</v>
          </cell>
          <cell r="I1935" t="str">
            <v>UDJEN1414H002</v>
          </cell>
          <cell r="J1935" t="str">
            <v>30</v>
          </cell>
          <cell r="K1935" t="str">
            <v>JEANS</v>
          </cell>
          <cell r="L1935" t="str">
            <v>NOD</v>
          </cell>
        </row>
        <row r="1936">
          <cell r="C1936" t="str">
            <v>UDJEN1414H</v>
          </cell>
          <cell r="D1936" t="str">
            <v>OCOR</v>
          </cell>
          <cell r="E1936" t="str">
            <v>OC25</v>
          </cell>
          <cell r="F1936">
            <v>3686</v>
          </cell>
          <cell r="G1936" t="str">
            <v>UD</v>
          </cell>
          <cell r="H1936" t="str">
            <v>USPUDMJEN</v>
          </cell>
          <cell r="I1936" t="str">
            <v>UDJEN1414H003</v>
          </cell>
          <cell r="J1936" t="str">
            <v>32</v>
          </cell>
          <cell r="K1936" t="str">
            <v>JEANS</v>
          </cell>
          <cell r="L1936" t="str">
            <v>NOD</v>
          </cell>
        </row>
        <row r="1937">
          <cell r="C1937" t="str">
            <v>UDJEN1414H</v>
          </cell>
          <cell r="D1937" t="str">
            <v>OCOR</v>
          </cell>
          <cell r="E1937" t="str">
            <v>OC25</v>
          </cell>
          <cell r="F1937">
            <v>3686</v>
          </cell>
          <cell r="G1937" t="str">
            <v>UD</v>
          </cell>
          <cell r="H1937" t="str">
            <v>USPUDMJEN</v>
          </cell>
          <cell r="I1937" t="str">
            <v>UDJEN1414H004</v>
          </cell>
          <cell r="J1937" t="str">
            <v>34</v>
          </cell>
          <cell r="K1937" t="str">
            <v>JEANS</v>
          </cell>
          <cell r="L1937" t="str">
            <v>NOD</v>
          </cell>
        </row>
        <row r="1938">
          <cell r="C1938" t="str">
            <v>UDJEN1414H</v>
          </cell>
          <cell r="D1938" t="str">
            <v>OCOR</v>
          </cell>
          <cell r="E1938" t="str">
            <v>OC25</v>
          </cell>
          <cell r="F1938">
            <v>3686</v>
          </cell>
          <cell r="G1938" t="str">
            <v>UD</v>
          </cell>
          <cell r="H1938" t="str">
            <v>USPUDMJEN</v>
          </cell>
          <cell r="I1938" t="str">
            <v>UDJEN1414H005</v>
          </cell>
          <cell r="J1938" t="str">
            <v>36</v>
          </cell>
          <cell r="K1938" t="str">
            <v>JEANS</v>
          </cell>
          <cell r="L1938" t="str">
            <v>NOD</v>
          </cell>
        </row>
        <row r="1939">
          <cell r="C1939" t="str">
            <v>UDJEN1414H</v>
          </cell>
          <cell r="D1939" t="str">
            <v>OCOR</v>
          </cell>
          <cell r="E1939" t="str">
            <v>OC25</v>
          </cell>
          <cell r="F1939">
            <v>3686</v>
          </cell>
          <cell r="G1939" t="str">
            <v>UD</v>
          </cell>
          <cell r="H1939" t="str">
            <v>USPUDMJEN</v>
          </cell>
          <cell r="I1939" t="str">
            <v>UDJEN1414H006</v>
          </cell>
          <cell r="J1939" t="str">
            <v>38</v>
          </cell>
          <cell r="K1939" t="str">
            <v>JEANS</v>
          </cell>
          <cell r="L1939" t="str">
            <v>NOD</v>
          </cell>
        </row>
        <row r="1940">
          <cell r="C1940" t="str">
            <v>UDJEN1414H</v>
          </cell>
          <cell r="D1940" t="str">
            <v>OCOR</v>
          </cell>
          <cell r="E1940" t="str">
            <v>OC25</v>
          </cell>
          <cell r="F1940">
            <v>3686</v>
          </cell>
          <cell r="G1940" t="str">
            <v>UD</v>
          </cell>
          <cell r="H1940" t="str">
            <v>USPUDMJEN</v>
          </cell>
          <cell r="I1940" t="str">
            <v>UDJEN1414H007</v>
          </cell>
          <cell r="J1940" t="str">
            <v>40</v>
          </cell>
          <cell r="K1940" t="str">
            <v>JEANS</v>
          </cell>
          <cell r="L1940" t="str">
            <v>NOD</v>
          </cell>
        </row>
        <row r="1941">
          <cell r="C1941" t="str">
            <v>UDJEN1414H</v>
          </cell>
          <cell r="D1941" t="str">
            <v>OCOR</v>
          </cell>
          <cell r="E1941" t="str">
            <v>OC25</v>
          </cell>
          <cell r="F1941">
            <v>3686</v>
          </cell>
          <cell r="G1941" t="str">
            <v>UD</v>
          </cell>
          <cell r="H1941" t="str">
            <v>USPUDMJEN</v>
          </cell>
          <cell r="I1941" t="str">
            <v>UDJEN1414H008</v>
          </cell>
          <cell r="J1941" t="str">
            <v>42</v>
          </cell>
          <cell r="K1941" t="str">
            <v>JEANS</v>
          </cell>
          <cell r="L1941" t="str">
            <v>NOD</v>
          </cell>
        </row>
        <row r="1942">
          <cell r="C1942" t="str">
            <v>UDJEN1414H</v>
          </cell>
          <cell r="D1942" t="str">
            <v>OCOR</v>
          </cell>
          <cell r="E1942" t="str">
            <v>OC25</v>
          </cell>
          <cell r="F1942">
            <v>3897</v>
          </cell>
          <cell r="G1942" t="str">
            <v>UD</v>
          </cell>
          <cell r="H1942" t="str">
            <v>USPUDMJEN</v>
          </cell>
          <cell r="I1942" t="str">
            <v>UDJEN1414H009</v>
          </cell>
          <cell r="J1942" t="str">
            <v>44</v>
          </cell>
          <cell r="K1942" t="str">
            <v>JEANS</v>
          </cell>
          <cell r="L1942" t="str">
            <v>NOD</v>
          </cell>
        </row>
        <row r="1943">
          <cell r="C1943" t="str">
            <v>UDJEN1414H</v>
          </cell>
          <cell r="D1943" t="str">
            <v>OCOR</v>
          </cell>
          <cell r="E1943" t="str">
            <v>OC25</v>
          </cell>
          <cell r="F1943">
            <v>3897</v>
          </cell>
          <cell r="G1943" t="str">
            <v>UD</v>
          </cell>
          <cell r="H1943" t="str">
            <v>USPUDMJEN</v>
          </cell>
          <cell r="I1943" t="str">
            <v>UDJEN1414H010</v>
          </cell>
          <cell r="J1943" t="str">
            <v>46</v>
          </cell>
          <cell r="K1943" t="str">
            <v>JEANS</v>
          </cell>
          <cell r="L1943" t="str">
            <v>NOD</v>
          </cell>
        </row>
        <row r="1944">
          <cell r="C1944" t="str">
            <v>UDJEN1414H</v>
          </cell>
          <cell r="D1944" t="str">
            <v>OCOR</v>
          </cell>
          <cell r="E1944" t="str">
            <v>OC25</v>
          </cell>
          <cell r="F1944">
            <v>3897</v>
          </cell>
          <cell r="G1944" t="str">
            <v>UD</v>
          </cell>
          <cell r="H1944" t="str">
            <v>USPUDMJEN</v>
          </cell>
          <cell r="I1944" t="str">
            <v>UDJEN1414H011</v>
          </cell>
          <cell r="J1944" t="str">
            <v>48</v>
          </cell>
          <cell r="K1944" t="str">
            <v>JEANS</v>
          </cell>
          <cell r="L1944" t="str">
            <v>NOD</v>
          </cell>
        </row>
        <row r="1945">
          <cell r="C1945" t="str">
            <v>UDJEN1416</v>
          </cell>
          <cell r="D1945" t="str">
            <v>OCOR</v>
          </cell>
          <cell r="E1945" t="str">
            <v>OC25</v>
          </cell>
          <cell r="F1945">
            <v>3686</v>
          </cell>
          <cell r="G1945" t="str">
            <v>UD</v>
          </cell>
          <cell r="H1945" t="str">
            <v>USPUDMJEN</v>
          </cell>
          <cell r="I1945" t="str">
            <v>UDJEN1416001</v>
          </cell>
          <cell r="J1945" t="str">
            <v>28</v>
          </cell>
          <cell r="K1945" t="str">
            <v>JEANS</v>
          </cell>
          <cell r="L1945" t="str">
            <v>NOD</v>
          </cell>
        </row>
        <row r="1946">
          <cell r="C1946" t="str">
            <v>UDJEN1416</v>
          </cell>
          <cell r="D1946" t="str">
            <v>OCOR</v>
          </cell>
          <cell r="E1946" t="str">
            <v>OC25</v>
          </cell>
          <cell r="F1946">
            <v>3686</v>
          </cell>
          <cell r="G1946" t="str">
            <v>UD</v>
          </cell>
          <cell r="H1946" t="str">
            <v>USPUDMJEN</v>
          </cell>
          <cell r="I1946" t="str">
            <v>UDJEN1416002</v>
          </cell>
          <cell r="J1946" t="str">
            <v>30</v>
          </cell>
          <cell r="K1946" t="str">
            <v>JEANS</v>
          </cell>
          <cell r="L1946" t="str">
            <v>NOD</v>
          </cell>
        </row>
        <row r="1947">
          <cell r="C1947" t="str">
            <v>UDJEN1416</v>
          </cell>
          <cell r="D1947" t="str">
            <v>OCOR</v>
          </cell>
          <cell r="E1947" t="str">
            <v>OC25</v>
          </cell>
          <cell r="F1947">
            <v>3686</v>
          </cell>
          <cell r="G1947" t="str">
            <v>UD</v>
          </cell>
          <cell r="H1947" t="str">
            <v>USPUDMJEN</v>
          </cell>
          <cell r="I1947" t="str">
            <v>UDJEN1416003</v>
          </cell>
          <cell r="J1947" t="str">
            <v>32</v>
          </cell>
          <cell r="K1947" t="str">
            <v>JEANS</v>
          </cell>
          <cell r="L1947" t="str">
            <v>NOD</v>
          </cell>
        </row>
        <row r="1948">
          <cell r="C1948" t="str">
            <v>UDJEN1416</v>
          </cell>
          <cell r="D1948" t="str">
            <v>OCOR</v>
          </cell>
          <cell r="E1948" t="str">
            <v>OC25</v>
          </cell>
          <cell r="F1948">
            <v>3686</v>
          </cell>
          <cell r="G1948" t="str">
            <v>UD</v>
          </cell>
          <cell r="H1948" t="str">
            <v>USPUDMJEN</v>
          </cell>
          <cell r="I1948" t="str">
            <v>UDJEN1416004</v>
          </cell>
          <cell r="J1948" t="str">
            <v>34</v>
          </cell>
          <cell r="K1948" t="str">
            <v>JEANS</v>
          </cell>
          <cell r="L1948" t="str">
            <v>NOD</v>
          </cell>
        </row>
        <row r="1949">
          <cell r="C1949" t="str">
            <v>UDJEN1416</v>
          </cell>
          <cell r="D1949" t="str">
            <v>OCOR</v>
          </cell>
          <cell r="E1949" t="str">
            <v>OC25</v>
          </cell>
          <cell r="F1949">
            <v>3686</v>
          </cell>
          <cell r="G1949" t="str">
            <v>UD</v>
          </cell>
          <cell r="H1949" t="str">
            <v>USPUDMJEN</v>
          </cell>
          <cell r="I1949" t="str">
            <v>UDJEN1416005</v>
          </cell>
          <cell r="J1949" t="str">
            <v>36</v>
          </cell>
          <cell r="K1949" t="str">
            <v>JEANS</v>
          </cell>
          <cell r="L1949" t="str">
            <v>NOD</v>
          </cell>
        </row>
        <row r="1950">
          <cell r="C1950" t="str">
            <v>UDJEN1416</v>
          </cell>
          <cell r="D1950" t="str">
            <v>OCOR</v>
          </cell>
          <cell r="E1950" t="str">
            <v>OC25</v>
          </cell>
          <cell r="F1950">
            <v>3686</v>
          </cell>
          <cell r="G1950" t="str">
            <v>UD</v>
          </cell>
          <cell r="H1950" t="str">
            <v>USPUDMJEN</v>
          </cell>
          <cell r="I1950" t="str">
            <v>UDJEN1416006</v>
          </cell>
          <cell r="J1950" t="str">
            <v>38</v>
          </cell>
          <cell r="K1950" t="str">
            <v>JEANS</v>
          </cell>
          <cell r="L1950" t="str">
            <v>NOD</v>
          </cell>
        </row>
        <row r="1951">
          <cell r="C1951" t="str">
            <v>UDJEN1416</v>
          </cell>
          <cell r="D1951" t="str">
            <v>OCOR</v>
          </cell>
          <cell r="E1951" t="str">
            <v>OC25</v>
          </cell>
          <cell r="F1951">
            <v>3686</v>
          </cell>
          <cell r="G1951" t="str">
            <v>UD</v>
          </cell>
          <cell r="H1951" t="str">
            <v>USPUDMJEN</v>
          </cell>
          <cell r="I1951" t="str">
            <v>UDJEN1416007</v>
          </cell>
          <cell r="J1951" t="str">
            <v>40</v>
          </cell>
          <cell r="K1951" t="str">
            <v>JEANS</v>
          </cell>
          <cell r="L1951" t="str">
            <v>NOD</v>
          </cell>
        </row>
        <row r="1952">
          <cell r="C1952" t="str">
            <v>UDJEN1416</v>
          </cell>
          <cell r="D1952" t="str">
            <v>OCOR</v>
          </cell>
          <cell r="E1952" t="str">
            <v>OC25</v>
          </cell>
          <cell r="F1952">
            <v>3686</v>
          </cell>
          <cell r="G1952" t="str">
            <v>UD</v>
          </cell>
          <cell r="H1952" t="str">
            <v>USPUDMJEN</v>
          </cell>
          <cell r="I1952" t="str">
            <v>UDJEN1416008</v>
          </cell>
          <cell r="J1952" t="str">
            <v>42</v>
          </cell>
          <cell r="K1952" t="str">
            <v>JEANS</v>
          </cell>
          <cell r="L1952" t="str">
            <v>NOD</v>
          </cell>
        </row>
        <row r="1953">
          <cell r="C1953" t="str">
            <v>UDJEN1416</v>
          </cell>
          <cell r="D1953" t="str">
            <v>OCOR</v>
          </cell>
          <cell r="E1953" t="str">
            <v>OC25</v>
          </cell>
          <cell r="F1953">
            <v>3897</v>
          </cell>
          <cell r="G1953" t="str">
            <v>UD</v>
          </cell>
          <cell r="H1953" t="str">
            <v>USPUDMJEN</v>
          </cell>
          <cell r="I1953" t="str">
            <v>UDJEN1416009</v>
          </cell>
          <cell r="J1953" t="str">
            <v>44</v>
          </cell>
          <cell r="K1953" t="str">
            <v>JEANS</v>
          </cell>
          <cell r="L1953" t="str">
            <v>NOD</v>
          </cell>
        </row>
        <row r="1954">
          <cell r="C1954" t="str">
            <v>UDJEN1416</v>
          </cell>
          <cell r="D1954" t="str">
            <v>OCOR</v>
          </cell>
          <cell r="E1954" t="str">
            <v>OC25</v>
          </cell>
          <cell r="F1954">
            <v>3897</v>
          </cell>
          <cell r="G1954" t="str">
            <v>UD</v>
          </cell>
          <cell r="H1954" t="str">
            <v>USPUDMJEN</v>
          </cell>
          <cell r="I1954" t="str">
            <v>UDJEN1416010</v>
          </cell>
          <cell r="J1954" t="str">
            <v>46</v>
          </cell>
          <cell r="K1954" t="str">
            <v>JEANS</v>
          </cell>
          <cell r="L1954" t="str">
            <v>NOD</v>
          </cell>
        </row>
        <row r="1955">
          <cell r="C1955" t="str">
            <v>UDJEN1416</v>
          </cell>
          <cell r="D1955" t="str">
            <v>OCOR</v>
          </cell>
          <cell r="E1955" t="str">
            <v>OC25</v>
          </cell>
          <cell r="F1955">
            <v>3897</v>
          </cell>
          <cell r="G1955" t="str">
            <v>UD</v>
          </cell>
          <cell r="H1955" t="str">
            <v>USPUDMJEN</v>
          </cell>
          <cell r="I1955" t="str">
            <v>UDJEN1416011</v>
          </cell>
          <cell r="J1955" t="str">
            <v>48</v>
          </cell>
          <cell r="K1955" t="str">
            <v>JEANS</v>
          </cell>
          <cell r="L1955" t="str">
            <v>NOD</v>
          </cell>
        </row>
        <row r="1956">
          <cell r="C1956" t="str">
            <v>UDJEN1424H</v>
          </cell>
          <cell r="D1956" t="str">
            <v>OCOR</v>
          </cell>
          <cell r="E1956" t="str">
            <v>OC25</v>
          </cell>
          <cell r="F1956">
            <v>3897</v>
          </cell>
          <cell r="G1956" t="str">
            <v>UD</v>
          </cell>
          <cell r="H1956" t="str">
            <v>USPUDMJEN</v>
          </cell>
          <cell r="I1956" t="str">
            <v>UDJEN1424H001</v>
          </cell>
          <cell r="J1956" t="str">
            <v>28</v>
          </cell>
          <cell r="K1956" t="str">
            <v>JEANS</v>
          </cell>
          <cell r="L1956" t="str">
            <v>NOD</v>
          </cell>
        </row>
        <row r="1957">
          <cell r="C1957" t="str">
            <v>UDJEN1424H</v>
          </cell>
          <cell r="D1957" t="str">
            <v>OCOR</v>
          </cell>
          <cell r="E1957" t="str">
            <v>OC25</v>
          </cell>
          <cell r="F1957">
            <v>3897</v>
          </cell>
          <cell r="G1957" t="str">
            <v>UD</v>
          </cell>
          <cell r="H1957" t="str">
            <v>USPUDMJEN</v>
          </cell>
          <cell r="I1957" t="str">
            <v>UDJEN1424H002</v>
          </cell>
          <cell r="J1957" t="str">
            <v>30</v>
          </cell>
          <cell r="K1957" t="str">
            <v>JEANS</v>
          </cell>
          <cell r="L1957" t="str">
            <v>NOD</v>
          </cell>
        </row>
        <row r="1958">
          <cell r="C1958" t="str">
            <v>UDJEN1424H</v>
          </cell>
          <cell r="D1958" t="str">
            <v>OCOR</v>
          </cell>
          <cell r="E1958" t="str">
            <v>OC25</v>
          </cell>
          <cell r="F1958">
            <v>3897</v>
          </cell>
          <cell r="G1958" t="str">
            <v>UD</v>
          </cell>
          <cell r="H1958" t="str">
            <v>USPUDMJEN</v>
          </cell>
          <cell r="I1958" t="str">
            <v>UDJEN1424H003</v>
          </cell>
          <cell r="J1958" t="str">
            <v>32</v>
          </cell>
          <cell r="K1958" t="str">
            <v>JEANS</v>
          </cell>
          <cell r="L1958" t="str">
            <v>NOD</v>
          </cell>
        </row>
        <row r="1959">
          <cell r="C1959" t="str">
            <v>UDJEN1424H</v>
          </cell>
          <cell r="D1959" t="str">
            <v>OCOR</v>
          </cell>
          <cell r="E1959" t="str">
            <v>OC25</v>
          </cell>
          <cell r="F1959">
            <v>3897</v>
          </cell>
          <cell r="G1959" t="str">
            <v>UD</v>
          </cell>
          <cell r="H1959" t="str">
            <v>USPUDMJEN</v>
          </cell>
          <cell r="I1959" t="str">
            <v>UDJEN1424H004</v>
          </cell>
          <cell r="J1959" t="str">
            <v>34</v>
          </cell>
          <cell r="K1959" t="str">
            <v>JEANS</v>
          </cell>
          <cell r="L1959" t="str">
            <v>NOD</v>
          </cell>
        </row>
        <row r="1960">
          <cell r="C1960" t="str">
            <v>UDJEN1424H</v>
          </cell>
          <cell r="D1960" t="str">
            <v>OCOR</v>
          </cell>
          <cell r="E1960" t="str">
            <v>OC25</v>
          </cell>
          <cell r="F1960">
            <v>3897</v>
          </cell>
          <cell r="G1960" t="str">
            <v>UD</v>
          </cell>
          <cell r="H1960" t="str">
            <v>USPUDMJEN</v>
          </cell>
          <cell r="I1960" t="str">
            <v>UDJEN1424H005</v>
          </cell>
          <cell r="J1960" t="str">
            <v>36</v>
          </cell>
          <cell r="K1960" t="str">
            <v>JEANS</v>
          </cell>
          <cell r="L1960" t="str">
            <v>NOD</v>
          </cell>
        </row>
        <row r="1961">
          <cell r="C1961" t="str">
            <v>UDJEN1424H</v>
          </cell>
          <cell r="D1961" t="str">
            <v>OCOR</v>
          </cell>
          <cell r="E1961" t="str">
            <v>OC25</v>
          </cell>
          <cell r="F1961">
            <v>3897</v>
          </cell>
          <cell r="G1961" t="str">
            <v>UD</v>
          </cell>
          <cell r="H1961" t="str">
            <v>USPUDMJEN</v>
          </cell>
          <cell r="I1961" t="str">
            <v>UDJEN1424H006</v>
          </cell>
          <cell r="J1961" t="str">
            <v>38</v>
          </cell>
          <cell r="K1961" t="str">
            <v>JEANS</v>
          </cell>
          <cell r="L1961" t="str">
            <v>NOD</v>
          </cell>
        </row>
        <row r="1962">
          <cell r="C1962" t="str">
            <v>UDJEN1424H</v>
          </cell>
          <cell r="D1962" t="str">
            <v>OCOR</v>
          </cell>
          <cell r="E1962" t="str">
            <v>OC25</v>
          </cell>
          <cell r="F1962">
            <v>3897</v>
          </cell>
          <cell r="G1962" t="str">
            <v>UD</v>
          </cell>
          <cell r="H1962" t="str">
            <v>USPUDMJEN</v>
          </cell>
          <cell r="I1962" t="str">
            <v>UDJEN1424H007</v>
          </cell>
          <cell r="J1962" t="str">
            <v>40</v>
          </cell>
          <cell r="K1962" t="str">
            <v>JEANS</v>
          </cell>
          <cell r="L1962" t="str">
            <v>NOD</v>
          </cell>
        </row>
        <row r="1963">
          <cell r="C1963" t="str">
            <v>UDJEN1424H</v>
          </cell>
          <cell r="D1963" t="str">
            <v>OCOR</v>
          </cell>
          <cell r="E1963" t="str">
            <v>OC25</v>
          </cell>
          <cell r="F1963">
            <v>3897</v>
          </cell>
          <cell r="G1963" t="str">
            <v>UD</v>
          </cell>
          <cell r="H1963" t="str">
            <v>USPUDMJEN</v>
          </cell>
          <cell r="I1963" t="str">
            <v>UDJEN1424H008</v>
          </cell>
          <cell r="J1963" t="str">
            <v>42</v>
          </cell>
          <cell r="K1963" t="str">
            <v>JEANS</v>
          </cell>
          <cell r="L1963" t="str">
            <v>NOD</v>
          </cell>
        </row>
        <row r="1964">
          <cell r="C1964" t="str">
            <v>UDJEN1424H</v>
          </cell>
          <cell r="D1964" t="str">
            <v>OCOR</v>
          </cell>
          <cell r="E1964" t="str">
            <v>OC25</v>
          </cell>
          <cell r="F1964">
            <v>4107</v>
          </cell>
          <cell r="G1964" t="str">
            <v>UD</v>
          </cell>
          <cell r="H1964" t="str">
            <v>USPUDMJEN</v>
          </cell>
          <cell r="I1964" t="str">
            <v>UDJEN1424H009</v>
          </cell>
          <cell r="J1964" t="str">
            <v>44</v>
          </cell>
          <cell r="K1964" t="str">
            <v>JEANS</v>
          </cell>
          <cell r="L1964" t="str">
            <v>NOD</v>
          </cell>
        </row>
        <row r="1965">
          <cell r="C1965" t="str">
            <v>UDJEN1424H</v>
          </cell>
          <cell r="D1965" t="str">
            <v>OCOR</v>
          </cell>
          <cell r="E1965" t="str">
            <v>OC25</v>
          </cell>
          <cell r="F1965">
            <v>4107</v>
          </cell>
          <cell r="G1965" t="str">
            <v>UD</v>
          </cell>
          <cell r="H1965" t="str">
            <v>USPUDMJEN</v>
          </cell>
          <cell r="I1965" t="str">
            <v>UDJEN1424H010</v>
          </cell>
          <cell r="J1965" t="str">
            <v>46</v>
          </cell>
          <cell r="K1965" t="str">
            <v>JEANS</v>
          </cell>
          <cell r="L1965" t="str">
            <v>NOD</v>
          </cell>
        </row>
        <row r="1966">
          <cell r="C1966" t="str">
            <v>UDJEN1424H</v>
          </cell>
          <cell r="D1966" t="str">
            <v>OCOR</v>
          </cell>
          <cell r="E1966" t="str">
            <v>OC25</v>
          </cell>
          <cell r="F1966">
            <v>4107</v>
          </cell>
          <cell r="G1966" t="str">
            <v>UD</v>
          </cell>
          <cell r="H1966" t="str">
            <v>USPUDMJEN</v>
          </cell>
          <cell r="I1966" t="str">
            <v>UDJEN1424H011</v>
          </cell>
          <cell r="J1966" t="str">
            <v>48</v>
          </cell>
          <cell r="K1966" t="str">
            <v>JEANS</v>
          </cell>
          <cell r="L1966" t="str">
            <v>NOD</v>
          </cell>
        </row>
        <row r="1967">
          <cell r="C1967" t="str">
            <v>UDJEN1428</v>
          </cell>
          <cell r="D1967" t="str">
            <v>OCOR</v>
          </cell>
          <cell r="E1967" t="str">
            <v>OC25</v>
          </cell>
          <cell r="F1967">
            <v>3897</v>
          </cell>
          <cell r="G1967" t="str">
            <v>UD</v>
          </cell>
          <cell r="H1967" t="str">
            <v>USPUDMJEN</v>
          </cell>
          <cell r="I1967" t="str">
            <v>UDJEN1428001</v>
          </cell>
          <cell r="J1967" t="str">
            <v>28</v>
          </cell>
          <cell r="K1967" t="str">
            <v>JEANS</v>
          </cell>
          <cell r="L1967" t="str">
            <v>NOD</v>
          </cell>
        </row>
        <row r="1968">
          <cell r="C1968" t="str">
            <v>UDJEN1428</v>
          </cell>
          <cell r="D1968" t="str">
            <v>OCOR</v>
          </cell>
          <cell r="E1968" t="str">
            <v>OC25</v>
          </cell>
          <cell r="F1968">
            <v>3897</v>
          </cell>
          <cell r="G1968" t="str">
            <v>UD</v>
          </cell>
          <cell r="H1968" t="str">
            <v>USPUDMJEN</v>
          </cell>
          <cell r="I1968" t="str">
            <v>UDJEN1428002</v>
          </cell>
          <cell r="J1968" t="str">
            <v>30</v>
          </cell>
          <cell r="K1968" t="str">
            <v>JEANS</v>
          </cell>
          <cell r="L1968" t="str">
            <v>NOD</v>
          </cell>
        </row>
        <row r="1969">
          <cell r="C1969" t="str">
            <v>UDJEN1428</v>
          </cell>
          <cell r="D1969" t="str">
            <v>OCOR</v>
          </cell>
          <cell r="E1969" t="str">
            <v>OC25</v>
          </cell>
          <cell r="F1969">
            <v>3897</v>
          </cell>
          <cell r="G1969" t="str">
            <v>UD</v>
          </cell>
          <cell r="H1969" t="str">
            <v>USPUDMJEN</v>
          </cell>
          <cell r="I1969" t="str">
            <v>UDJEN1428003</v>
          </cell>
          <cell r="J1969" t="str">
            <v>32</v>
          </cell>
          <cell r="K1969" t="str">
            <v>JEANS</v>
          </cell>
          <cell r="L1969" t="str">
            <v>NOD</v>
          </cell>
        </row>
        <row r="1970">
          <cell r="C1970" t="str">
            <v>UDJEN1428</v>
          </cell>
          <cell r="D1970" t="str">
            <v>OCOR</v>
          </cell>
          <cell r="E1970" t="str">
            <v>OC25</v>
          </cell>
          <cell r="F1970">
            <v>3897</v>
          </cell>
          <cell r="G1970" t="str">
            <v>UD</v>
          </cell>
          <cell r="H1970" t="str">
            <v>USPUDMJEN</v>
          </cell>
          <cell r="I1970" t="str">
            <v>UDJEN1428004</v>
          </cell>
          <cell r="J1970" t="str">
            <v>34</v>
          </cell>
          <cell r="K1970" t="str">
            <v>JEANS</v>
          </cell>
          <cell r="L1970" t="str">
            <v>NOD</v>
          </cell>
        </row>
        <row r="1971">
          <cell r="C1971" t="str">
            <v>UDJEN1428</v>
          </cell>
          <cell r="D1971" t="str">
            <v>OCOR</v>
          </cell>
          <cell r="E1971" t="str">
            <v>OC25</v>
          </cell>
          <cell r="F1971">
            <v>3897</v>
          </cell>
          <cell r="G1971" t="str">
            <v>UD</v>
          </cell>
          <cell r="H1971" t="str">
            <v>USPUDMJEN</v>
          </cell>
          <cell r="I1971" t="str">
            <v>UDJEN1428005</v>
          </cell>
          <cell r="J1971" t="str">
            <v>36</v>
          </cell>
          <cell r="K1971" t="str">
            <v>JEANS</v>
          </cell>
          <cell r="L1971" t="str">
            <v>NOD</v>
          </cell>
        </row>
        <row r="1972">
          <cell r="C1972" t="str">
            <v>UDJEN1428</v>
          </cell>
          <cell r="D1972" t="str">
            <v>OCOR</v>
          </cell>
          <cell r="E1972" t="str">
            <v>OC25</v>
          </cell>
          <cell r="F1972">
            <v>3897</v>
          </cell>
          <cell r="G1972" t="str">
            <v>UD</v>
          </cell>
          <cell r="H1972" t="str">
            <v>USPUDMJEN</v>
          </cell>
          <cell r="I1972" t="str">
            <v>UDJEN1428006</v>
          </cell>
          <cell r="J1972" t="str">
            <v>38</v>
          </cell>
          <cell r="K1972" t="str">
            <v>JEANS</v>
          </cell>
          <cell r="L1972" t="str">
            <v>NOD</v>
          </cell>
        </row>
        <row r="1973">
          <cell r="C1973" t="str">
            <v>UDJEN1428</v>
          </cell>
          <cell r="D1973" t="str">
            <v>OCOR</v>
          </cell>
          <cell r="E1973" t="str">
            <v>OC25</v>
          </cell>
          <cell r="F1973">
            <v>3897</v>
          </cell>
          <cell r="G1973" t="str">
            <v>UD</v>
          </cell>
          <cell r="H1973" t="str">
            <v>USPUDMJEN</v>
          </cell>
          <cell r="I1973" t="str">
            <v>UDJEN1428007</v>
          </cell>
          <cell r="J1973" t="str">
            <v>40</v>
          </cell>
          <cell r="K1973" t="str">
            <v>JEANS</v>
          </cell>
          <cell r="L1973" t="str">
            <v>NOD</v>
          </cell>
        </row>
        <row r="1974">
          <cell r="C1974" t="str">
            <v>UDJEN1428</v>
          </cell>
          <cell r="D1974" t="str">
            <v>OCOR</v>
          </cell>
          <cell r="E1974" t="str">
            <v>OC25</v>
          </cell>
          <cell r="F1974">
            <v>3897</v>
          </cell>
          <cell r="G1974" t="str">
            <v>UD</v>
          </cell>
          <cell r="H1974" t="str">
            <v>USPUDMJEN</v>
          </cell>
          <cell r="I1974" t="str">
            <v>UDJEN1428008</v>
          </cell>
          <cell r="J1974" t="str">
            <v>42</v>
          </cell>
          <cell r="K1974" t="str">
            <v>JEANS</v>
          </cell>
          <cell r="L1974" t="str">
            <v>NOD</v>
          </cell>
        </row>
        <row r="1975">
          <cell r="C1975" t="str">
            <v>UDJEN1428</v>
          </cell>
          <cell r="D1975" t="str">
            <v>OCOR</v>
          </cell>
          <cell r="E1975" t="str">
            <v>OC25</v>
          </cell>
          <cell r="F1975">
            <v>4107</v>
          </cell>
          <cell r="G1975" t="str">
            <v>UD</v>
          </cell>
          <cell r="H1975" t="str">
            <v>USPUDMJEN</v>
          </cell>
          <cell r="I1975" t="str">
            <v>UDJEN1428009</v>
          </cell>
          <cell r="J1975" t="str">
            <v>44</v>
          </cell>
          <cell r="K1975" t="str">
            <v>JEANS</v>
          </cell>
          <cell r="L1975" t="str">
            <v>NOD</v>
          </cell>
        </row>
        <row r="1976">
          <cell r="C1976" t="str">
            <v>UDJEN1428</v>
          </cell>
          <cell r="D1976" t="str">
            <v>OCOR</v>
          </cell>
          <cell r="E1976" t="str">
            <v>OC25</v>
          </cell>
          <cell r="F1976">
            <v>4107</v>
          </cell>
          <cell r="G1976" t="str">
            <v>UD</v>
          </cell>
          <cell r="H1976" t="str">
            <v>USPUDMJEN</v>
          </cell>
          <cell r="I1976" t="str">
            <v>UDJEN1428010</v>
          </cell>
          <cell r="J1976" t="str">
            <v>46</v>
          </cell>
          <cell r="K1976" t="str">
            <v>JEANS</v>
          </cell>
          <cell r="L1976" t="str">
            <v>NOD</v>
          </cell>
        </row>
        <row r="1977">
          <cell r="C1977" t="str">
            <v>UDJEN1428</v>
          </cell>
          <cell r="D1977" t="str">
            <v>OCOR</v>
          </cell>
          <cell r="E1977" t="str">
            <v>OC25</v>
          </cell>
          <cell r="F1977">
            <v>4107</v>
          </cell>
          <cell r="G1977" t="str">
            <v>UD</v>
          </cell>
          <cell r="H1977" t="str">
            <v>USPUDMJEN</v>
          </cell>
          <cell r="I1977" t="str">
            <v>UDJEN1428011</v>
          </cell>
          <cell r="J1977" t="str">
            <v>48</v>
          </cell>
          <cell r="K1977" t="str">
            <v>JEANS</v>
          </cell>
          <cell r="L1977" t="str">
            <v>NOD</v>
          </cell>
        </row>
        <row r="1978">
          <cell r="C1978" t="str">
            <v>UDJEN1565H</v>
          </cell>
          <cell r="D1978" t="str">
            <v>OCOR</v>
          </cell>
          <cell r="E1978" t="str">
            <v>OC25</v>
          </cell>
          <cell r="F1978">
            <v>3686</v>
          </cell>
          <cell r="G1978" t="str">
            <v>UD</v>
          </cell>
          <cell r="H1978" t="str">
            <v>USPUDMJEN</v>
          </cell>
          <cell r="I1978" t="str">
            <v>UDJEN1565H001</v>
          </cell>
          <cell r="J1978" t="str">
            <v>28</v>
          </cell>
          <cell r="K1978" t="str">
            <v>JEANS</v>
          </cell>
          <cell r="L1978" t="str">
            <v>NOD</v>
          </cell>
        </row>
        <row r="1979">
          <cell r="C1979" t="str">
            <v>UDJEN1565H</v>
          </cell>
          <cell r="D1979" t="str">
            <v>OCOR</v>
          </cell>
          <cell r="E1979" t="str">
            <v>OC25</v>
          </cell>
          <cell r="F1979">
            <v>3686</v>
          </cell>
          <cell r="G1979" t="str">
            <v>UD</v>
          </cell>
          <cell r="H1979" t="str">
            <v>USPUDMJEN</v>
          </cell>
          <cell r="I1979" t="str">
            <v>UDJEN1565H002</v>
          </cell>
          <cell r="J1979" t="str">
            <v>30</v>
          </cell>
          <cell r="K1979" t="str">
            <v>JEANS</v>
          </cell>
          <cell r="L1979" t="str">
            <v>NOD</v>
          </cell>
        </row>
        <row r="1980">
          <cell r="C1980" t="str">
            <v>UDJEN1565H</v>
          </cell>
          <cell r="D1980" t="str">
            <v>OCOR</v>
          </cell>
          <cell r="E1980" t="str">
            <v>OC25</v>
          </cell>
          <cell r="F1980">
            <v>3686</v>
          </cell>
          <cell r="G1980" t="str">
            <v>UD</v>
          </cell>
          <cell r="H1980" t="str">
            <v>USPUDMJEN</v>
          </cell>
          <cell r="I1980" t="str">
            <v>UDJEN1565H003</v>
          </cell>
          <cell r="J1980" t="str">
            <v>32</v>
          </cell>
          <cell r="K1980" t="str">
            <v>JEANS</v>
          </cell>
          <cell r="L1980" t="str">
            <v>NOD</v>
          </cell>
        </row>
        <row r="1981">
          <cell r="C1981" t="str">
            <v>UDJEN1565H</v>
          </cell>
          <cell r="D1981" t="str">
            <v>OCOR</v>
          </cell>
          <cell r="E1981" t="str">
            <v>OC25</v>
          </cell>
          <cell r="F1981">
            <v>3686</v>
          </cell>
          <cell r="G1981" t="str">
            <v>UD</v>
          </cell>
          <cell r="H1981" t="str">
            <v>USPUDMJEN</v>
          </cell>
          <cell r="I1981" t="str">
            <v>UDJEN1565H004</v>
          </cell>
          <cell r="J1981" t="str">
            <v>34</v>
          </cell>
          <cell r="K1981" t="str">
            <v>JEANS</v>
          </cell>
          <cell r="L1981" t="str">
            <v>NOD</v>
          </cell>
        </row>
        <row r="1982">
          <cell r="C1982" t="str">
            <v>UDJEN1565H</v>
          </cell>
          <cell r="D1982" t="str">
            <v>OCOR</v>
          </cell>
          <cell r="E1982" t="str">
            <v>OC25</v>
          </cell>
          <cell r="F1982">
            <v>3686</v>
          </cell>
          <cell r="G1982" t="str">
            <v>UD</v>
          </cell>
          <cell r="H1982" t="str">
            <v>USPUDMJEN</v>
          </cell>
          <cell r="I1982" t="str">
            <v>UDJEN1565H005</v>
          </cell>
          <cell r="J1982" t="str">
            <v>36</v>
          </cell>
          <cell r="K1982" t="str">
            <v>JEANS</v>
          </cell>
          <cell r="L1982" t="str">
            <v>NOD</v>
          </cell>
        </row>
        <row r="1983">
          <cell r="C1983" t="str">
            <v>UDJEN1565H</v>
          </cell>
          <cell r="D1983" t="str">
            <v>OCOR</v>
          </cell>
          <cell r="E1983" t="str">
            <v>OC25</v>
          </cell>
          <cell r="F1983">
            <v>3686</v>
          </cell>
          <cell r="G1983" t="str">
            <v>UD</v>
          </cell>
          <cell r="H1983" t="str">
            <v>USPUDMJEN</v>
          </cell>
          <cell r="I1983" t="str">
            <v>UDJEN1565H006</v>
          </cell>
          <cell r="J1983" t="str">
            <v>38</v>
          </cell>
          <cell r="K1983" t="str">
            <v>JEANS</v>
          </cell>
          <cell r="L1983" t="str">
            <v>NOD</v>
          </cell>
        </row>
        <row r="1984">
          <cell r="C1984" t="str">
            <v>UDJEN1565H</v>
          </cell>
          <cell r="D1984" t="str">
            <v>OCOR</v>
          </cell>
          <cell r="E1984" t="str">
            <v>OC25</v>
          </cell>
          <cell r="F1984">
            <v>3686</v>
          </cell>
          <cell r="G1984" t="str">
            <v>UD</v>
          </cell>
          <cell r="H1984" t="str">
            <v>USPUDMJEN</v>
          </cell>
          <cell r="I1984" t="str">
            <v>UDJEN1565H007</v>
          </cell>
          <cell r="J1984" t="str">
            <v>40</v>
          </cell>
          <cell r="K1984" t="str">
            <v>JEANS</v>
          </cell>
          <cell r="L1984" t="str">
            <v>NOD</v>
          </cell>
        </row>
        <row r="1985">
          <cell r="C1985" t="str">
            <v>UDJEN1565H</v>
          </cell>
          <cell r="D1985" t="str">
            <v>OCOR</v>
          </cell>
          <cell r="E1985" t="str">
            <v>OC25</v>
          </cell>
          <cell r="F1985">
            <v>3686</v>
          </cell>
          <cell r="G1985" t="str">
            <v>UD</v>
          </cell>
          <cell r="H1985" t="str">
            <v>USPUDMJEN</v>
          </cell>
          <cell r="I1985" t="str">
            <v>UDJEN1565H008</v>
          </cell>
          <cell r="J1985" t="str">
            <v>42</v>
          </cell>
          <cell r="K1985" t="str">
            <v>JEANS</v>
          </cell>
          <cell r="L1985" t="str">
            <v>NOD</v>
          </cell>
        </row>
        <row r="1986">
          <cell r="C1986" t="str">
            <v>UDJEN1565H</v>
          </cell>
          <cell r="D1986" t="str">
            <v>OCOR</v>
          </cell>
          <cell r="E1986" t="str">
            <v>OC25</v>
          </cell>
          <cell r="F1986">
            <v>3897</v>
          </cell>
          <cell r="G1986" t="str">
            <v>UD</v>
          </cell>
          <cell r="H1986" t="str">
            <v>USPUDMJEN</v>
          </cell>
          <cell r="I1986" t="str">
            <v>UDJEN1565H009</v>
          </cell>
          <cell r="J1986" t="str">
            <v>44</v>
          </cell>
          <cell r="K1986" t="str">
            <v>JEANS</v>
          </cell>
          <cell r="L1986" t="str">
            <v>NOD</v>
          </cell>
        </row>
        <row r="1987">
          <cell r="C1987" t="str">
            <v>UDJEN1565H</v>
          </cell>
          <cell r="D1987" t="str">
            <v>OCOR</v>
          </cell>
          <cell r="E1987" t="str">
            <v>OC25</v>
          </cell>
          <cell r="F1987">
            <v>3897</v>
          </cell>
          <cell r="G1987" t="str">
            <v>UD</v>
          </cell>
          <cell r="H1987" t="str">
            <v>USPUDMJEN</v>
          </cell>
          <cell r="I1987" t="str">
            <v>UDJEN1565H010</v>
          </cell>
          <cell r="J1987" t="str">
            <v>46</v>
          </cell>
          <cell r="K1987" t="str">
            <v>JEANS</v>
          </cell>
          <cell r="L1987" t="str">
            <v>NOD</v>
          </cell>
        </row>
        <row r="1988">
          <cell r="C1988" t="str">
            <v>UDJEN1565H</v>
          </cell>
          <cell r="D1988" t="str">
            <v>OCOR</v>
          </cell>
          <cell r="E1988" t="str">
            <v>OC25</v>
          </cell>
          <cell r="F1988">
            <v>3897</v>
          </cell>
          <cell r="G1988" t="str">
            <v>UD</v>
          </cell>
          <cell r="H1988" t="str">
            <v>USPUDMJEN</v>
          </cell>
          <cell r="I1988" t="str">
            <v>UDJEN1565H011</v>
          </cell>
          <cell r="J1988" t="str">
            <v>48</v>
          </cell>
          <cell r="K1988" t="str">
            <v>JEANS</v>
          </cell>
          <cell r="L1988" t="str">
            <v>NOD</v>
          </cell>
        </row>
        <row r="1989">
          <cell r="C1989" t="str">
            <v>UDJENC0102</v>
          </cell>
          <cell r="D1989" t="str">
            <v>CORE</v>
          </cell>
          <cell r="E1989" t="str">
            <v>CO25</v>
          </cell>
          <cell r="F1989">
            <v>4002</v>
          </cell>
          <cell r="G1989" t="str">
            <v>UD</v>
          </cell>
          <cell r="H1989" t="str">
            <v>USPUDMJEN</v>
          </cell>
          <cell r="I1989" t="str">
            <v>UDJENC0102001</v>
          </cell>
          <cell r="J1989" t="str">
            <v>28</v>
          </cell>
          <cell r="K1989" t="str">
            <v>JEANS</v>
          </cell>
          <cell r="L1989" t="str">
            <v>NOD</v>
          </cell>
        </row>
        <row r="1990">
          <cell r="C1990" t="str">
            <v>UDJENC0102</v>
          </cell>
          <cell r="D1990" t="str">
            <v>CORE</v>
          </cell>
          <cell r="E1990" t="str">
            <v>CO25</v>
          </cell>
          <cell r="F1990">
            <v>4002</v>
          </cell>
          <cell r="G1990" t="str">
            <v>UD</v>
          </cell>
          <cell r="H1990" t="str">
            <v>USPUDMJEN</v>
          </cell>
          <cell r="I1990" t="str">
            <v>UDJENC0102002</v>
          </cell>
          <cell r="J1990" t="str">
            <v>30</v>
          </cell>
          <cell r="K1990" t="str">
            <v>JEANS</v>
          </cell>
          <cell r="L1990" t="str">
            <v>NOD</v>
          </cell>
        </row>
        <row r="1991">
          <cell r="C1991" t="str">
            <v>UDJENC0102</v>
          </cell>
          <cell r="D1991" t="str">
            <v>CORE</v>
          </cell>
          <cell r="E1991" t="str">
            <v>CO25</v>
          </cell>
          <cell r="F1991">
            <v>4002</v>
          </cell>
          <cell r="G1991" t="str">
            <v>UD</v>
          </cell>
          <cell r="H1991" t="str">
            <v>USPUDMJEN</v>
          </cell>
          <cell r="I1991" t="str">
            <v>UDJENC0102003</v>
          </cell>
          <cell r="J1991" t="str">
            <v>32</v>
          </cell>
          <cell r="K1991" t="str">
            <v>JEANS</v>
          </cell>
          <cell r="L1991" t="str">
            <v>NOD</v>
          </cell>
        </row>
        <row r="1992">
          <cell r="C1992" t="str">
            <v>UDJENC0102</v>
          </cell>
          <cell r="D1992" t="str">
            <v>CORE</v>
          </cell>
          <cell r="E1992" t="str">
            <v>CO25</v>
          </cell>
          <cell r="F1992">
            <v>4002</v>
          </cell>
          <cell r="G1992" t="str">
            <v>UD</v>
          </cell>
          <cell r="H1992" t="str">
            <v>USPUDMJEN</v>
          </cell>
          <cell r="I1992" t="str">
            <v>UDJENC0102004</v>
          </cell>
          <cell r="J1992" t="str">
            <v>34</v>
          </cell>
          <cell r="K1992" t="str">
            <v>JEANS</v>
          </cell>
          <cell r="L1992" t="str">
            <v>NOD</v>
          </cell>
        </row>
        <row r="1993">
          <cell r="C1993" t="str">
            <v>UDJENC0102</v>
          </cell>
          <cell r="D1993" t="str">
            <v>CORE</v>
          </cell>
          <cell r="E1993" t="str">
            <v>CO25</v>
          </cell>
          <cell r="F1993">
            <v>4002</v>
          </cell>
          <cell r="G1993" t="str">
            <v>UD</v>
          </cell>
          <cell r="H1993" t="str">
            <v>USPUDMJEN</v>
          </cell>
          <cell r="I1993" t="str">
            <v>UDJENC0102005</v>
          </cell>
          <cell r="J1993" t="str">
            <v>36</v>
          </cell>
          <cell r="K1993" t="str">
            <v>JEANS</v>
          </cell>
          <cell r="L1993" t="str">
            <v>NOD</v>
          </cell>
        </row>
        <row r="1994">
          <cell r="C1994" t="str">
            <v>UDJENC0102</v>
          </cell>
          <cell r="D1994" t="str">
            <v>CORE</v>
          </cell>
          <cell r="E1994" t="str">
            <v>CO25</v>
          </cell>
          <cell r="F1994">
            <v>4002</v>
          </cell>
          <cell r="G1994" t="str">
            <v>UD</v>
          </cell>
          <cell r="H1994" t="str">
            <v>USPUDMJEN</v>
          </cell>
          <cell r="I1994" t="str">
            <v>UDJENC0102006</v>
          </cell>
          <cell r="J1994" t="str">
            <v>38</v>
          </cell>
          <cell r="K1994" t="str">
            <v>JEANS</v>
          </cell>
          <cell r="L1994" t="str">
            <v>NOD</v>
          </cell>
        </row>
        <row r="1995">
          <cell r="C1995" t="str">
            <v>UDJENC0102</v>
          </cell>
          <cell r="D1995" t="str">
            <v>CORE</v>
          </cell>
          <cell r="E1995" t="str">
            <v>CO25</v>
          </cell>
          <cell r="F1995">
            <v>4002</v>
          </cell>
          <cell r="G1995" t="str">
            <v>UD</v>
          </cell>
          <cell r="H1995" t="str">
            <v>USPUDMJEN</v>
          </cell>
          <cell r="I1995" t="str">
            <v>UDJENC0102007</v>
          </cell>
          <cell r="J1995" t="str">
            <v>40</v>
          </cell>
          <cell r="K1995" t="str">
            <v>JEANS</v>
          </cell>
          <cell r="L1995" t="str">
            <v>NOD</v>
          </cell>
        </row>
        <row r="1996">
          <cell r="C1996" t="str">
            <v>UDJENC0102</v>
          </cell>
          <cell r="D1996" t="str">
            <v>CORE</v>
          </cell>
          <cell r="E1996" t="str">
            <v>CO25</v>
          </cell>
          <cell r="F1996">
            <v>4002</v>
          </cell>
          <cell r="G1996" t="str">
            <v>UD</v>
          </cell>
          <cell r="H1996" t="str">
            <v>USPUDMJEN</v>
          </cell>
          <cell r="I1996" t="str">
            <v>UDJENC0102008</v>
          </cell>
          <cell r="J1996" t="str">
            <v>42</v>
          </cell>
          <cell r="K1996" t="str">
            <v>JEANS</v>
          </cell>
          <cell r="L1996" t="str">
            <v>NOD</v>
          </cell>
        </row>
        <row r="1997">
          <cell r="C1997" t="str">
            <v>UDJENC0102</v>
          </cell>
          <cell r="D1997" t="str">
            <v>CORE</v>
          </cell>
          <cell r="E1997" t="str">
            <v>CO25</v>
          </cell>
          <cell r="F1997">
            <v>4002</v>
          </cell>
          <cell r="G1997" t="str">
            <v>UD</v>
          </cell>
          <cell r="H1997" t="str">
            <v>USPUDMJEN</v>
          </cell>
          <cell r="I1997" t="str">
            <v>UDJENC0102009</v>
          </cell>
          <cell r="J1997" t="str">
            <v>44</v>
          </cell>
          <cell r="K1997" t="str">
            <v>JEANS</v>
          </cell>
          <cell r="L1997" t="str">
            <v>NOD</v>
          </cell>
        </row>
        <row r="1998">
          <cell r="C1998" t="str">
            <v>UDJENC0102</v>
          </cell>
          <cell r="D1998" t="str">
            <v>CORE</v>
          </cell>
          <cell r="E1998" t="str">
            <v>CO25</v>
          </cell>
          <cell r="F1998">
            <v>4002</v>
          </cell>
          <cell r="G1998" t="str">
            <v>UD</v>
          </cell>
          <cell r="H1998" t="str">
            <v>USPUDMJEN</v>
          </cell>
          <cell r="I1998" t="str">
            <v>UDJENC0102010</v>
          </cell>
          <cell r="J1998" t="str">
            <v>46</v>
          </cell>
          <cell r="K1998" t="str">
            <v>JEANS</v>
          </cell>
          <cell r="L1998" t="str">
            <v>NOD</v>
          </cell>
        </row>
        <row r="1999">
          <cell r="C1999" t="str">
            <v>UDJENC0102</v>
          </cell>
          <cell r="D1999" t="str">
            <v>CORE</v>
          </cell>
          <cell r="E1999" t="str">
            <v>CO25</v>
          </cell>
          <cell r="F1999">
            <v>4002</v>
          </cell>
          <cell r="G1999" t="str">
            <v>UD</v>
          </cell>
          <cell r="H1999" t="str">
            <v>USPUDMJEN</v>
          </cell>
          <cell r="I1999" t="str">
            <v>UDJENC0102011</v>
          </cell>
          <cell r="J1999" t="str">
            <v>48</v>
          </cell>
          <cell r="K1999" t="str">
            <v>JEANS</v>
          </cell>
          <cell r="L1999" t="str">
            <v>NOD</v>
          </cell>
        </row>
        <row r="2000">
          <cell r="C2000" t="str">
            <v>UDJENC0103</v>
          </cell>
          <cell r="D2000" t="str">
            <v>CORE</v>
          </cell>
          <cell r="E2000" t="str">
            <v>CO26</v>
          </cell>
          <cell r="F2000">
            <v>4002</v>
          </cell>
          <cell r="G2000" t="str">
            <v>UD</v>
          </cell>
          <cell r="H2000" t="str">
            <v>USPUDMJEN</v>
          </cell>
          <cell r="I2000" t="str">
            <v>UDJENC0103001</v>
          </cell>
          <cell r="J2000" t="str">
            <v>28</v>
          </cell>
          <cell r="K2000" t="str">
            <v>JEANS</v>
          </cell>
          <cell r="L2000" t="str">
            <v>NOD</v>
          </cell>
        </row>
        <row r="2001">
          <cell r="C2001" t="str">
            <v>UDJENC0103</v>
          </cell>
          <cell r="D2001" t="str">
            <v>CORE</v>
          </cell>
          <cell r="E2001" t="str">
            <v>CO26</v>
          </cell>
          <cell r="F2001">
            <v>4002</v>
          </cell>
          <cell r="G2001" t="str">
            <v>UD</v>
          </cell>
          <cell r="H2001" t="str">
            <v>USPUDMJEN</v>
          </cell>
          <cell r="I2001" t="str">
            <v>UDJENC0103002</v>
          </cell>
          <cell r="J2001" t="str">
            <v>30</v>
          </cell>
          <cell r="K2001" t="str">
            <v>JEANS</v>
          </cell>
          <cell r="L2001" t="str">
            <v>NOD</v>
          </cell>
        </row>
        <row r="2002">
          <cell r="C2002" t="str">
            <v>UDJENC0103</v>
          </cell>
          <cell r="D2002" t="str">
            <v>CORE</v>
          </cell>
          <cell r="E2002" t="str">
            <v>CO26</v>
          </cell>
          <cell r="F2002">
            <v>4002</v>
          </cell>
          <cell r="G2002" t="str">
            <v>UD</v>
          </cell>
          <cell r="H2002" t="str">
            <v>USPUDMJEN</v>
          </cell>
          <cell r="I2002" t="str">
            <v>UDJENC0103003</v>
          </cell>
          <cell r="J2002" t="str">
            <v>32</v>
          </cell>
          <cell r="K2002" t="str">
            <v>JEANS</v>
          </cell>
          <cell r="L2002" t="str">
            <v>NOD</v>
          </cell>
        </row>
        <row r="2003">
          <cell r="C2003" t="str">
            <v>UDJENC0103</v>
          </cell>
          <cell r="D2003" t="str">
            <v>CORE</v>
          </cell>
          <cell r="E2003" t="str">
            <v>CO26</v>
          </cell>
          <cell r="F2003">
            <v>4002</v>
          </cell>
          <cell r="G2003" t="str">
            <v>UD</v>
          </cell>
          <cell r="H2003" t="str">
            <v>USPUDMJEN</v>
          </cell>
          <cell r="I2003" t="str">
            <v>UDJENC0103004</v>
          </cell>
          <cell r="J2003" t="str">
            <v>34</v>
          </cell>
          <cell r="K2003" t="str">
            <v>JEANS</v>
          </cell>
          <cell r="L2003" t="str">
            <v>NOD</v>
          </cell>
        </row>
        <row r="2004">
          <cell r="C2004" t="str">
            <v>UDJENC0103</v>
          </cell>
          <cell r="D2004" t="str">
            <v>CORE</v>
          </cell>
          <cell r="E2004" t="str">
            <v>CO26</v>
          </cell>
          <cell r="F2004">
            <v>4002</v>
          </cell>
          <cell r="G2004" t="str">
            <v>UD</v>
          </cell>
          <cell r="H2004" t="str">
            <v>USPUDMJEN</v>
          </cell>
          <cell r="I2004" t="str">
            <v>UDJENC0103005</v>
          </cell>
          <cell r="J2004" t="str">
            <v>36</v>
          </cell>
          <cell r="K2004" t="str">
            <v>JEANS</v>
          </cell>
          <cell r="L2004" t="str">
            <v>NOD</v>
          </cell>
        </row>
        <row r="2005">
          <cell r="C2005" t="str">
            <v>UDJENC0103</v>
          </cell>
          <cell r="D2005" t="str">
            <v>CORE</v>
          </cell>
          <cell r="E2005" t="str">
            <v>CO26</v>
          </cell>
          <cell r="F2005">
            <v>4002</v>
          </cell>
          <cell r="G2005" t="str">
            <v>UD</v>
          </cell>
          <cell r="H2005" t="str">
            <v>USPUDMJEN</v>
          </cell>
          <cell r="I2005" t="str">
            <v>UDJENC0103006</v>
          </cell>
          <cell r="J2005" t="str">
            <v>38</v>
          </cell>
          <cell r="K2005" t="str">
            <v>JEANS</v>
          </cell>
          <cell r="L2005" t="str">
            <v>NOD</v>
          </cell>
        </row>
        <row r="2006">
          <cell r="C2006" t="str">
            <v>UDJENC0103</v>
          </cell>
          <cell r="D2006" t="str">
            <v>CORE</v>
          </cell>
          <cell r="E2006" t="str">
            <v>CO26</v>
          </cell>
          <cell r="F2006">
            <v>4002</v>
          </cell>
          <cell r="G2006" t="str">
            <v>UD</v>
          </cell>
          <cell r="H2006" t="str">
            <v>USPUDMJEN</v>
          </cell>
          <cell r="I2006" t="str">
            <v>UDJENC0103007</v>
          </cell>
          <cell r="J2006" t="str">
            <v>40</v>
          </cell>
          <cell r="K2006" t="str">
            <v>JEANS</v>
          </cell>
          <cell r="L2006" t="str">
            <v>NOD</v>
          </cell>
        </row>
        <row r="2007">
          <cell r="C2007" t="str">
            <v>UDJENC0103</v>
          </cell>
          <cell r="D2007" t="str">
            <v>CORE</v>
          </cell>
          <cell r="E2007" t="str">
            <v>CO26</v>
          </cell>
          <cell r="F2007">
            <v>4002</v>
          </cell>
          <cell r="G2007" t="str">
            <v>UD</v>
          </cell>
          <cell r="H2007" t="str">
            <v>USPUDMJEN</v>
          </cell>
          <cell r="I2007" t="str">
            <v>UDJENC0103008</v>
          </cell>
          <cell r="J2007" t="str">
            <v>42</v>
          </cell>
          <cell r="K2007" t="str">
            <v>JEANS</v>
          </cell>
          <cell r="L2007" t="str">
            <v>NOD</v>
          </cell>
        </row>
        <row r="2008">
          <cell r="C2008" t="str">
            <v>UDJENC0103</v>
          </cell>
          <cell r="D2008" t="str">
            <v>CORE</v>
          </cell>
          <cell r="E2008" t="str">
            <v>CO26</v>
          </cell>
          <cell r="F2008">
            <v>4002</v>
          </cell>
          <cell r="G2008" t="str">
            <v>UD</v>
          </cell>
          <cell r="H2008" t="str">
            <v>USPUDMJEN</v>
          </cell>
          <cell r="I2008" t="str">
            <v>UDJENC0103009</v>
          </cell>
          <cell r="J2008" t="str">
            <v>44</v>
          </cell>
          <cell r="K2008" t="str">
            <v>JEANS</v>
          </cell>
          <cell r="L2008" t="str">
            <v>NOD</v>
          </cell>
        </row>
        <row r="2009">
          <cell r="C2009" t="str">
            <v>UDJENC0103</v>
          </cell>
          <cell r="D2009" t="str">
            <v>CORE</v>
          </cell>
          <cell r="E2009" t="str">
            <v>CO26</v>
          </cell>
          <cell r="F2009">
            <v>4002</v>
          </cell>
          <cell r="G2009" t="str">
            <v>UD</v>
          </cell>
          <cell r="H2009" t="str">
            <v>USPUDMJEN</v>
          </cell>
          <cell r="I2009" t="str">
            <v>UDJENC0103010</v>
          </cell>
          <cell r="J2009" t="str">
            <v>46</v>
          </cell>
          <cell r="K2009" t="str">
            <v>JEANS</v>
          </cell>
          <cell r="L2009" t="str">
            <v>NOD</v>
          </cell>
        </row>
        <row r="2010">
          <cell r="C2010" t="str">
            <v>UDJENC0103</v>
          </cell>
          <cell r="D2010" t="str">
            <v>CORE</v>
          </cell>
          <cell r="E2010" t="str">
            <v>CO26</v>
          </cell>
          <cell r="F2010">
            <v>4002</v>
          </cell>
          <cell r="G2010" t="str">
            <v>UD</v>
          </cell>
          <cell r="H2010" t="str">
            <v>USPUDMJEN</v>
          </cell>
          <cell r="I2010" t="str">
            <v>UDJENC0103011</v>
          </cell>
          <cell r="J2010" t="str">
            <v>48</v>
          </cell>
          <cell r="K2010" t="str">
            <v>JEANS</v>
          </cell>
          <cell r="L2010" t="str">
            <v>NOD</v>
          </cell>
        </row>
        <row r="2011">
          <cell r="C2011" t="str">
            <v>UDJENC0105</v>
          </cell>
          <cell r="D2011" t="str">
            <v>CORE</v>
          </cell>
          <cell r="E2011" t="str">
            <v>CO25</v>
          </cell>
          <cell r="F2011">
            <v>3686</v>
          </cell>
          <cell r="G2011" t="str">
            <v>UD</v>
          </cell>
          <cell r="H2011" t="str">
            <v>USPUDMJEN</v>
          </cell>
          <cell r="I2011" t="str">
            <v>UDJENC0105001</v>
          </cell>
          <cell r="J2011" t="str">
            <v>28</v>
          </cell>
          <cell r="K2011" t="str">
            <v>JEANS</v>
          </cell>
          <cell r="L2011" t="str">
            <v>NOD</v>
          </cell>
        </row>
        <row r="2012">
          <cell r="C2012" t="str">
            <v>UDJENC0105</v>
          </cell>
          <cell r="D2012" t="str">
            <v>CORE</v>
          </cell>
          <cell r="E2012" t="str">
            <v>CO25</v>
          </cell>
          <cell r="F2012">
            <v>3686</v>
          </cell>
          <cell r="G2012" t="str">
            <v>UD</v>
          </cell>
          <cell r="H2012" t="str">
            <v>USPUDMJEN</v>
          </cell>
          <cell r="I2012" t="str">
            <v>UDJENC0105002</v>
          </cell>
          <cell r="J2012" t="str">
            <v>30</v>
          </cell>
          <cell r="K2012" t="str">
            <v>JEANS</v>
          </cell>
          <cell r="L2012" t="str">
            <v>NOD</v>
          </cell>
        </row>
        <row r="2013">
          <cell r="C2013" t="str">
            <v>UDJENC0105</v>
          </cell>
          <cell r="D2013" t="str">
            <v>CORE</v>
          </cell>
          <cell r="E2013" t="str">
            <v>CO25</v>
          </cell>
          <cell r="F2013">
            <v>3686</v>
          </cell>
          <cell r="G2013" t="str">
            <v>UD</v>
          </cell>
          <cell r="H2013" t="str">
            <v>USPUDMJEN</v>
          </cell>
          <cell r="I2013" t="str">
            <v>UDJENC0105003</v>
          </cell>
          <cell r="J2013" t="str">
            <v>32</v>
          </cell>
          <cell r="K2013" t="str">
            <v>JEANS</v>
          </cell>
          <cell r="L2013" t="str">
            <v>NOD</v>
          </cell>
        </row>
        <row r="2014">
          <cell r="C2014" t="str">
            <v>UDJENC0105</v>
          </cell>
          <cell r="D2014" t="str">
            <v>CORE</v>
          </cell>
          <cell r="E2014" t="str">
            <v>CO25</v>
          </cell>
          <cell r="F2014">
            <v>3686</v>
          </cell>
          <cell r="G2014" t="str">
            <v>UD</v>
          </cell>
          <cell r="H2014" t="str">
            <v>USPUDMJEN</v>
          </cell>
          <cell r="I2014" t="str">
            <v>UDJENC0105004</v>
          </cell>
          <cell r="J2014" t="str">
            <v>34</v>
          </cell>
          <cell r="K2014" t="str">
            <v>JEANS</v>
          </cell>
          <cell r="L2014" t="str">
            <v>NOD</v>
          </cell>
        </row>
        <row r="2015">
          <cell r="C2015" t="str">
            <v>UDJENC0105</v>
          </cell>
          <cell r="D2015" t="str">
            <v>CORE</v>
          </cell>
          <cell r="E2015" t="str">
            <v>CO25</v>
          </cell>
          <cell r="F2015">
            <v>3686</v>
          </cell>
          <cell r="G2015" t="str">
            <v>UD</v>
          </cell>
          <cell r="H2015" t="str">
            <v>USPUDMJEN</v>
          </cell>
          <cell r="I2015" t="str">
            <v>UDJENC0105005</v>
          </cell>
          <cell r="J2015" t="str">
            <v>36</v>
          </cell>
          <cell r="K2015" t="str">
            <v>JEANS</v>
          </cell>
          <cell r="L2015" t="str">
            <v>NOD</v>
          </cell>
        </row>
        <row r="2016">
          <cell r="C2016" t="str">
            <v>UDJENC0105</v>
          </cell>
          <cell r="D2016" t="str">
            <v>CORE</v>
          </cell>
          <cell r="E2016" t="str">
            <v>CO25</v>
          </cell>
          <cell r="F2016">
            <v>3686</v>
          </cell>
          <cell r="G2016" t="str">
            <v>UD</v>
          </cell>
          <cell r="H2016" t="str">
            <v>USPUDMJEN</v>
          </cell>
          <cell r="I2016" t="str">
            <v>UDJENC0105006</v>
          </cell>
          <cell r="J2016" t="str">
            <v>38</v>
          </cell>
          <cell r="K2016" t="str">
            <v>JEANS</v>
          </cell>
          <cell r="L2016" t="str">
            <v>NOD</v>
          </cell>
        </row>
        <row r="2017">
          <cell r="C2017" t="str">
            <v>UDJENC0105</v>
          </cell>
          <cell r="D2017" t="str">
            <v>CORE</v>
          </cell>
          <cell r="E2017" t="str">
            <v>CO25</v>
          </cell>
          <cell r="F2017">
            <v>3686</v>
          </cell>
          <cell r="G2017" t="str">
            <v>UD</v>
          </cell>
          <cell r="H2017" t="str">
            <v>USPUDMJEN</v>
          </cell>
          <cell r="I2017" t="str">
            <v>UDJENC0105007</v>
          </cell>
          <cell r="J2017" t="str">
            <v>40</v>
          </cell>
          <cell r="K2017" t="str">
            <v>JEANS</v>
          </cell>
          <cell r="L2017" t="str">
            <v>NOD</v>
          </cell>
        </row>
        <row r="2018">
          <cell r="C2018" t="str">
            <v>UDJENC0105</v>
          </cell>
          <cell r="D2018" t="str">
            <v>CORE</v>
          </cell>
          <cell r="E2018" t="str">
            <v>CO25</v>
          </cell>
          <cell r="F2018">
            <v>3686</v>
          </cell>
          <cell r="G2018" t="str">
            <v>UD</v>
          </cell>
          <cell r="H2018" t="str">
            <v>USPUDMJEN</v>
          </cell>
          <cell r="I2018" t="str">
            <v>UDJENC0105008</v>
          </cell>
          <cell r="J2018" t="str">
            <v>42</v>
          </cell>
          <cell r="K2018" t="str">
            <v>JEANS</v>
          </cell>
          <cell r="L2018" t="str">
            <v>NOD</v>
          </cell>
        </row>
        <row r="2019">
          <cell r="C2019" t="str">
            <v>UDJENC0105</v>
          </cell>
          <cell r="D2019" t="str">
            <v>CORE</v>
          </cell>
          <cell r="E2019" t="str">
            <v>CO25</v>
          </cell>
          <cell r="F2019">
            <v>3686</v>
          </cell>
          <cell r="G2019" t="str">
            <v>UD</v>
          </cell>
          <cell r="H2019" t="str">
            <v>USPUDMJEN</v>
          </cell>
          <cell r="I2019" t="str">
            <v>UDJENC0105009</v>
          </cell>
          <cell r="J2019" t="str">
            <v>44</v>
          </cell>
          <cell r="K2019" t="str">
            <v>JEANS</v>
          </cell>
          <cell r="L2019" t="str">
            <v>NOD</v>
          </cell>
        </row>
        <row r="2020">
          <cell r="C2020" t="str">
            <v>UDJENC0105</v>
          </cell>
          <cell r="D2020" t="str">
            <v>CORE</v>
          </cell>
          <cell r="E2020" t="str">
            <v>CO25</v>
          </cell>
          <cell r="F2020">
            <v>3686</v>
          </cell>
          <cell r="G2020" t="str">
            <v>UD</v>
          </cell>
          <cell r="H2020" t="str">
            <v>USPUDMJEN</v>
          </cell>
          <cell r="I2020" t="str">
            <v>UDJENC0105010</v>
          </cell>
          <cell r="J2020" t="str">
            <v>46</v>
          </cell>
          <cell r="K2020" t="str">
            <v>JEANS</v>
          </cell>
          <cell r="L2020" t="str">
            <v>NOD</v>
          </cell>
        </row>
        <row r="2021">
          <cell r="C2021" t="str">
            <v>UDJENC0105</v>
          </cell>
          <cell r="D2021" t="str">
            <v>CORE</v>
          </cell>
          <cell r="E2021" t="str">
            <v>CO25</v>
          </cell>
          <cell r="F2021">
            <v>3686</v>
          </cell>
          <cell r="G2021" t="str">
            <v>UD</v>
          </cell>
          <cell r="H2021" t="str">
            <v>USPUDMJEN</v>
          </cell>
          <cell r="I2021" t="str">
            <v>UDJENC0105011</v>
          </cell>
          <cell r="J2021" t="str">
            <v>48</v>
          </cell>
          <cell r="K2021" t="str">
            <v>JEANS</v>
          </cell>
          <cell r="L2021" t="str">
            <v>NOD</v>
          </cell>
        </row>
        <row r="2022">
          <cell r="C2022" t="str">
            <v>UDJENC0106</v>
          </cell>
          <cell r="D2022" t="str">
            <v>CORE</v>
          </cell>
          <cell r="E2022" t="str">
            <v>CO25</v>
          </cell>
          <cell r="F2022">
            <v>4002</v>
          </cell>
          <cell r="G2022" t="str">
            <v>UD</v>
          </cell>
          <cell r="H2022" t="str">
            <v>USPUDMJEN</v>
          </cell>
          <cell r="I2022" t="str">
            <v>UDJENC0106001</v>
          </cell>
          <cell r="J2022" t="str">
            <v>28</v>
          </cell>
          <cell r="K2022" t="str">
            <v>JEANS</v>
          </cell>
          <cell r="L2022" t="str">
            <v>NOD</v>
          </cell>
        </row>
        <row r="2023">
          <cell r="C2023" t="str">
            <v>UDJENC0106</v>
          </cell>
          <cell r="D2023" t="str">
            <v>CORE</v>
          </cell>
          <cell r="E2023" t="str">
            <v>CO25</v>
          </cell>
          <cell r="F2023">
            <v>4002</v>
          </cell>
          <cell r="G2023" t="str">
            <v>UD</v>
          </cell>
          <cell r="H2023" t="str">
            <v>USPUDMJEN</v>
          </cell>
          <cell r="I2023" t="str">
            <v>UDJENC0106002</v>
          </cell>
          <cell r="J2023" t="str">
            <v>30</v>
          </cell>
          <cell r="K2023" t="str">
            <v>JEANS</v>
          </cell>
          <cell r="L2023" t="str">
            <v>NOD</v>
          </cell>
        </row>
        <row r="2024">
          <cell r="C2024" t="str">
            <v>UDJENC0106</v>
          </cell>
          <cell r="D2024" t="str">
            <v>CORE</v>
          </cell>
          <cell r="E2024" t="str">
            <v>CO25</v>
          </cell>
          <cell r="F2024">
            <v>4002</v>
          </cell>
          <cell r="G2024" t="str">
            <v>UD</v>
          </cell>
          <cell r="H2024" t="str">
            <v>USPUDMJEN</v>
          </cell>
          <cell r="I2024" t="str">
            <v>UDJENC0106003</v>
          </cell>
          <cell r="J2024" t="str">
            <v>32</v>
          </cell>
          <cell r="K2024" t="str">
            <v>JEANS</v>
          </cell>
          <cell r="L2024" t="str">
            <v>NOD</v>
          </cell>
        </row>
        <row r="2025">
          <cell r="C2025" t="str">
            <v>UDJENC0106</v>
          </cell>
          <cell r="D2025" t="str">
            <v>CORE</v>
          </cell>
          <cell r="E2025" t="str">
            <v>CO25</v>
          </cell>
          <cell r="F2025">
            <v>4002</v>
          </cell>
          <cell r="G2025" t="str">
            <v>UD</v>
          </cell>
          <cell r="H2025" t="str">
            <v>USPUDMJEN</v>
          </cell>
          <cell r="I2025" t="str">
            <v>UDJENC0106004</v>
          </cell>
          <cell r="J2025" t="str">
            <v>34</v>
          </cell>
          <cell r="K2025" t="str">
            <v>JEANS</v>
          </cell>
          <cell r="L2025" t="str">
            <v>NOD</v>
          </cell>
        </row>
        <row r="2026">
          <cell r="C2026" t="str">
            <v>UDJENC0106</v>
          </cell>
          <cell r="D2026" t="str">
            <v>CORE</v>
          </cell>
          <cell r="E2026" t="str">
            <v>CO25</v>
          </cell>
          <cell r="F2026">
            <v>4002</v>
          </cell>
          <cell r="G2026" t="str">
            <v>UD</v>
          </cell>
          <cell r="H2026" t="str">
            <v>USPUDMJEN</v>
          </cell>
          <cell r="I2026" t="str">
            <v>UDJENC0106005</v>
          </cell>
          <cell r="J2026" t="str">
            <v>36</v>
          </cell>
          <cell r="K2026" t="str">
            <v>JEANS</v>
          </cell>
          <cell r="L2026" t="str">
            <v>NOD</v>
          </cell>
        </row>
        <row r="2027">
          <cell r="C2027" t="str">
            <v>UDJENC0106</v>
          </cell>
          <cell r="D2027" t="str">
            <v>CORE</v>
          </cell>
          <cell r="E2027" t="str">
            <v>CO25</v>
          </cell>
          <cell r="F2027">
            <v>4002</v>
          </cell>
          <cell r="G2027" t="str">
            <v>UD</v>
          </cell>
          <cell r="H2027" t="str">
            <v>USPUDMJEN</v>
          </cell>
          <cell r="I2027" t="str">
            <v>UDJENC0106006</v>
          </cell>
          <cell r="J2027" t="str">
            <v>38</v>
          </cell>
          <cell r="K2027" t="str">
            <v>JEANS</v>
          </cell>
          <cell r="L2027" t="str">
            <v>NOD</v>
          </cell>
        </row>
        <row r="2028">
          <cell r="C2028" t="str">
            <v>UDJENC0106</v>
          </cell>
          <cell r="D2028" t="str">
            <v>CORE</v>
          </cell>
          <cell r="E2028" t="str">
            <v>CO25</v>
          </cell>
          <cell r="F2028">
            <v>4002</v>
          </cell>
          <cell r="G2028" t="str">
            <v>UD</v>
          </cell>
          <cell r="H2028" t="str">
            <v>USPUDMJEN</v>
          </cell>
          <cell r="I2028" t="str">
            <v>UDJENC0106007</v>
          </cell>
          <cell r="J2028" t="str">
            <v>40</v>
          </cell>
          <cell r="K2028" t="str">
            <v>JEANS</v>
          </cell>
          <cell r="L2028" t="str">
            <v>NOD</v>
          </cell>
        </row>
        <row r="2029">
          <cell r="C2029" t="str">
            <v>UDJENC0106</v>
          </cell>
          <cell r="D2029" t="str">
            <v>CORE</v>
          </cell>
          <cell r="E2029" t="str">
            <v>CO25</v>
          </cell>
          <cell r="F2029">
            <v>4002</v>
          </cell>
          <cell r="G2029" t="str">
            <v>UD</v>
          </cell>
          <cell r="H2029" t="str">
            <v>USPUDMJEN</v>
          </cell>
          <cell r="I2029" t="str">
            <v>UDJENC0106008</v>
          </cell>
          <cell r="J2029" t="str">
            <v>42</v>
          </cell>
          <cell r="K2029" t="str">
            <v>JEANS</v>
          </cell>
          <cell r="L2029" t="str">
            <v>NOD</v>
          </cell>
        </row>
        <row r="2030">
          <cell r="C2030" t="str">
            <v>UDJENC0106</v>
          </cell>
          <cell r="D2030" t="str">
            <v>CORE</v>
          </cell>
          <cell r="E2030" t="str">
            <v>CO25</v>
          </cell>
          <cell r="F2030">
            <v>4002</v>
          </cell>
          <cell r="G2030" t="str">
            <v>UD</v>
          </cell>
          <cell r="H2030" t="str">
            <v>USPUDMJEN</v>
          </cell>
          <cell r="I2030" t="str">
            <v>UDJENC0106009</v>
          </cell>
          <cell r="J2030" t="str">
            <v>44</v>
          </cell>
          <cell r="K2030" t="str">
            <v>JEANS</v>
          </cell>
          <cell r="L2030" t="str">
            <v>NOD</v>
          </cell>
        </row>
        <row r="2031">
          <cell r="C2031" t="str">
            <v>UDJENC0106</v>
          </cell>
          <cell r="D2031" t="str">
            <v>CORE</v>
          </cell>
          <cell r="E2031" t="str">
            <v>CO25</v>
          </cell>
          <cell r="F2031">
            <v>4002</v>
          </cell>
          <cell r="G2031" t="str">
            <v>UD</v>
          </cell>
          <cell r="H2031" t="str">
            <v>USPUDMJEN</v>
          </cell>
          <cell r="I2031" t="str">
            <v>UDJENC0106010</v>
          </cell>
          <cell r="J2031" t="str">
            <v>46</v>
          </cell>
          <cell r="K2031" t="str">
            <v>JEANS</v>
          </cell>
          <cell r="L2031" t="str">
            <v>NOD</v>
          </cell>
        </row>
        <row r="2032">
          <cell r="C2032" t="str">
            <v>UDJENC0106</v>
          </cell>
          <cell r="D2032" t="str">
            <v>CORE</v>
          </cell>
          <cell r="E2032" t="str">
            <v>CO25</v>
          </cell>
          <cell r="F2032">
            <v>4002</v>
          </cell>
          <cell r="G2032" t="str">
            <v>UD</v>
          </cell>
          <cell r="H2032" t="str">
            <v>USPUDMJEN</v>
          </cell>
          <cell r="I2032" t="str">
            <v>UDJENC0106011</v>
          </cell>
          <cell r="J2032" t="str">
            <v>48</v>
          </cell>
          <cell r="K2032" t="str">
            <v>JEANS</v>
          </cell>
          <cell r="L2032" t="str">
            <v>NOD</v>
          </cell>
        </row>
        <row r="2033">
          <cell r="C2033" t="str">
            <v>UDJENC0107</v>
          </cell>
          <cell r="D2033" t="str">
            <v>CORE</v>
          </cell>
          <cell r="E2033" t="str">
            <v>CO26</v>
          </cell>
          <cell r="F2033">
            <v>4002</v>
          </cell>
          <cell r="G2033" t="str">
            <v>UD</v>
          </cell>
          <cell r="H2033" t="str">
            <v>USPUDMJEN</v>
          </cell>
          <cell r="I2033" t="str">
            <v>UDJENC0107001</v>
          </cell>
          <cell r="J2033" t="str">
            <v>28</v>
          </cell>
          <cell r="K2033" t="str">
            <v>JEANS</v>
          </cell>
          <cell r="L2033" t="str">
            <v>NOD</v>
          </cell>
        </row>
        <row r="2034">
          <cell r="C2034" t="str">
            <v>UDJENC0107</v>
          </cell>
          <cell r="D2034" t="str">
            <v>CORE</v>
          </cell>
          <cell r="E2034" t="str">
            <v>CO26</v>
          </cell>
          <cell r="F2034">
            <v>4002</v>
          </cell>
          <cell r="G2034" t="str">
            <v>UD</v>
          </cell>
          <cell r="H2034" t="str">
            <v>USPUDMJEN</v>
          </cell>
          <cell r="I2034" t="str">
            <v>UDJENC0107002</v>
          </cell>
          <cell r="J2034" t="str">
            <v>30</v>
          </cell>
          <cell r="K2034" t="str">
            <v>JEANS</v>
          </cell>
          <cell r="L2034" t="str">
            <v>NOD</v>
          </cell>
        </row>
        <row r="2035">
          <cell r="C2035" t="str">
            <v>UDJENC0107</v>
          </cell>
          <cell r="D2035" t="str">
            <v>CORE</v>
          </cell>
          <cell r="E2035" t="str">
            <v>CO26</v>
          </cell>
          <cell r="F2035">
            <v>4002</v>
          </cell>
          <cell r="G2035" t="str">
            <v>UD</v>
          </cell>
          <cell r="H2035" t="str">
            <v>USPUDMJEN</v>
          </cell>
          <cell r="I2035" t="str">
            <v>UDJENC0107003</v>
          </cell>
          <cell r="J2035" t="str">
            <v>32</v>
          </cell>
          <cell r="K2035" t="str">
            <v>JEANS</v>
          </cell>
          <cell r="L2035" t="str">
            <v>NOD</v>
          </cell>
        </row>
        <row r="2036">
          <cell r="C2036" t="str">
            <v>UDJENC0107</v>
          </cell>
          <cell r="D2036" t="str">
            <v>CORE</v>
          </cell>
          <cell r="E2036" t="str">
            <v>CO26</v>
          </cell>
          <cell r="F2036">
            <v>4002</v>
          </cell>
          <cell r="G2036" t="str">
            <v>UD</v>
          </cell>
          <cell r="H2036" t="str">
            <v>USPUDMJEN</v>
          </cell>
          <cell r="I2036" t="str">
            <v>UDJENC0107004</v>
          </cell>
          <cell r="J2036" t="str">
            <v>34</v>
          </cell>
          <cell r="K2036" t="str">
            <v>JEANS</v>
          </cell>
          <cell r="L2036" t="str">
            <v>NOD</v>
          </cell>
        </row>
        <row r="2037">
          <cell r="C2037" t="str">
            <v>UDJENC0107</v>
          </cell>
          <cell r="D2037" t="str">
            <v>CORE</v>
          </cell>
          <cell r="E2037" t="str">
            <v>CO26</v>
          </cell>
          <cell r="F2037">
            <v>4002</v>
          </cell>
          <cell r="G2037" t="str">
            <v>UD</v>
          </cell>
          <cell r="H2037" t="str">
            <v>USPUDMJEN</v>
          </cell>
          <cell r="I2037" t="str">
            <v>UDJENC0107005</v>
          </cell>
          <cell r="J2037" t="str">
            <v>36</v>
          </cell>
          <cell r="K2037" t="str">
            <v>JEANS</v>
          </cell>
          <cell r="L2037" t="str">
            <v>NOD</v>
          </cell>
        </row>
        <row r="2038">
          <cell r="C2038" t="str">
            <v>UDJENC0107</v>
          </cell>
          <cell r="D2038" t="str">
            <v>CORE</v>
          </cell>
          <cell r="E2038" t="str">
            <v>CO26</v>
          </cell>
          <cell r="F2038">
            <v>4002</v>
          </cell>
          <cell r="G2038" t="str">
            <v>UD</v>
          </cell>
          <cell r="H2038" t="str">
            <v>USPUDMJEN</v>
          </cell>
          <cell r="I2038" t="str">
            <v>UDJENC0107006</v>
          </cell>
          <cell r="J2038" t="str">
            <v>38</v>
          </cell>
          <cell r="K2038" t="str">
            <v>JEANS</v>
          </cell>
          <cell r="L2038" t="str">
            <v>NOD</v>
          </cell>
        </row>
        <row r="2039">
          <cell r="C2039" t="str">
            <v>UDJENC0107</v>
          </cell>
          <cell r="D2039" t="str">
            <v>CORE</v>
          </cell>
          <cell r="E2039" t="str">
            <v>CO26</v>
          </cell>
          <cell r="F2039">
            <v>4002</v>
          </cell>
          <cell r="G2039" t="str">
            <v>UD</v>
          </cell>
          <cell r="H2039" t="str">
            <v>USPUDMJEN</v>
          </cell>
          <cell r="I2039" t="str">
            <v>UDJENC0107007</v>
          </cell>
          <cell r="J2039" t="str">
            <v>40</v>
          </cell>
          <cell r="K2039" t="str">
            <v>JEANS</v>
          </cell>
          <cell r="L2039" t="str">
            <v>NOD</v>
          </cell>
        </row>
        <row r="2040">
          <cell r="C2040" t="str">
            <v>UDJENC0107</v>
          </cell>
          <cell r="D2040" t="str">
            <v>CORE</v>
          </cell>
          <cell r="E2040" t="str">
            <v>CO26</v>
          </cell>
          <cell r="F2040">
            <v>4002</v>
          </cell>
          <cell r="G2040" t="str">
            <v>UD</v>
          </cell>
          <cell r="H2040" t="str">
            <v>USPUDMJEN</v>
          </cell>
          <cell r="I2040" t="str">
            <v>UDJENC0107008</v>
          </cell>
          <cell r="J2040" t="str">
            <v>42</v>
          </cell>
          <cell r="K2040" t="str">
            <v>JEANS</v>
          </cell>
          <cell r="L2040" t="str">
            <v>NOD</v>
          </cell>
        </row>
        <row r="2041">
          <cell r="C2041" t="str">
            <v>UDJENC0107</v>
          </cell>
          <cell r="D2041" t="str">
            <v>CORE</v>
          </cell>
          <cell r="E2041" t="str">
            <v>CO26</v>
          </cell>
          <cell r="F2041">
            <v>4002</v>
          </cell>
          <cell r="G2041" t="str">
            <v>UD</v>
          </cell>
          <cell r="H2041" t="str">
            <v>USPUDMJEN</v>
          </cell>
          <cell r="I2041" t="str">
            <v>UDJENC0107009</v>
          </cell>
          <cell r="J2041" t="str">
            <v>44</v>
          </cell>
          <cell r="K2041" t="str">
            <v>JEANS</v>
          </cell>
          <cell r="L2041" t="str">
            <v>NOD</v>
          </cell>
        </row>
        <row r="2042">
          <cell r="C2042" t="str">
            <v>UDJENC0107</v>
          </cell>
          <cell r="D2042" t="str">
            <v>CORE</v>
          </cell>
          <cell r="E2042" t="str">
            <v>CO26</v>
          </cell>
          <cell r="F2042">
            <v>4002</v>
          </cell>
          <cell r="G2042" t="str">
            <v>UD</v>
          </cell>
          <cell r="H2042" t="str">
            <v>USPUDMJEN</v>
          </cell>
          <cell r="I2042" t="str">
            <v>UDJENC0107010</v>
          </cell>
          <cell r="J2042" t="str">
            <v>46</v>
          </cell>
          <cell r="K2042" t="str">
            <v>JEANS</v>
          </cell>
          <cell r="L2042" t="str">
            <v>NOD</v>
          </cell>
        </row>
        <row r="2043">
          <cell r="C2043" t="str">
            <v>UDJENC0107</v>
          </cell>
          <cell r="D2043" t="str">
            <v>CORE</v>
          </cell>
          <cell r="E2043" t="str">
            <v>CO26</v>
          </cell>
          <cell r="F2043">
            <v>4002</v>
          </cell>
          <cell r="G2043" t="str">
            <v>UD</v>
          </cell>
          <cell r="H2043" t="str">
            <v>USPUDMJEN</v>
          </cell>
          <cell r="I2043" t="str">
            <v>UDJENC0107011</v>
          </cell>
          <cell r="J2043" t="str">
            <v>48</v>
          </cell>
          <cell r="K2043" t="str">
            <v>JEANS</v>
          </cell>
          <cell r="L2043" t="str">
            <v>NOD</v>
          </cell>
        </row>
        <row r="2044">
          <cell r="C2044" t="str">
            <v>UDTSHC0060</v>
          </cell>
          <cell r="D2044" t="str">
            <v>CORE</v>
          </cell>
          <cell r="E2044" t="str">
            <v>CO25</v>
          </cell>
          <cell r="F2044">
            <v>1799</v>
          </cell>
          <cell r="G2044" t="str">
            <v>UD</v>
          </cell>
          <cell r="H2044" t="str">
            <v>USPUDMPTS</v>
          </cell>
          <cell r="I2044" t="str">
            <v>UDTSHC0060001</v>
          </cell>
          <cell r="J2044" t="str">
            <v>3XL</v>
          </cell>
          <cell r="K2044" t="str">
            <v>POLO T-SHIRT</v>
          </cell>
          <cell r="L2044" t="str">
            <v>NOD</v>
          </cell>
        </row>
        <row r="2045">
          <cell r="C2045" t="str">
            <v>UDTSHC0060</v>
          </cell>
          <cell r="D2045" t="str">
            <v>CORE</v>
          </cell>
          <cell r="E2045" t="str">
            <v>CO25</v>
          </cell>
          <cell r="F2045">
            <v>1799</v>
          </cell>
          <cell r="G2045" t="str">
            <v>UD</v>
          </cell>
          <cell r="H2045" t="str">
            <v>USPUDMPTS</v>
          </cell>
          <cell r="I2045" t="str">
            <v>UDTSHC0060002</v>
          </cell>
          <cell r="J2045" t="str">
            <v>4XL</v>
          </cell>
          <cell r="K2045" t="str">
            <v>POLO T-SHIRT</v>
          </cell>
          <cell r="L2045" t="str">
            <v>NOD</v>
          </cell>
        </row>
        <row r="2046">
          <cell r="C2046" t="str">
            <v>UDTSHC0060</v>
          </cell>
          <cell r="D2046" t="str">
            <v>CORE</v>
          </cell>
          <cell r="E2046" t="str">
            <v>CO25</v>
          </cell>
          <cell r="F2046">
            <v>1799</v>
          </cell>
          <cell r="G2046" t="str">
            <v>UD</v>
          </cell>
          <cell r="H2046" t="str">
            <v>USPUDMPTS</v>
          </cell>
          <cell r="I2046" t="str">
            <v>UDTSHC0060003</v>
          </cell>
          <cell r="J2046" t="str">
            <v>5XL</v>
          </cell>
          <cell r="K2046" t="str">
            <v>POLO T-SHIRT</v>
          </cell>
          <cell r="L2046" t="str">
            <v>NOD</v>
          </cell>
        </row>
        <row r="2047">
          <cell r="C2047" t="str">
            <v>UDTSHC0060</v>
          </cell>
          <cell r="D2047" t="str">
            <v>CORE</v>
          </cell>
          <cell r="E2047" t="str">
            <v>CO25</v>
          </cell>
          <cell r="F2047">
            <v>1599</v>
          </cell>
          <cell r="G2047" t="str">
            <v>UD</v>
          </cell>
          <cell r="H2047" t="str">
            <v>USPUDMPTS</v>
          </cell>
          <cell r="I2047" t="str">
            <v>UDTSHC0060004</v>
          </cell>
          <cell r="J2047" t="str">
            <v>L</v>
          </cell>
          <cell r="K2047" t="str">
            <v>POLO T-SHIRT</v>
          </cell>
          <cell r="L2047" t="str">
            <v>NOD</v>
          </cell>
        </row>
        <row r="2048">
          <cell r="C2048" t="str">
            <v>UDTSHC0060</v>
          </cell>
          <cell r="D2048" t="str">
            <v>CORE</v>
          </cell>
          <cell r="E2048" t="str">
            <v>CO25</v>
          </cell>
          <cell r="F2048">
            <v>1599</v>
          </cell>
          <cell r="G2048" t="str">
            <v>UD</v>
          </cell>
          <cell r="H2048" t="str">
            <v>USPUDMPTS</v>
          </cell>
          <cell r="I2048" t="str">
            <v>UDTSHC0060005</v>
          </cell>
          <cell r="J2048" t="str">
            <v>M</v>
          </cell>
          <cell r="K2048" t="str">
            <v>POLO T-SHIRT</v>
          </cell>
          <cell r="L2048" t="str">
            <v>NOD</v>
          </cell>
        </row>
        <row r="2049">
          <cell r="C2049" t="str">
            <v>UDTSHC0060</v>
          </cell>
          <cell r="D2049" t="str">
            <v>CORE</v>
          </cell>
          <cell r="E2049" t="str">
            <v>CO25</v>
          </cell>
          <cell r="F2049">
            <v>1599</v>
          </cell>
          <cell r="G2049" t="str">
            <v>UD</v>
          </cell>
          <cell r="H2049" t="str">
            <v>USPUDMPTS</v>
          </cell>
          <cell r="I2049" t="str">
            <v>UDTSHC0060006</v>
          </cell>
          <cell r="J2049" t="str">
            <v>S</v>
          </cell>
          <cell r="K2049" t="str">
            <v>POLO T-SHIRT</v>
          </cell>
          <cell r="L2049" t="str">
            <v>NOD</v>
          </cell>
        </row>
        <row r="2050">
          <cell r="C2050" t="str">
            <v>UDTSHC0060</v>
          </cell>
          <cell r="D2050" t="str">
            <v>CORE</v>
          </cell>
          <cell r="E2050" t="str">
            <v>CO25</v>
          </cell>
          <cell r="F2050">
            <v>1599</v>
          </cell>
          <cell r="G2050" t="str">
            <v>UD</v>
          </cell>
          <cell r="H2050" t="str">
            <v>USPUDMPTS</v>
          </cell>
          <cell r="I2050" t="str">
            <v>UDTSHC0060007</v>
          </cell>
          <cell r="J2050" t="str">
            <v>XL</v>
          </cell>
          <cell r="K2050" t="str">
            <v>POLO T-SHIRT</v>
          </cell>
          <cell r="L2050" t="str">
            <v>NOD</v>
          </cell>
        </row>
        <row r="2051">
          <cell r="C2051" t="str">
            <v>UDTSHC0060</v>
          </cell>
          <cell r="D2051" t="str">
            <v>CORE</v>
          </cell>
          <cell r="E2051" t="str">
            <v>CO25</v>
          </cell>
          <cell r="F2051">
            <v>1599</v>
          </cell>
          <cell r="G2051" t="str">
            <v>UD</v>
          </cell>
          <cell r="H2051" t="str">
            <v>USPUDMPTS</v>
          </cell>
          <cell r="I2051" t="str">
            <v>UDTSHC0060008</v>
          </cell>
          <cell r="J2051" t="str">
            <v>XS</v>
          </cell>
          <cell r="K2051" t="str">
            <v>POLO T-SHIRT</v>
          </cell>
          <cell r="L2051" t="str">
            <v>NOD</v>
          </cell>
        </row>
        <row r="2052">
          <cell r="C2052" t="str">
            <v>UDTSHC0060</v>
          </cell>
          <cell r="D2052" t="str">
            <v>CORE</v>
          </cell>
          <cell r="E2052" t="str">
            <v>CO25</v>
          </cell>
          <cell r="F2052">
            <v>1599</v>
          </cell>
          <cell r="G2052" t="str">
            <v>UD</v>
          </cell>
          <cell r="H2052" t="str">
            <v>USPUDMPTS</v>
          </cell>
          <cell r="I2052" t="str">
            <v>UDTSHC0060009</v>
          </cell>
          <cell r="J2052" t="str">
            <v>XXL</v>
          </cell>
          <cell r="K2052" t="str">
            <v>POLO T-SHIRT</v>
          </cell>
          <cell r="L2052" t="str">
            <v>NOD</v>
          </cell>
        </row>
        <row r="2053">
          <cell r="C2053" t="str">
            <v>UDTSHC0061</v>
          </cell>
          <cell r="D2053" t="str">
            <v>CORE</v>
          </cell>
          <cell r="E2053" t="str">
            <v>CO25</v>
          </cell>
          <cell r="F2053">
            <v>1799</v>
          </cell>
          <cell r="G2053" t="str">
            <v>UD</v>
          </cell>
          <cell r="H2053" t="str">
            <v>USPUDMPTS</v>
          </cell>
          <cell r="I2053" t="str">
            <v>UDTSHC0061001</v>
          </cell>
          <cell r="J2053" t="str">
            <v>3XL</v>
          </cell>
          <cell r="K2053" t="str">
            <v>POLO T-SHIRT</v>
          </cell>
          <cell r="L2053" t="str">
            <v>NOD</v>
          </cell>
        </row>
        <row r="2054">
          <cell r="C2054" t="str">
            <v>UDTSHC0061</v>
          </cell>
          <cell r="D2054" t="str">
            <v>CORE</v>
          </cell>
          <cell r="E2054" t="str">
            <v>CO25</v>
          </cell>
          <cell r="F2054">
            <v>1799</v>
          </cell>
          <cell r="G2054" t="str">
            <v>UD</v>
          </cell>
          <cell r="H2054" t="str">
            <v>USPUDMPTS</v>
          </cell>
          <cell r="I2054" t="str">
            <v>UDTSHC0061002</v>
          </cell>
          <cell r="J2054" t="str">
            <v>4XL</v>
          </cell>
          <cell r="K2054" t="str">
            <v>POLO T-SHIRT</v>
          </cell>
          <cell r="L2054" t="str">
            <v>NOD</v>
          </cell>
        </row>
        <row r="2055">
          <cell r="C2055" t="str">
            <v>UDTSHC0061</v>
          </cell>
          <cell r="D2055" t="str">
            <v>CORE</v>
          </cell>
          <cell r="E2055" t="str">
            <v>CO25</v>
          </cell>
          <cell r="F2055">
            <v>1799</v>
          </cell>
          <cell r="G2055" t="str">
            <v>UD</v>
          </cell>
          <cell r="H2055" t="str">
            <v>USPUDMPTS</v>
          </cell>
          <cell r="I2055" t="str">
            <v>UDTSHC0061003</v>
          </cell>
          <cell r="J2055" t="str">
            <v>5XL</v>
          </cell>
          <cell r="K2055" t="str">
            <v>POLO T-SHIRT</v>
          </cell>
          <cell r="L2055" t="str">
            <v>NOD</v>
          </cell>
        </row>
        <row r="2056">
          <cell r="C2056" t="str">
            <v>UDTSHC0061</v>
          </cell>
          <cell r="D2056" t="str">
            <v>CORE</v>
          </cell>
          <cell r="E2056" t="str">
            <v>CO25</v>
          </cell>
          <cell r="F2056">
            <v>1599</v>
          </cell>
          <cell r="G2056" t="str">
            <v>UD</v>
          </cell>
          <cell r="H2056" t="str">
            <v>USPUDMPTS</v>
          </cell>
          <cell r="I2056" t="str">
            <v>UDTSHC0061004</v>
          </cell>
          <cell r="J2056" t="str">
            <v>L</v>
          </cell>
          <cell r="K2056" t="str">
            <v>POLO T-SHIRT</v>
          </cell>
          <cell r="L2056" t="str">
            <v>NOD</v>
          </cell>
        </row>
        <row r="2057">
          <cell r="C2057" t="str">
            <v>UDTSHC0061</v>
          </cell>
          <cell r="D2057" t="str">
            <v>CORE</v>
          </cell>
          <cell r="E2057" t="str">
            <v>CO25</v>
          </cell>
          <cell r="F2057">
            <v>1599</v>
          </cell>
          <cell r="G2057" t="str">
            <v>UD</v>
          </cell>
          <cell r="H2057" t="str">
            <v>USPUDMPTS</v>
          </cell>
          <cell r="I2057" t="str">
            <v>UDTSHC0061005</v>
          </cell>
          <cell r="J2057" t="str">
            <v>M</v>
          </cell>
          <cell r="K2057" t="str">
            <v>POLO T-SHIRT</v>
          </cell>
          <cell r="L2057" t="str">
            <v>NOD</v>
          </cell>
        </row>
        <row r="2058">
          <cell r="C2058" t="str">
            <v>UDTSHC0061</v>
          </cell>
          <cell r="D2058" t="str">
            <v>CORE</v>
          </cell>
          <cell r="E2058" t="str">
            <v>CO25</v>
          </cell>
          <cell r="F2058">
            <v>1599</v>
          </cell>
          <cell r="G2058" t="str">
            <v>UD</v>
          </cell>
          <cell r="H2058" t="str">
            <v>USPUDMPTS</v>
          </cell>
          <cell r="I2058" t="str">
            <v>UDTSHC0061006</v>
          </cell>
          <cell r="J2058" t="str">
            <v>S</v>
          </cell>
          <cell r="K2058" t="str">
            <v>POLO T-SHIRT</v>
          </cell>
          <cell r="L2058" t="str">
            <v>NOD</v>
          </cell>
        </row>
        <row r="2059">
          <cell r="C2059" t="str">
            <v>UDTSHC0061</v>
          </cell>
          <cell r="D2059" t="str">
            <v>CORE</v>
          </cell>
          <cell r="E2059" t="str">
            <v>CO25</v>
          </cell>
          <cell r="F2059">
            <v>1599</v>
          </cell>
          <cell r="G2059" t="str">
            <v>UD</v>
          </cell>
          <cell r="H2059" t="str">
            <v>USPUDMPTS</v>
          </cell>
          <cell r="I2059" t="str">
            <v>UDTSHC0061007</v>
          </cell>
          <cell r="J2059" t="str">
            <v>XL</v>
          </cell>
          <cell r="K2059" t="str">
            <v>POLO T-SHIRT</v>
          </cell>
          <cell r="L2059" t="str">
            <v>NOD</v>
          </cell>
        </row>
        <row r="2060">
          <cell r="C2060" t="str">
            <v>UDTSHC0061</v>
          </cell>
          <cell r="D2060" t="str">
            <v>CORE</v>
          </cell>
          <cell r="E2060" t="str">
            <v>CO25</v>
          </cell>
          <cell r="F2060">
            <v>1599</v>
          </cell>
          <cell r="G2060" t="str">
            <v>UD</v>
          </cell>
          <cell r="H2060" t="str">
            <v>USPUDMPTS</v>
          </cell>
          <cell r="I2060" t="str">
            <v>UDTSHC0061008</v>
          </cell>
          <cell r="J2060" t="str">
            <v>XS</v>
          </cell>
          <cell r="K2060" t="str">
            <v>POLO T-SHIRT</v>
          </cell>
          <cell r="L2060" t="str">
            <v>NOD</v>
          </cell>
        </row>
        <row r="2061">
          <cell r="C2061" t="str">
            <v>UDTSHC0061</v>
          </cell>
          <cell r="D2061" t="str">
            <v>CORE</v>
          </cell>
          <cell r="E2061" t="str">
            <v>CO25</v>
          </cell>
          <cell r="F2061">
            <v>1599</v>
          </cell>
          <cell r="G2061" t="str">
            <v>UD</v>
          </cell>
          <cell r="H2061" t="str">
            <v>USPUDMPTS</v>
          </cell>
          <cell r="I2061" t="str">
            <v>UDTSHC0061009</v>
          </cell>
          <cell r="J2061" t="str">
            <v>XXL</v>
          </cell>
          <cell r="K2061" t="str">
            <v>POLO T-SHIRT</v>
          </cell>
          <cell r="L2061" t="str">
            <v>NOD</v>
          </cell>
        </row>
        <row r="2062">
          <cell r="C2062" t="str">
            <v>UDTSHC0062</v>
          </cell>
          <cell r="D2062" t="str">
            <v>CORE</v>
          </cell>
          <cell r="E2062" t="str">
            <v>CO25</v>
          </cell>
          <cell r="F2062">
            <v>1799</v>
          </cell>
          <cell r="G2062" t="str">
            <v>UD</v>
          </cell>
          <cell r="H2062" t="str">
            <v>USPUDMPTS</v>
          </cell>
          <cell r="I2062" t="str">
            <v>UDTSHC0062001</v>
          </cell>
          <cell r="J2062" t="str">
            <v>3XL</v>
          </cell>
          <cell r="K2062" t="str">
            <v>POLO T-SHIRT</v>
          </cell>
          <cell r="L2062" t="str">
            <v>NOD</v>
          </cell>
        </row>
        <row r="2063">
          <cell r="C2063" t="str">
            <v>UDTSHC0062</v>
          </cell>
          <cell r="D2063" t="str">
            <v>CORE</v>
          </cell>
          <cell r="E2063" t="str">
            <v>CO25</v>
          </cell>
          <cell r="F2063">
            <v>1799</v>
          </cell>
          <cell r="G2063" t="str">
            <v>UD</v>
          </cell>
          <cell r="H2063" t="str">
            <v>USPUDMPTS</v>
          </cell>
          <cell r="I2063" t="str">
            <v>UDTSHC0062002</v>
          </cell>
          <cell r="J2063" t="str">
            <v>4XL</v>
          </cell>
          <cell r="K2063" t="str">
            <v>POLO T-SHIRT</v>
          </cell>
          <cell r="L2063" t="str">
            <v>NOD</v>
          </cell>
        </row>
        <row r="2064">
          <cell r="C2064" t="str">
            <v>UDTSHC0062</v>
          </cell>
          <cell r="D2064" t="str">
            <v>CORE</v>
          </cell>
          <cell r="E2064" t="str">
            <v>CO25</v>
          </cell>
          <cell r="F2064">
            <v>1799</v>
          </cell>
          <cell r="G2064" t="str">
            <v>UD</v>
          </cell>
          <cell r="H2064" t="str">
            <v>USPUDMPTS</v>
          </cell>
          <cell r="I2064" t="str">
            <v>UDTSHC0062003</v>
          </cell>
          <cell r="J2064" t="str">
            <v>5XL</v>
          </cell>
          <cell r="K2064" t="str">
            <v>POLO T-SHIRT</v>
          </cell>
          <cell r="L2064" t="str">
            <v>NOD</v>
          </cell>
        </row>
        <row r="2065">
          <cell r="C2065" t="str">
            <v>UDTSHC0062</v>
          </cell>
          <cell r="D2065" t="str">
            <v>CORE</v>
          </cell>
          <cell r="E2065" t="str">
            <v>CO25</v>
          </cell>
          <cell r="F2065">
            <v>1599</v>
          </cell>
          <cell r="G2065" t="str">
            <v>UD</v>
          </cell>
          <cell r="H2065" t="str">
            <v>USPUDMPTS</v>
          </cell>
          <cell r="I2065" t="str">
            <v>UDTSHC0062004</v>
          </cell>
          <cell r="J2065" t="str">
            <v>L</v>
          </cell>
          <cell r="K2065" t="str">
            <v>POLO T-SHIRT</v>
          </cell>
          <cell r="L2065" t="str">
            <v>NOD</v>
          </cell>
        </row>
        <row r="2066">
          <cell r="C2066" t="str">
            <v>UDTSHC0062</v>
          </cell>
          <cell r="D2066" t="str">
            <v>CORE</v>
          </cell>
          <cell r="E2066" t="str">
            <v>CO25</v>
          </cell>
          <cell r="F2066">
            <v>1599</v>
          </cell>
          <cell r="G2066" t="str">
            <v>UD</v>
          </cell>
          <cell r="H2066" t="str">
            <v>USPUDMPTS</v>
          </cell>
          <cell r="I2066" t="str">
            <v>UDTSHC0062005</v>
          </cell>
          <cell r="J2066" t="str">
            <v>M</v>
          </cell>
          <cell r="K2066" t="str">
            <v>POLO T-SHIRT</v>
          </cell>
          <cell r="L2066" t="str">
            <v>NOD</v>
          </cell>
        </row>
        <row r="2067">
          <cell r="C2067" t="str">
            <v>UDTSHC0062</v>
          </cell>
          <cell r="D2067" t="str">
            <v>CORE</v>
          </cell>
          <cell r="E2067" t="str">
            <v>CO25</v>
          </cell>
          <cell r="F2067">
            <v>1599</v>
          </cell>
          <cell r="G2067" t="str">
            <v>UD</v>
          </cell>
          <cell r="H2067" t="str">
            <v>USPUDMPTS</v>
          </cell>
          <cell r="I2067" t="str">
            <v>UDTSHC0062006</v>
          </cell>
          <cell r="J2067" t="str">
            <v>S</v>
          </cell>
          <cell r="K2067" t="str">
            <v>POLO T-SHIRT</v>
          </cell>
          <cell r="L2067" t="str">
            <v>NOD</v>
          </cell>
        </row>
        <row r="2068">
          <cell r="C2068" t="str">
            <v>UDTSHC0062</v>
          </cell>
          <cell r="D2068" t="str">
            <v>CORE</v>
          </cell>
          <cell r="E2068" t="str">
            <v>CO25</v>
          </cell>
          <cell r="F2068">
            <v>1599</v>
          </cell>
          <cell r="G2068" t="str">
            <v>UD</v>
          </cell>
          <cell r="H2068" t="str">
            <v>USPUDMPTS</v>
          </cell>
          <cell r="I2068" t="str">
            <v>UDTSHC0062007</v>
          </cell>
          <cell r="J2068" t="str">
            <v>XL</v>
          </cell>
          <cell r="K2068" t="str">
            <v>POLO T-SHIRT</v>
          </cell>
          <cell r="L2068" t="str">
            <v>NOD</v>
          </cell>
        </row>
        <row r="2069">
          <cell r="C2069" t="str">
            <v>UDTSHC0062</v>
          </cell>
          <cell r="D2069" t="str">
            <v>CORE</v>
          </cell>
          <cell r="E2069" t="str">
            <v>CO25</v>
          </cell>
          <cell r="F2069">
            <v>1599</v>
          </cell>
          <cell r="G2069" t="str">
            <v>UD</v>
          </cell>
          <cell r="H2069" t="str">
            <v>USPUDMPTS</v>
          </cell>
          <cell r="I2069" t="str">
            <v>UDTSHC0062008</v>
          </cell>
          <cell r="J2069" t="str">
            <v>XS</v>
          </cell>
          <cell r="K2069" t="str">
            <v>POLO T-SHIRT</v>
          </cell>
          <cell r="L2069" t="str">
            <v>NOD</v>
          </cell>
        </row>
        <row r="2070">
          <cell r="C2070" t="str">
            <v>UDTSHC0062</v>
          </cell>
          <cell r="D2070" t="str">
            <v>CORE</v>
          </cell>
          <cell r="E2070" t="str">
            <v>CO25</v>
          </cell>
          <cell r="F2070">
            <v>1599</v>
          </cell>
          <cell r="G2070" t="str">
            <v>UD</v>
          </cell>
          <cell r="H2070" t="str">
            <v>USPUDMPTS</v>
          </cell>
          <cell r="I2070" t="str">
            <v>UDTSHC0062009</v>
          </cell>
          <cell r="J2070" t="str">
            <v>XXL</v>
          </cell>
          <cell r="K2070" t="str">
            <v>POLO T-SHIRT</v>
          </cell>
          <cell r="L2070" t="str">
            <v>NOD</v>
          </cell>
        </row>
        <row r="2071">
          <cell r="C2071" t="str">
            <v>UDTSHC0063</v>
          </cell>
          <cell r="D2071" t="str">
            <v>CORE</v>
          </cell>
          <cell r="E2071" t="str">
            <v>CO25</v>
          </cell>
          <cell r="F2071">
            <v>1799</v>
          </cell>
          <cell r="G2071" t="str">
            <v>UD</v>
          </cell>
          <cell r="H2071" t="str">
            <v>USPUDMPTS</v>
          </cell>
          <cell r="I2071" t="str">
            <v>UDTSHC0063001</v>
          </cell>
          <cell r="J2071" t="str">
            <v>3XL</v>
          </cell>
          <cell r="K2071" t="str">
            <v>POLO T-SHIRT</v>
          </cell>
          <cell r="L2071" t="str">
            <v>NOD</v>
          </cell>
        </row>
        <row r="2072">
          <cell r="C2072" t="str">
            <v>UDTSHC0063</v>
          </cell>
          <cell r="D2072" t="str">
            <v>CORE</v>
          </cell>
          <cell r="E2072" t="str">
            <v>CO25</v>
          </cell>
          <cell r="F2072">
            <v>1799</v>
          </cell>
          <cell r="G2072" t="str">
            <v>UD</v>
          </cell>
          <cell r="H2072" t="str">
            <v>USPUDMPTS</v>
          </cell>
          <cell r="I2072" t="str">
            <v>UDTSHC0063002</v>
          </cell>
          <cell r="J2072" t="str">
            <v>4XL</v>
          </cell>
          <cell r="K2072" t="str">
            <v>POLO T-SHIRT</v>
          </cell>
          <cell r="L2072" t="str">
            <v>NOD</v>
          </cell>
        </row>
        <row r="2073">
          <cell r="C2073" t="str">
            <v>UDTSHC0063</v>
          </cell>
          <cell r="D2073" t="str">
            <v>CORE</v>
          </cell>
          <cell r="E2073" t="str">
            <v>CO25</v>
          </cell>
          <cell r="F2073">
            <v>1799</v>
          </cell>
          <cell r="G2073" t="str">
            <v>UD</v>
          </cell>
          <cell r="H2073" t="str">
            <v>USPUDMPTS</v>
          </cell>
          <cell r="I2073" t="str">
            <v>UDTSHC0063003</v>
          </cell>
          <cell r="J2073" t="str">
            <v>5XL</v>
          </cell>
          <cell r="K2073" t="str">
            <v>POLO T-SHIRT</v>
          </cell>
          <cell r="L2073" t="str">
            <v>NOD</v>
          </cell>
        </row>
        <row r="2074">
          <cell r="C2074" t="str">
            <v>UDTSHC0063</v>
          </cell>
          <cell r="D2074" t="str">
            <v>CORE</v>
          </cell>
          <cell r="E2074" t="str">
            <v>CO25</v>
          </cell>
          <cell r="F2074">
            <v>1599</v>
          </cell>
          <cell r="G2074" t="str">
            <v>UD</v>
          </cell>
          <cell r="H2074" t="str">
            <v>USPUDMPTS</v>
          </cell>
          <cell r="I2074" t="str">
            <v>UDTSHC0063004</v>
          </cell>
          <cell r="J2074" t="str">
            <v>L</v>
          </cell>
          <cell r="K2074" t="str">
            <v>POLO T-SHIRT</v>
          </cell>
          <cell r="L2074" t="str">
            <v>NOD</v>
          </cell>
        </row>
        <row r="2075">
          <cell r="C2075" t="str">
            <v>UDTSHC0063</v>
          </cell>
          <cell r="D2075" t="str">
            <v>CORE</v>
          </cell>
          <cell r="E2075" t="str">
            <v>CO25</v>
          </cell>
          <cell r="F2075">
            <v>1599</v>
          </cell>
          <cell r="G2075" t="str">
            <v>UD</v>
          </cell>
          <cell r="H2075" t="str">
            <v>USPUDMPTS</v>
          </cell>
          <cell r="I2075" t="str">
            <v>UDTSHC0063005</v>
          </cell>
          <cell r="J2075" t="str">
            <v>M</v>
          </cell>
          <cell r="K2075" t="str">
            <v>POLO T-SHIRT</v>
          </cell>
          <cell r="L2075" t="str">
            <v>NOD</v>
          </cell>
        </row>
        <row r="2076">
          <cell r="C2076" t="str">
            <v>UDTSHC0063</v>
          </cell>
          <cell r="D2076" t="str">
            <v>CORE</v>
          </cell>
          <cell r="E2076" t="str">
            <v>CO25</v>
          </cell>
          <cell r="F2076">
            <v>1599</v>
          </cell>
          <cell r="G2076" t="str">
            <v>UD</v>
          </cell>
          <cell r="H2076" t="str">
            <v>USPUDMPTS</v>
          </cell>
          <cell r="I2076" t="str">
            <v>UDTSHC0063006</v>
          </cell>
          <cell r="J2076" t="str">
            <v>S</v>
          </cell>
          <cell r="K2076" t="str">
            <v>POLO T-SHIRT</v>
          </cell>
          <cell r="L2076" t="str">
            <v>NOD</v>
          </cell>
        </row>
        <row r="2077">
          <cell r="C2077" t="str">
            <v>UDTSHC0063</v>
          </cell>
          <cell r="D2077" t="str">
            <v>CORE</v>
          </cell>
          <cell r="E2077" t="str">
            <v>CO25</v>
          </cell>
          <cell r="F2077">
            <v>1599</v>
          </cell>
          <cell r="G2077" t="str">
            <v>UD</v>
          </cell>
          <cell r="H2077" t="str">
            <v>USPUDMPTS</v>
          </cell>
          <cell r="I2077" t="str">
            <v>UDTSHC0063007</v>
          </cell>
          <cell r="J2077" t="str">
            <v>XL</v>
          </cell>
          <cell r="K2077" t="str">
            <v>POLO T-SHIRT</v>
          </cell>
          <cell r="L2077" t="str">
            <v>NOD</v>
          </cell>
        </row>
        <row r="2078">
          <cell r="C2078" t="str">
            <v>UDTSHC0063</v>
          </cell>
          <cell r="D2078" t="str">
            <v>CORE</v>
          </cell>
          <cell r="E2078" t="str">
            <v>CO25</v>
          </cell>
          <cell r="F2078">
            <v>1599</v>
          </cell>
          <cell r="G2078" t="str">
            <v>UD</v>
          </cell>
          <cell r="H2078" t="str">
            <v>USPUDMPTS</v>
          </cell>
          <cell r="I2078" t="str">
            <v>UDTSHC0063008</v>
          </cell>
          <cell r="J2078" t="str">
            <v>XS</v>
          </cell>
          <cell r="K2078" t="str">
            <v>POLO T-SHIRT</v>
          </cell>
          <cell r="L2078" t="str">
            <v>NOD</v>
          </cell>
        </row>
        <row r="2079">
          <cell r="C2079" t="str">
            <v>UDTSHC0063</v>
          </cell>
          <cell r="D2079" t="str">
            <v>CORE</v>
          </cell>
          <cell r="E2079" t="str">
            <v>CO25</v>
          </cell>
          <cell r="F2079">
            <v>1599</v>
          </cell>
          <cell r="G2079" t="str">
            <v>UD</v>
          </cell>
          <cell r="H2079" t="str">
            <v>USPUDMPTS</v>
          </cell>
          <cell r="I2079" t="str">
            <v>UDTSHC0063009</v>
          </cell>
          <cell r="J2079" t="str">
            <v>XXL</v>
          </cell>
          <cell r="K2079" t="str">
            <v>POLO T-SHIRT</v>
          </cell>
          <cell r="L2079" t="str">
            <v>NOD</v>
          </cell>
        </row>
        <row r="2080">
          <cell r="C2080" t="str">
            <v>UDTSHC0064</v>
          </cell>
          <cell r="D2080" t="str">
            <v>CORE</v>
          </cell>
          <cell r="E2080" t="str">
            <v>CO25</v>
          </cell>
          <cell r="F2080">
            <v>1799</v>
          </cell>
          <cell r="G2080" t="str">
            <v>UD</v>
          </cell>
          <cell r="H2080" t="str">
            <v>USPUDMPTS</v>
          </cell>
          <cell r="I2080" t="str">
            <v>UDTSHC0064001</v>
          </cell>
          <cell r="J2080" t="str">
            <v>3XL</v>
          </cell>
          <cell r="K2080" t="str">
            <v>POLO T-SHIRT</v>
          </cell>
          <cell r="L2080" t="str">
            <v>NOD</v>
          </cell>
        </row>
        <row r="2081">
          <cell r="C2081" t="str">
            <v>UDTSHC0064</v>
          </cell>
          <cell r="D2081" t="str">
            <v>CORE</v>
          </cell>
          <cell r="E2081" t="str">
            <v>CO25</v>
          </cell>
          <cell r="F2081">
            <v>1799</v>
          </cell>
          <cell r="G2081" t="str">
            <v>UD</v>
          </cell>
          <cell r="H2081" t="str">
            <v>USPUDMPTS</v>
          </cell>
          <cell r="I2081" t="str">
            <v>UDTSHC0064002</v>
          </cell>
          <cell r="J2081" t="str">
            <v>4XL</v>
          </cell>
          <cell r="K2081" t="str">
            <v>POLO T-SHIRT</v>
          </cell>
          <cell r="L2081" t="str">
            <v>NOD</v>
          </cell>
        </row>
        <row r="2082">
          <cell r="C2082" t="str">
            <v>UDTSHC0064</v>
          </cell>
          <cell r="D2082" t="str">
            <v>CORE</v>
          </cell>
          <cell r="E2082" t="str">
            <v>CO25</v>
          </cell>
          <cell r="F2082">
            <v>1799</v>
          </cell>
          <cell r="G2082" t="str">
            <v>UD</v>
          </cell>
          <cell r="H2082" t="str">
            <v>USPUDMPTS</v>
          </cell>
          <cell r="I2082" t="str">
            <v>UDTSHC0064003</v>
          </cell>
          <cell r="J2082" t="str">
            <v>5XL</v>
          </cell>
          <cell r="K2082" t="str">
            <v>POLO T-SHIRT</v>
          </cell>
          <cell r="L2082" t="str">
            <v>NOD</v>
          </cell>
        </row>
        <row r="2083">
          <cell r="C2083" t="str">
            <v>UDTSHC0064</v>
          </cell>
          <cell r="D2083" t="str">
            <v>CORE</v>
          </cell>
          <cell r="E2083" t="str">
            <v>CO25</v>
          </cell>
          <cell r="F2083">
            <v>1599</v>
          </cell>
          <cell r="G2083" t="str">
            <v>UD</v>
          </cell>
          <cell r="H2083" t="str">
            <v>USPUDMPTS</v>
          </cell>
          <cell r="I2083" t="str">
            <v>UDTSHC0064004</v>
          </cell>
          <cell r="J2083" t="str">
            <v>L</v>
          </cell>
          <cell r="K2083" t="str">
            <v>POLO T-SHIRT</v>
          </cell>
          <cell r="L2083" t="str">
            <v>NOD</v>
          </cell>
        </row>
        <row r="2084">
          <cell r="C2084" t="str">
            <v>UDTSHC0064</v>
          </cell>
          <cell r="D2084" t="str">
            <v>CORE</v>
          </cell>
          <cell r="E2084" t="str">
            <v>CO25</v>
          </cell>
          <cell r="F2084">
            <v>1599</v>
          </cell>
          <cell r="G2084" t="str">
            <v>UD</v>
          </cell>
          <cell r="H2084" t="str">
            <v>USPUDMPTS</v>
          </cell>
          <cell r="I2084" t="str">
            <v>UDTSHC0064005</v>
          </cell>
          <cell r="J2084" t="str">
            <v>M</v>
          </cell>
          <cell r="K2084" t="str">
            <v>POLO T-SHIRT</v>
          </cell>
          <cell r="L2084" t="str">
            <v>NOD</v>
          </cell>
        </row>
        <row r="2085">
          <cell r="C2085" t="str">
            <v>UDTSHC0064</v>
          </cell>
          <cell r="D2085" t="str">
            <v>CORE</v>
          </cell>
          <cell r="E2085" t="str">
            <v>CO25</v>
          </cell>
          <cell r="F2085">
            <v>1599</v>
          </cell>
          <cell r="G2085" t="str">
            <v>UD</v>
          </cell>
          <cell r="H2085" t="str">
            <v>USPUDMPTS</v>
          </cell>
          <cell r="I2085" t="str">
            <v>UDTSHC0064006</v>
          </cell>
          <cell r="J2085" t="str">
            <v>S</v>
          </cell>
          <cell r="K2085" t="str">
            <v>POLO T-SHIRT</v>
          </cell>
          <cell r="L2085" t="str">
            <v>NOD</v>
          </cell>
        </row>
        <row r="2086">
          <cell r="C2086" t="str">
            <v>UDTSHC0064</v>
          </cell>
          <cell r="D2086" t="str">
            <v>CORE</v>
          </cell>
          <cell r="E2086" t="str">
            <v>CO25</v>
          </cell>
          <cell r="F2086">
            <v>1599</v>
          </cell>
          <cell r="G2086" t="str">
            <v>UD</v>
          </cell>
          <cell r="H2086" t="str">
            <v>USPUDMPTS</v>
          </cell>
          <cell r="I2086" t="str">
            <v>UDTSHC0064007</v>
          </cell>
          <cell r="J2086" t="str">
            <v>XL</v>
          </cell>
          <cell r="K2086" t="str">
            <v>POLO T-SHIRT</v>
          </cell>
          <cell r="L2086" t="str">
            <v>NOD</v>
          </cell>
        </row>
        <row r="2087">
          <cell r="C2087" t="str">
            <v>UDTSHC0064</v>
          </cell>
          <cell r="D2087" t="str">
            <v>CORE</v>
          </cell>
          <cell r="E2087" t="str">
            <v>CO25</v>
          </cell>
          <cell r="F2087">
            <v>1599</v>
          </cell>
          <cell r="G2087" t="str">
            <v>UD</v>
          </cell>
          <cell r="H2087" t="str">
            <v>USPUDMPTS</v>
          </cell>
          <cell r="I2087" t="str">
            <v>UDTSHC0064008</v>
          </cell>
          <cell r="J2087" t="str">
            <v>XS</v>
          </cell>
          <cell r="K2087" t="str">
            <v>POLO T-SHIRT</v>
          </cell>
          <cell r="L2087" t="str">
            <v>NOD</v>
          </cell>
        </row>
        <row r="2088">
          <cell r="C2088" t="str">
            <v>UDTSHC0064</v>
          </cell>
          <cell r="D2088" t="str">
            <v>CORE</v>
          </cell>
          <cell r="E2088" t="str">
            <v>CO25</v>
          </cell>
          <cell r="F2088">
            <v>1599</v>
          </cell>
          <cell r="G2088" t="str">
            <v>UD</v>
          </cell>
          <cell r="H2088" t="str">
            <v>USPUDMPTS</v>
          </cell>
          <cell r="I2088" t="str">
            <v>UDTSHC0064009</v>
          </cell>
          <cell r="J2088" t="str">
            <v>XXL</v>
          </cell>
          <cell r="K2088" t="str">
            <v>POLO T-SHIRT</v>
          </cell>
          <cell r="L2088" t="str">
            <v>NOD</v>
          </cell>
        </row>
        <row r="2089">
          <cell r="C2089" t="str">
            <v>UDTSHC0065</v>
          </cell>
          <cell r="D2089" t="str">
            <v>CORE</v>
          </cell>
          <cell r="E2089" t="str">
            <v>CO25</v>
          </cell>
          <cell r="F2089">
            <v>1799</v>
          </cell>
          <cell r="G2089" t="str">
            <v>UD</v>
          </cell>
          <cell r="H2089" t="str">
            <v>USPUDMPTS</v>
          </cell>
          <cell r="I2089" t="str">
            <v>UDTSHC0065001</v>
          </cell>
          <cell r="J2089" t="str">
            <v>3XL</v>
          </cell>
          <cell r="K2089" t="str">
            <v>POLO T-SHIRT</v>
          </cell>
          <cell r="L2089" t="str">
            <v>NOD</v>
          </cell>
        </row>
        <row r="2090">
          <cell r="C2090" t="str">
            <v>UDTSHC0065</v>
          </cell>
          <cell r="D2090" t="str">
            <v>CORE</v>
          </cell>
          <cell r="E2090" t="str">
            <v>CO25</v>
          </cell>
          <cell r="F2090">
            <v>1799</v>
          </cell>
          <cell r="G2090" t="str">
            <v>UD</v>
          </cell>
          <cell r="H2090" t="str">
            <v>USPUDMPTS</v>
          </cell>
          <cell r="I2090" t="str">
            <v>UDTSHC0065002</v>
          </cell>
          <cell r="J2090" t="str">
            <v>4XL</v>
          </cell>
          <cell r="K2090" t="str">
            <v>POLO T-SHIRT</v>
          </cell>
          <cell r="L2090" t="str">
            <v>NOD</v>
          </cell>
        </row>
        <row r="2091">
          <cell r="C2091" t="str">
            <v>UDTSHC0065</v>
          </cell>
          <cell r="D2091" t="str">
            <v>CORE</v>
          </cell>
          <cell r="E2091" t="str">
            <v>CO25</v>
          </cell>
          <cell r="F2091">
            <v>1799</v>
          </cell>
          <cell r="G2091" t="str">
            <v>UD</v>
          </cell>
          <cell r="H2091" t="str">
            <v>USPUDMPTS</v>
          </cell>
          <cell r="I2091" t="str">
            <v>UDTSHC0065003</v>
          </cell>
          <cell r="J2091" t="str">
            <v>5XL</v>
          </cell>
          <cell r="K2091" t="str">
            <v>POLO T-SHIRT</v>
          </cell>
          <cell r="L2091" t="str">
            <v>NOD</v>
          </cell>
        </row>
        <row r="2092">
          <cell r="C2092" t="str">
            <v>UDTSHC0065</v>
          </cell>
          <cell r="D2092" t="str">
            <v>CORE</v>
          </cell>
          <cell r="E2092" t="str">
            <v>CO25</v>
          </cell>
          <cell r="F2092">
            <v>1599</v>
          </cell>
          <cell r="G2092" t="str">
            <v>UD</v>
          </cell>
          <cell r="H2092" t="str">
            <v>USPUDMPTS</v>
          </cell>
          <cell r="I2092" t="str">
            <v>UDTSHC0065004</v>
          </cell>
          <cell r="J2092" t="str">
            <v>L</v>
          </cell>
          <cell r="K2092" t="str">
            <v>POLO T-SHIRT</v>
          </cell>
          <cell r="L2092" t="str">
            <v>NOD</v>
          </cell>
        </row>
        <row r="2093">
          <cell r="C2093" t="str">
            <v>UDTSHC0065</v>
          </cell>
          <cell r="D2093" t="str">
            <v>CORE</v>
          </cell>
          <cell r="E2093" t="str">
            <v>CO25</v>
          </cell>
          <cell r="F2093">
            <v>1599</v>
          </cell>
          <cell r="G2093" t="str">
            <v>UD</v>
          </cell>
          <cell r="H2093" t="str">
            <v>USPUDMPTS</v>
          </cell>
          <cell r="I2093" t="str">
            <v>UDTSHC0065005</v>
          </cell>
          <cell r="J2093" t="str">
            <v>M</v>
          </cell>
          <cell r="K2093" t="str">
            <v>POLO T-SHIRT</v>
          </cell>
          <cell r="L2093" t="str">
            <v>NOD</v>
          </cell>
        </row>
        <row r="2094">
          <cell r="C2094" t="str">
            <v>UDTSHC0065</v>
          </cell>
          <cell r="D2094" t="str">
            <v>CORE</v>
          </cell>
          <cell r="E2094" t="str">
            <v>CO25</v>
          </cell>
          <cell r="F2094">
            <v>1599</v>
          </cell>
          <cell r="G2094" t="str">
            <v>UD</v>
          </cell>
          <cell r="H2094" t="str">
            <v>USPUDMPTS</v>
          </cell>
          <cell r="I2094" t="str">
            <v>UDTSHC0065006</v>
          </cell>
          <cell r="J2094" t="str">
            <v>S</v>
          </cell>
          <cell r="K2094" t="str">
            <v>POLO T-SHIRT</v>
          </cell>
          <cell r="L2094" t="str">
            <v>NOD</v>
          </cell>
        </row>
        <row r="2095">
          <cell r="C2095" t="str">
            <v>UDTSHC0065</v>
          </cell>
          <cell r="D2095" t="str">
            <v>CORE</v>
          </cell>
          <cell r="E2095" t="str">
            <v>CO25</v>
          </cell>
          <cell r="F2095">
            <v>1599</v>
          </cell>
          <cell r="G2095" t="str">
            <v>UD</v>
          </cell>
          <cell r="H2095" t="str">
            <v>USPUDMPTS</v>
          </cell>
          <cell r="I2095" t="str">
            <v>UDTSHC0065007</v>
          </cell>
          <cell r="J2095" t="str">
            <v>XL</v>
          </cell>
          <cell r="K2095" t="str">
            <v>POLO T-SHIRT</v>
          </cell>
          <cell r="L2095" t="str">
            <v>NOD</v>
          </cell>
        </row>
        <row r="2096">
          <cell r="C2096" t="str">
            <v>UDTSHC0065</v>
          </cell>
          <cell r="D2096" t="str">
            <v>CORE</v>
          </cell>
          <cell r="E2096" t="str">
            <v>CO25</v>
          </cell>
          <cell r="F2096">
            <v>1599</v>
          </cell>
          <cell r="G2096" t="str">
            <v>UD</v>
          </cell>
          <cell r="H2096" t="str">
            <v>USPUDMPTS</v>
          </cell>
          <cell r="I2096" t="str">
            <v>UDTSHC0065008</v>
          </cell>
          <cell r="J2096" t="str">
            <v>XS</v>
          </cell>
          <cell r="K2096" t="str">
            <v>POLO T-SHIRT</v>
          </cell>
          <cell r="L2096" t="str">
            <v>NOD</v>
          </cell>
        </row>
        <row r="2097">
          <cell r="C2097" t="str">
            <v>UDTSHC0065</v>
          </cell>
          <cell r="D2097" t="str">
            <v>CORE</v>
          </cell>
          <cell r="E2097" t="str">
            <v>CO25</v>
          </cell>
          <cell r="F2097">
            <v>1599</v>
          </cell>
          <cell r="G2097" t="str">
            <v>UD</v>
          </cell>
          <cell r="H2097" t="str">
            <v>USPUDMPTS</v>
          </cell>
          <cell r="I2097" t="str">
            <v>UDTSHC0065009</v>
          </cell>
          <cell r="J2097" t="str">
            <v>XXL</v>
          </cell>
          <cell r="K2097" t="str">
            <v>POLO T-SHIRT</v>
          </cell>
          <cell r="L2097" t="str">
            <v>NOD</v>
          </cell>
        </row>
        <row r="2098">
          <cell r="C2098" t="str">
            <v>USSHT1679</v>
          </cell>
          <cell r="D2098" t="str">
            <v>CORE</v>
          </cell>
          <cell r="E2098" t="str">
            <v>CO25</v>
          </cell>
          <cell r="F2098">
            <v>3686</v>
          </cell>
          <cell r="G2098" t="str">
            <v>US</v>
          </cell>
          <cell r="H2098" t="str">
            <v>USPUSMSHT</v>
          </cell>
          <cell r="I2098" t="str">
            <v>USSHT1679001</v>
          </cell>
          <cell r="J2098" t="str">
            <v>3XL</v>
          </cell>
          <cell r="K2098" t="str">
            <v>SHIRT</v>
          </cell>
          <cell r="L2098" t="str">
            <v>NOD</v>
          </cell>
        </row>
        <row r="2099">
          <cell r="C2099" t="str">
            <v>USSHT1679</v>
          </cell>
          <cell r="D2099" t="str">
            <v>CORE</v>
          </cell>
          <cell r="E2099" t="str">
            <v>CO25</v>
          </cell>
          <cell r="F2099">
            <v>3686</v>
          </cell>
          <cell r="G2099" t="str">
            <v>US</v>
          </cell>
          <cell r="H2099" t="str">
            <v>USPUSMSHT</v>
          </cell>
          <cell r="I2099" t="str">
            <v>USSHT1679002</v>
          </cell>
          <cell r="J2099" t="str">
            <v>4XL</v>
          </cell>
          <cell r="K2099" t="str">
            <v>SHIRT</v>
          </cell>
          <cell r="L2099" t="str">
            <v>NOD</v>
          </cell>
        </row>
        <row r="2100">
          <cell r="C2100" t="str">
            <v>USSHT1679</v>
          </cell>
          <cell r="D2100" t="str">
            <v>CORE</v>
          </cell>
          <cell r="E2100" t="str">
            <v>CO25</v>
          </cell>
          <cell r="F2100">
            <v>3686</v>
          </cell>
          <cell r="G2100" t="str">
            <v>US</v>
          </cell>
          <cell r="H2100" t="str">
            <v>USPUSMSHT</v>
          </cell>
          <cell r="I2100" t="str">
            <v>USSHT1679003</v>
          </cell>
          <cell r="J2100" t="str">
            <v>5XL</v>
          </cell>
          <cell r="K2100" t="str">
            <v>SHIRT</v>
          </cell>
          <cell r="L2100" t="str">
            <v>NOD</v>
          </cell>
        </row>
        <row r="2101">
          <cell r="C2101" t="str">
            <v>USSHT1679</v>
          </cell>
          <cell r="D2101" t="str">
            <v>CORE</v>
          </cell>
          <cell r="E2101" t="str">
            <v>CO25</v>
          </cell>
          <cell r="F2101">
            <v>3475</v>
          </cell>
          <cell r="G2101" t="str">
            <v>US</v>
          </cell>
          <cell r="H2101" t="str">
            <v>USPUSMSHT</v>
          </cell>
          <cell r="I2101" t="str">
            <v>USSHT1679004</v>
          </cell>
          <cell r="J2101" t="str">
            <v>L</v>
          </cell>
          <cell r="K2101" t="str">
            <v>SHIRT</v>
          </cell>
          <cell r="L2101" t="str">
            <v>NOD</v>
          </cell>
        </row>
        <row r="2102">
          <cell r="C2102" t="str">
            <v>USSHT1679</v>
          </cell>
          <cell r="D2102" t="str">
            <v>CORE</v>
          </cell>
          <cell r="E2102" t="str">
            <v>CO25</v>
          </cell>
          <cell r="F2102">
            <v>3475</v>
          </cell>
          <cell r="G2102" t="str">
            <v>US</v>
          </cell>
          <cell r="H2102" t="str">
            <v>USPUSMSHT</v>
          </cell>
          <cell r="I2102" t="str">
            <v>USSHT1679005</v>
          </cell>
          <cell r="J2102" t="str">
            <v>M</v>
          </cell>
          <cell r="K2102" t="str">
            <v>SHIRT</v>
          </cell>
          <cell r="L2102" t="str">
            <v>NOD</v>
          </cell>
        </row>
        <row r="2103">
          <cell r="C2103" t="str">
            <v>USSHT1679</v>
          </cell>
          <cell r="D2103" t="str">
            <v>CORE</v>
          </cell>
          <cell r="E2103" t="str">
            <v>CO25</v>
          </cell>
          <cell r="F2103">
            <v>3475</v>
          </cell>
          <cell r="G2103" t="str">
            <v>US</v>
          </cell>
          <cell r="H2103" t="str">
            <v>USPUSMSHT</v>
          </cell>
          <cell r="I2103" t="str">
            <v>USSHT1679006</v>
          </cell>
          <cell r="J2103" t="str">
            <v>S</v>
          </cell>
          <cell r="K2103" t="str">
            <v>SHIRT</v>
          </cell>
          <cell r="L2103" t="str">
            <v>NOD</v>
          </cell>
        </row>
        <row r="2104">
          <cell r="C2104" t="str">
            <v>USSHT1679</v>
          </cell>
          <cell r="D2104" t="str">
            <v>CORE</v>
          </cell>
          <cell r="E2104" t="str">
            <v>CO25</v>
          </cell>
          <cell r="F2104">
            <v>3475</v>
          </cell>
          <cell r="G2104" t="str">
            <v>US</v>
          </cell>
          <cell r="H2104" t="str">
            <v>USPUSMSHT</v>
          </cell>
          <cell r="I2104" t="str">
            <v>USSHT1679007</v>
          </cell>
          <cell r="J2104" t="str">
            <v>XL</v>
          </cell>
          <cell r="K2104" t="str">
            <v>SHIRT</v>
          </cell>
          <cell r="L2104" t="str">
            <v>NOD</v>
          </cell>
        </row>
        <row r="2105">
          <cell r="C2105" t="str">
            <v>USSHT1679</v>
          </cell>
          <cell r="D2105" t="str">
            <v>CORE</v>
          </cell>
          <cell r="E2105" t="str">
            <v>CO25</v>
          </cell>
          <cell r="F2105">
            <v>3475</v>
          </cell>
          <cell r="G2105" t="str">
            <v>US</v>
          </cell>
          <cell r="H2105" t="str">
            <v>USPUSMSHT</v>
          </cell>
          <cell r="I2105" t="str">
            <v>USSHT1679008</v>
          </cell>
          <cell r="J2105" t="str">
            <v>XXL</v>
          </cell>
          <cell r="K2105" t="str">
            <v>SHIRT</v>
          </cell>
          <cell r="L2105" t="str">
            <v>NOD</v>
          </cell>
        </row>
        <row r="2106">
          <cell r="C2106" t="str">
            <v>USSHT1680</v>
          </cell>
          <cell r="D2106" t="str">
            <v>CORE</v>
          </cell>
          <cell r="E2106" t="str">
            <v>CO25</v>
          </cell>
          <cell r="F2106">
            <v>3686</v>
          </cell>
          <cell r="G2106" t="str">
            <v>US</v>
          </cell>
          <cell r="H2106" t="str">
            <v>USPUSMSHT</v>
          </cell>
          <cell r="I2106" t="str">
            <v>USSHT1680001</v>
          </cell>
          <cell r="J2106" t="str">
            <v>3XL</v>
          </cell>
          <cell r="K2106" t="str">
            <v>SHIRT</v>
          </cell>
          <cell r="L2106" t="str">
            <v>NOD</v>
          </cell>
        </row>
        <row r="2107">
          <cell r="C2107" t="str">
            <v>USSHT1680</v>
          </cell>
          <cell r="D2107" t="str">
            <v>CORE</v>
          </cell>
          <cell r="E2107" t="str">
            <v>CO25</v>
          </cell>
          <cell r="F2107">
            <v>3686</v>
          </cell>
          <cell r="G2107" t="str">
            <v>US</v>
          </cell>
          <cell r="H2107" t="str">
            <v>USPUSMSHT</v>
          </cell>
          <cell r="I2107" t="str">
            <v>USSHT1680002</v>
          </cell>
          <cell r="J2107" t="str">
            <v>4XL</v>
          </cell>
          <cell r="K2107" t="str">
            <v>SHIRT</v>
          </cell>
          <cell r="L2107" t="str">
            <v>NOD</v>
          </cell>
        </row>
        <row r="2108">
          <cell r="C2108" t="str">
            <v>USSHT1680</v>
          </cell>
          <cell r="D2108" t="str">
            <v>CORE</v>
          </cell>
          <cell r="E2108" t="str">
            <v>CO25</v>
          </cell>
          <cell r="F2108">
            <v>3686</v>
          </cell>
          <cell r="G2108" t="str">
            <v>US</v>
          </cell>
          <cell r="H2108" t="str">
            <v>USPUSMSHT</v>
          </cell>
          <cell r="I2108" t="str">
            <v>USSHT1680003</v>
          </cell>
          <cell r="J2108" t="str">
            <v>5XL</v>
          </cell>
          <cell r="K2108" t="str">
            <v>SHIRT</v>
          </cell>
          <cell r="L2108" t="str">
            <v>NOD</v>
          </cell>
        </row>
        <row r="2109">
          <cell r="C2109" t="str">
            <v>USSHT1680</v>
          </cell>
          <cell r="D2109" t="str">
            <v>CORE</v>
          </cell>
          <cell r="E2109" t="str">
            <v>CO25</v>
          </cell>
          <cell r="F2109">
            <v>3475</v>
          </cell>
          <cell r="G2109" t="str">
            <v>US</v>
          </cell>
          <cell r="H2109" t="str">
            <v>USPUSMSHT</v>
          </cell>
          <cell r="I2109" t="str">
            <v>USSHT1680004</v>
          </cell>
          <cell r="J2109" t="str">
            <v>L</v>
          </cell>
          <cell r="K2109" t="str">
            <v>SHIRT</v>
          </cell>
          <cell r="L2109" t="str">
            <v>NOD</v>
          </cell>
        </row>
        <row r="2110">
          <cell r="C2110" t="str">
            <v>USSHT1680</v>
          </cell>
          <cell r="D2110" t="str">
            <v>CORE</v>
          </cell>
          <cell r="E2110" t="str">
            <v>CO25</v>
          </cell>
          <cell r="F2110">
            <v>3475</v>
          </cell>
          <cell r="G2110" t="str">
            <v>US</v>
          </cell>
          <cell r="H2110" t="str">
            <v>USPUSMSHT</v>
          </cell>
          <cell r="I2110" t="str">
            <v>USSHT1680005</v>
          </cell>
          <cell r="J2110" t="str">
            <v>M</v>
          </cell>
          <cell r="K2110" t="str">
            <v>SHIRT</v>
          </cell>
          <cell r="L2110" t="str">
            <v>NOD</v>
          </cell>
        </row>
        <row r="2111">
          <cell r="C2111" t="str">
            <v>USSHT1680</v>
          </cell>
          <cell r="D2111" t="str">
            <v>CORE</v>
          </cell>
          <cell r="E2111" t="str">
            <v>CO25</v>
          </cell>
          <cell r="F2111">
            <v>3475</v>
          </cell>
          <cell r="G2111" t="str">
            <v>US</v>
          </cell>
          <cell r="H2111" t="str">
            <v>USPUSMSHT</v>
          </cell>
          <cell r="I2111" t="str">
            <v>USSHT1680006</v>
          </cell>
          <cell r="J2111" t="str">
            <v>S</v>
          </cell>
          <cell r="K2111" t="str">
            <v>SHIRT</v>
          </cell>
          <cell r="L2111" t="str">
            <v>NOD</v>
          </cell>
        </row>
        <row r="2112">
          <cell r="C2112" t="str">
            <v>USSHT1680</v>
          </cell>
          <cell r="D2112" t="str">
            <v>CORE</v>
          </cell>
          <cell r="E2112" t="str">
            <v>CO25</v>
          </cell>
          <cell r="F2112">
            <v>3475</v>
          </cell>
          <cell r="G2112" t="str">
            <v>US</v>
          </cell>
          <cell r="H2112" t="str">
            <v>USPUSMSHT</v>
          </cell>
          <cell r="I2112" t="str">
            <v>USSHT1680007</v>
          </cell>
          <cell r="J2112" t="str">
            <v>XL</v>
          </cell>
          <cell r="K2112" t="str">
            <v>SHIRT</v>
          </cell>
          <cell r="L2112" t="str">
            <v>NOD</v>
          </cell>
        </row>
        <row r="2113">
          <cell r="C2113" t="str">
            <v>USSHT1680</v>
          </cell>
          <cell r="D2113" t="str">
            <v>CORE</v>
          </cell>
          <cell r="E2113" t="str">
            <v>CO25</v>
          </cell>
          <cell r="F2113">
            <v>3475</v>
          </cell>
          <cell r="G2113" t="str">
            <v>US</v>
          </cell>
          <cell r="H2113" t="str">
            <v>USPUSMSHT</v>
          </cell>
          <cell r="I2113" t="str">
            <v>USSHT1680008</v>
          </cell>
          <cell r="J2113" t="str">
            <v>XXL</v>
          </cell>
          <cell r="K2113" t="str">
            <v>SHIRT</v>
          </cell>
          <cell r="L2113" t="str">
            <v>NOD</v>
          </cell>
        </row>
        <row r="2114">
          <cell r="C2114" t="str">
            <v>USSHT1681</v>
          </cell>
          <cell r="D2114" t="str">
            <v>CORE</v>
          </cell>
          <cell r="E2114" t="str">
            <v>CO25</v>
          </cell>
          <cell r="F2114">
            <v>3686</v>
          </cell>
          <cell r="G2114" t="str">
            <v>US</v>
          </cell>
          <cell r="H2114" t="str">
            <v>USPUSMSHT</v>
          </cell>
          <cell r="I2114" t="str">
            <v>USSHT1681001</v>
          </cell>
          <cell r="J2114" t="str">
            <v>3XL</v>
          </cell>
          <cell r="K2114" t="str">
            <v>SHIRT</v>
          </cell>
          <cell r="L2114" t="str">
            <v>NOD</v>
          </cell>
        </row>
        <row r="2115">
          <cell r="C2115" t="str">
            <v>USSHT1681</v>
          </cell>
          <cell r="D2115" t="str">
            <v>CORE</v>
          </cell>
          <cell r="E2115" t="str">
            <v>CO25</v>
          </cell>
          <cell r="F2115">
            <v>3686</v>
          </cell>
          <cell r="G2115" t="str">
            <v>US</v>
          </cell>
          <cell r="H2115" t="str">
            <v>USPUSMSHT</v>
          </cell>
          <cell r="I2115" t="str">
            <v>USSHT1681002</v>
          </cell>
          <cell r="J2115" t="str">
            <v>4XL</v>
          </cell>
          <cell r="K2115" t="str">
            <v>SHIRT</v>
          </cell>
          <cell r="L2115" t="str">
            <v>NOD</v>
          </cell>
        </row>
        <row r="2116">
          <cell r="C2116" t="str">
            <v>USSHT1681</v>
          </cell>
          <cell r="D2116" t="str">
            <v>CORE</v>
          </cell>
          <cell r="E2116" t="str">
            <v>CO25</v>
          </cell>
          <cell r="F2116">
            <v>3686</v>
          </cell>
          <cell r="G2116" t="str">
            <v>US</v>
          </cell>
          <cell r="H2116" t="str">
            <v>USPUSMSHT</v>
          </cell>
          <cell r="I2116" t="str">
            <v>USSHT1681003</v>
          </cell>
          <cell r="J2116" t="str">
            <v>5XL</v>
          </cell>
          <cell r="K2116" t="str">
            <v>SHIRT</v>
          </cell>
          <cell r="L2116" t="str">
            <v>NOD</v>
          </cell>
        </row>
        <row r="2117">
          <cell r="C2117" t="str">
            <v>USSHT1681</v>
          </cell>
          <cell r="D2117" t="str">
            <v>CORE</v>
          </cell>
          <cell r="E2117" t="str">
            <v>CO25</v>
          </cell>
          <cell r="F2117">
            <v>3475</v>
          </cell>
          <cell r="G2117" t="str">
            <v>US</v>
          </cell>
          <cell r="H2117" t="str">
            <v>USPUSMSHT</v>
          </cell>
          <cell r="I2117" t="str">
            <v>USSHT1681004</v>
          </cell>
          <cell r="J2117" t="str">
            <v>L</v>
          </cell>
          <cell r="K2117" t="str">
            <v>SHIRT</v>
          </cell>
          <cell r="L2117" t="str">
            <v>NOD</v>
          </cell>
        </row>
        <row r="2118">
          <cell r="C2118" t="str">
            <v>USSHT1681</v>
          </cell>
          <cell r="D2118" t="str">
            <v>CORE</v>
          </cell>
          <cell r="E2118" t="str">
            <v>CO25</v>
          </cell>
          <cell r="F2118">
            <v>3475</v>
          </cell>
          <cell r="G2118" t="str">
            <v>US</v>
          </cell>
          <cell r="H2118" t="str">
            <v>USPUSMSHT</v>
          </cell>
          <cell r="I2118" t="str">
            <v>USSHT1681005</v>
          </cell>
          <cell r="J2118" t="str">
            <v>M</v>
          </cell>
          <cell r="K2118" t="str">
            <v>SHIRT</v>
          </cell>
          <cell r="L2118" t="str">
            <v>NOD</v>
          </cell>
        </row>
        <row r="2119">
          <cell r="C2119" t="str">
            <v>USSHT1681</v>
          </cell>
          <cell r="D2119" t="str">
            <v>CORE</v>
          </cell>
          <cell r="E2119" t="str">
            <v>CO25</v>
          </cell>
          <cell r="F2119">
            <v>3475</v>
          </cell>
          <cell r="G2119" t="str">
            <v>US</v>
          </cell>
          <cell r="H2119" t="str">
            <v>USPUSMSHT</v>
          </cell>
          <cell r="I2119" t="str">
            <v>USSHT1681006</v>
          </cell>
          <cell r="J2119" t="str">
            <v>S</v>
          </cell>
          <cell r="K2119" t="str">
            <v>SHIRT</v>
          </cell>
          <cell r="L2119" t="str">
            <v>NOD</v>
          </cell>
        </row>
        <row r="2120">
          <cell r="C2120" t="str">
            <v>USSHT1681</v>
          </cell>
          <cell r="D2120" t="str">
            <v>CORE</v>
          </cell>
          <cell r="E2120" t="str">
            <v>CO25</v>
          </cell>
          <cell r="F2120">
            <v>3475</v>
          </cell>
          <cell r="G2120" t="str">
            <v>US</v>
          </cell>
          <cell r="H2120" t="str">
            <v>USPUSMSHT</v>
          </cell>
          <cell r="I2120" t="str">
            <v>USSHT1681007</v>
          </cell>
          <cell r="J2120" t="str">
            <v>XL</v>
          </cell>
          <cell r="K2120" t="str">
            <v>SHIRT</v>
          </cell>
          <cell r="L2120" t="str">
            <v>NOD</v>
          </cell>
        </row>
        <row r="2121">
          <cell r="C2121" t="str">
            <v>USSHT1681</v>
          </cell>
          <cell r="D2121" t="str">
            <v>CORE</v>
          </cell>
          <cell r="E2121" t="str">
            <v>CO25</v>
          </cell>
          <cell r="F2121">
            <v>3475</v>
          </cell>
          <cell r="G2121" t="str">
            <v>US</v>
          </cell>
          <cell r="H2121" t="str">
            <v>USPUSMSHT</v>
          </cell>
          <cell r="I2121" t="str">
            <v>USSHT1681008</v>
          </cell>
          <cell r="J2121" t="str">
            <v>XXL</v>
          </cell>
          <cell r="K2121" t="str">
            <v>SHIRT</v>
          </cell>
          <cell r="L2121" t="str">
            <v>NOD</v>
          </cell>
        </row>
        <row r="2122">
          <cell r="C2122" t="str">
            <v>USSHT1718</v>
          </cell>
          <cell r="D2122" t="str">
            <v>CORE</v>
          </cell>
          <cell r="E2122" t="str">
            <v>CO25</v>
          </cell>
          <cell r="F2122">
            <v>3686</v>
          </cell>
          <cell r="G2122" t="str">
            <v>US</v>
          </cell>
          <cell r="H2122" t="str">
            <v>USPUSMSHT</v>
          </cell>
          <cell r="I2122" t="str">
            <v>USSHT1718001</v>
          </cell>
          <cell r="J2122" t="str">
            <v>3XL</v>
          </cell>
          <cell r="K2122" t="str">
            <v>SHIRT</v>
          </cell>
          <cell r="L2122" t="str">
            <v>NOD</v>
          </cell>
        </row>
        <row r="2123">
          <cell r="C2123" t="str">
            <v>USSHT1718</v>
          </cell>
          <cell r="D2123" t="str">
            <v>CORE</v>
          </cell>
          <cell r="E2123" t="str">
            <v>CO25</v>
          </cell>
          <cell r="F2123">
            <v>3686</v>
          </cell>
          <cell r="G2123" t="str">
            <v>US</v>
          </cell>
          <cell r="H2123" t="str">
            <v>USPUSMSHT</v>
          </cell>
          <cell r="I2123" t="str">
            <v>USSHT1718002</v>
          </cell>
          <cell r="J2123" t="str">
            <v>4XL</v>
          </cell>
          <cell r="K2123" t="str">
            <v>SHIRT</v>
          </cell>
          <cell r="L2123" t="str">
            <v>NOD</v>
          </cell>
        </row>
        <row r="2124">
          <cell r="C2124" t="str">
            <v>USSHT1718</v>
          </cell>
          <cell r="D2124" t="str">
            <v>CORE</v>
          </cell>
          <cell r="E2124" t="str">
            <v>CO25</v>
          </cell>
          <cell r="F2124">
            <v>3686</v>
          </cell>
          <cell r="G2124" t="str">
            <v>US</v>
          </cell>
          <cell r="H2124" t="str">
            <v>USPUSMSHT</v>
          </cell>
          <cell r="I2124" t="str">
            <v>USSHT1718003</v>
          </cell>
          <cell r="J2124" t="str">
            <v>5XL</v>
          </cell>
          <cell r="K2124" t="str">
            <v>SHIRT</v>
          </cell>
          <cell r="L2124" t="str">
            <v>NOD</v>
          </cell>
        </row>
        <row r="2125">
          <cell r="C2125" t="str">
            <v>USSHT1718</v>
          </cell>
          <cell r="D2125" t="str">
            <v>CORE</v>
          </cell>
          <cell r="E2125" t="str">
            <v>CO25</v>
          </cell>
          <cell r="F2125">
            <v>3475</v>
          </cell>
          <cell r="G2125" t="str">
            <v>US</v>
          </cell>
          <cell r="H2125" t="str">
            <v>USPUSMSHT</v>
          </cell>
          <cell r="I2125" t="str">
            <v>USSHT1718004</v>
          </cell>
          <cell r="J2125" t="str">
            <v>L</v>
          </cell>
          <cell r="K2125" t="str">
            <v>SHIRT</v>
          </cell>
          <cell r="L2125" t="str">
            <v>NOD</v>
          </cell>
        </row>
        <row r="2126">
          <cell r="C2126" t="str">
            <v>USSHT1718</v>
          </cell>
          <cell r="D2126" t="str">
            <v>CORE</v>
          </cell>
          <cell r="E2126" t="str">
            <v>CO25</v>
          </cell>
          <cell r="F2126">
            <v>3475</v>
          </cell>
          <cell r="G2126" t="str">
            <v>US</v>
          </cell>
          <cell r="H2126" t="str">
            <v>USPUSMSHT</v>
          </cell>
          <cell r="I2126" t="str">
            <v>USSHT1718005</v>
          </cell>
          <cell r="J2126" t="str">
            <v>M</v>
          </cell>
          <cell r="K2126" t="str">
            <v>SHIRT</v>
          </cell>
          <cell r="L2126" t="str">
            <v>NOD</v>
          </cell>
        </row>
        <row r="2127">
          <cell r="C2127" t="str">
            <v>USSHT1718</v>
          </cell>
          <cell r="D2127" t="str">
            <v>CORE</v>
          </cell>
          <cell r="E2127" t="str">
            <v>CO25</v>
          </cell>
          <cell r="F2127">
            <v>3475</v>
          </cell>
          <cell r="G2127" t="str">
            <v>US</v>
          </cell>
          <cell r="H2127" t="str">
            <v>USPUSMSHT</v>
          </cell>
          <cell r="I2127" t="str">
            <v>USSHT1718006</v>
          </cell>
          <cell r="J2127" t="str">
            <v>S</v>
          </cell>
          <cell r="K2127" t="str">
            <v>SHIRT</v>
          </cell>
          <cell r="L2127" t="str">
            <v>NOD</v>
          </cell>
        </row>
        <row r="2128">
          <cell r="C2128" t="str">
            <v>USSHT1718</v>
          </cell>
          <cell r="D2128" t="str">
            <v>CORE</v>
          </cell>
          <cell r="E2128" t="str">
            <v>CO25</v>
          </cell>
          <cell r="F2128">
            <v>3475</v>
          </cell>
          <cell r="G2128" t="str">
            <v>US</v>
          </cell>
          <cell r="H2128" t="str">
            <v>USPUSMSHT</v>
          </cell>
          <cell r="I2128" t="str">
            <v>USSHT1718007</v>
          </cell>
          <cell r="J2128" t="str">
            <v>XL</v>
          </cell>
          <cell r="K2128" t="str">
            <v>SHIRT</v>
          </cell>
          <cell r="L2128" t="str">
            <v>NOD</v>
          </cell>
        </row>
        <row r="2129">
          <cell r="C2129" t="str">
            <v>USSHT1718</v>
          </cell>
          <cell r="D2129" t="str">
            <v>CORE</v>
          </cell>
          <cell r="E2129" t="str">
            <v>CO25</v>
          </cell>
          <cell r="F2129">
            <v>3475</v>
          </cell>
          <cell r="G2129" t="str">
            <v>US</v>
          </cell>
          <cell r="H2129" t="str">
            <v>USPUSMSHT</v>
          </cell>
          <cell r="I2129" t="str">
            <v>USSHT1718008</v>
          </cell>
          <cell r="J2129" t="str">
            <v>XXL</v>
          </cell>
          <cell r="K2129" t="str">
            <v>SHIRT</v>
          </cell>
          <cell r="L2129" t="str">
            <v>NOD</v>
          </cell>
        </row>
        <row r="2130">
          <cell r="C2130" t="str">
            <v>USSHT1721</v>
          </cell>
          <cell r="D2130" t="str">
            <v>CORE</v>
          </cell>
          <cell r="E2130" t="str">
            <v>CO25</v>
          </cell>
          <cell r="F2130">
            <v>3686</v>
          </cell>
          <cell r="G2130" t="str">
            <v>US</v>
          </cell>
          <cell r="H2130" t="str">
            <v>USPUSMSHT</v>
          </cell>
          <cell r="I2130" t="str">
            <v>USSHT1721001</v>
          </cell>
          <cell r="J2130" t="str">
            <v>3XL</v>
          </cell>
          <cell r="K2130" t="str">
            <v>SHIRT</v>
          </cell>
          <cell r="L2130" t="str">
            <v>NOD</v>
          </cell>
        </row>
        <row r="2131">
          <cell r="C2131" t="str">
            <v>USSHT1721</v>
          </cell>
          <cell r="D2131" t="str">
            <v>CORE</v>
          </cell>
          <cell r="E2131" t="str">
            <v>CO25</v>
          </cell>
          <cell r="F2131">
            <v>3686</v>
          </cell>
          <cell r="G2131" t="str">
            <v>US</v>
          </cell>
          <cell r="H2131" t="str">
            <v>USPUSMSHT</v>
          </cell>
          <cell r="I2131" t="str">
            <v>USSHT1721002</v>
          </cell>
          <cell r="J2131" t="str">
            <v>4XL</v>
          </cell>
          <cell r="K2131" t="str">
            <v>SHIRT</v>
          </cell>
          <cell r="L2131" t="str">
            <v>NOD</v>
          </cell>
        </row>
        <row r="2132">
          <cell r="C2132" t="str">
            <v>USSHT1721</v>
          </cell>
          <cell r="D2132" t="str">
            <v>CORE</v>
          </cell>
          <cell r="E2132" t="str">
            <v>CO25</v>
          </cell>
          <cell r="F2132">
            <v>3686</v>
          </cell>
          <cell r="G2132" t="str">
            <v>US</v>
          </cell>
          <cell r="H2132" t="str">
            <v>USPUSMSHT</v>
          </cell>
          <cell r="I2132" t="str">
            <v>USSHT1721003</v>
          </cell>
          <cell r="J2132" t="str">
            <v>5XL</v>
          </cell>
          <cell r="K2132" t="str">
            <v>SHIRT</v>
          </cell>
          <cell r="L2132" t="str">
            <v>NOD</v>
          </cell>
        </row>
        <row r="2133">
          <cell r="C2133" t="str">
            <v>USSHT1721</v>
          </cell>
          <cell r="D2133" t="str">
            <v>CORE</v>
          </cell>
          <cell r="E2133" t="str">
            <v>CO25</v>
          </cell>
          <cell r="F2133">
            <v>3475</v>
          </cell>
          <cell r="G2133" t="str">
            <v>US</v>
          </cell>
          <cell r="H2133" t="str">
            <v>USPUSMSHT</v>
          </cell>
          <cell r="I2133" t="str">
            <v>USSHT1721004</v>
          </cell>
          <cell r="J2133" t="str">
            <v>L</v>
          </cell>
          <cell r="K2133" t="str">
            <v>SHIRT</v>
          </cell>
          <cell r="L2133" t="str">
            <v>NOD</v>
          </cell>
        </row>
        <row r="2134">
          <cell r="C2134" t="str">
            <v>USSHT1721</v>
          </cell>
          <cell r="D2134" t="str">
            <v>CORE</v>
          </cell>
          <cell r="E2134" t="str">
            <v>CO25</v>
          </cell>
          <cell r="F2134">
            <v>3475</v>
          </cell>
          <cell r="G2134" t="str">
            <v>US</v>
          </cell>
          <cell r="H2134" t="str">
            <v>USPUSMSHT</v>
          </cell>
          <cell r="I2134" t="str">
            <v>USSHT1721005</v>
          </cell>
          <cell r="J2134" t="str">
            <v>M</v>
          </cell>
          <cell r="K2134" t="str">
            <v>SHIRT</v>
          </cell>
          <cell r="L2134" t="str">
            <v>NOD</v>
          </cell>
        </row>
        <row r="2135">
          <cell r="C2135" t="str">
            <v>USSHT1721</v>
          </cell>
          <cell r="D2135" t="str">
            <v>CORE</v>
          </cell>
          <cell r="E2135" t="str">
            <v>CO25</v>
          </cell>
          <cell r="F2135">
            <v>3475</v>
          </cell>
          <cell r="G2135" t="str">
            <v>US</v>
          </cell>
          <cell r="H2135" t="str">
            <v>USPUSMSHT</v>
          </cell>
          <cell r="I2135" t="str">
            <v>USSHT1721006</v>
          </cell>
          <cell r="J2135" t="str">
            <v>S</v>
          </cell>
          <cell r="K2135" t="str">
            <v>SHIRT</v>
          </cell>
          <cell r="L2135" t="str">
            <v>NOD</v>
          </cell>
        </row>
        <row r="2136">
          <cell r="C2136" t="str">
            <v>USSHT1721</v>
          </cell>
          <cell r="D2136" t="str">
            <v>CORE</v>
          </cell>
          <cell r="E2136" t="str">
            <v>CO25</v>
          </cell>
          <cell r="F2136">
            <v>3475</v>
          </cell>
          <cell r="G2136" t="str">
            <v>US</v>
          </cell>
          <cell r="H2136" t="str">
            <v>USPUSMSHT</v>
          </cell>
          <cell r="I2136" t="str">
            <v>USSHT1721007</v>
          </cell>
          <cell r="J2136" t="str">
            <v>XL</v>
          </cell>
          <cell r="K2136" t="str">
            <v>SHIRT</v>
          </cell>
          <cell r="L2136" t="str">
            <v>NOD</v>
          </cell>
        </row>
        <row r="2137">
          <cell r="C2137" t="str">
            <v>USSHT1721</v>
          </cell>
          <cell r="D2137" t="str">
            <v>CORE</v>
          </cell>
          <cell r="E2137" t="str">
            <v>CO25</v>
          </cell>
          <cell r="F2137">
            <v>3475</v>
          </cell>
          <cell r="G2137" t="str">
            <v>US</v>
          </cell>
          <cell r="H2137" t="str">
            <v>USPUSMSHT</v>
          </cell>
          <cell r="I2137" t="str">
            <v>USSHT1721008</v>
          </cell>
          <cell r="J2137" t="str">
            <v>XXL</v>
          </cell>
          <cell r="K2137" t="str">
            <v>SHIRT</v>
          </cell>
          <cell r="L2137" t="str">
            <v>NOD</v>
          </cell>
        </row>
        <row r="2138">
          <cell r="C2138" t="str">
            <v>USSHT1722</v>
          </cell>
          <cell r="D2138" t="str">
            <v>CORE</v>
          </cell>
          <cell r="E2138" t="str">
            <v>CO25</v>
          </cell>
          <cell r="F2138">
            <v>3686</v>
          </cell>
          <cell r="G2138" t="str">
            <v>US</v>
          </cell>
          <cell r="H2138" t="str">
            <v>USPUSMSHT</v>
          </cell>
          <cell r="I2138" t="str">
            <v>USSHT1722001</v>
          </cell>
          <cell r="J2138" t="str">
            <v>3XL</v>
          </cell>
          <cell r="K2138" t="str">
            <v>SHIRT</v>
          </cell>
          <cell r="L2138" t="str">
            <v>NOD</v>
          </cell>
        </row>
        <row r="2139">
          <cell r="C2139" t="str">
            <v>USSHT1722</v>
          </cell>
          <cell r="D2139" t="str">
            <v>CORE</v>
          </cell>
          <cell r="E2139" t="str">
            <v>CO25</v>
          </cell>
          <cell r="F2139">
            <v>3686</v>
          </cell>
          <cell r="G2139" t="str">
            <v>US</v>
          </cell>
          <cell r="H2139" t="str">
            <v>USPUSMSHT</v>
          </cell>
          <cell r="I2139" t="str">
            <v>USSHT1722002</v>
          </cell>
          <cell r="J2139" t="str">
            <v>4XL</v>
          </cell>
          <cell r="K2139" t="str">
            <v>SHIRT</v>
          </cell>
          <cell r="L2139" t="str">
            <v>NOD</v>
          </cell>
        </row>
        <row r="2140">
          <cell r="C2140" t="str">
            <v>USSHT1722</v>
          </cell>
          <cell r="D2140" t="str">
            <v>CORE</v>
          </cell>
          <cell r="E2140" t="str">
            <v>CO25</v>
          </cell>
          <cell r="F2140">
            <v>3686</v>
          </cell>
          <cell r="G2140" t="str">
            <v>US</v>
          </cell>
          <cell r="H2140" t="str">
            <v>USPUSMSHT</v>
          </cell>
          <cell r="I2140" t="str">
            <v>USSHT1722003</v>
          </cell>
          <cell r="J2140" t="str">
            <v>5XL</v>
          </cell>
          <cell r="K2140" t="str">
            <v>SHIRT</v>
          </cell>
          <cell r="L2140" t="str">
            <v>NOD</v>
          </cell>
        </row>
        <row r="2141">
          <cell r="C2141" t="str">
            <v>USSHT1722</v>
          </cell>
          <cell r="D2141" t="str">
            <v>CORE</v>
          </cell>
          <cell r="E2141" t="str">
            <v>CO25</v>
          </cell>
          <cell r="F2141">
            <v>3475</v>
          </cell>
          <cell r="G2141" t="str">
            <v>US</v>
          </cell>
          <cell r="H2141" t="str">
            <v>USPUSMSHT</v>
          </cell>
          <cell r="I2141" t="str">
            <v>USSHT1722004</v>
          </cell>
          <cell r="J2141" t="str">
            <v>L</v>
          </cell>
          <cell r="K2141" t="str">
            <v>SHIRT</v>
          </cell>
          <cell r="L2141" t="str">
            <v>NOD</v>
          </cell>
        </row>
        <row r="2142">
          <cell r="C2142" t="str">
            <v>USSHT1722</v>
          </cell>
          <cell r="D2142" t="str">
            <v>CORE</v>
          </cell>
          <cell r="E2142" t="str">
            <v>CO25</v>
          </cell>
          <cell r="F2142">
            <v>3475</v>
          </cell>
          <cell r="G2142" t="str">
            <v>US</v>
          </cell>
          <cell r="H2142" t="str">
            <v>USPUSMSHT</v>
          </cell>
          <cell r="I2142" t="str">
            <v>USSHT1722005</v>
          </cell>
          <cell r="J2142" t="str">
            <v>M</v>
          </cell>
          <cell r="K2142" t="str">
            <v>SHIRT</v>
          </cell>
          <cell r="L2142" t="str">
            <v>NOD</v>
          </cell>
        </row>
        <row r="2143">
          <cell r="C2143" t="str">
            <v>USSHT1722</v>
          </cell>
          <cell r="D2143" t="str">
            <v>CORE</v>
          </cell>
          <cell r="E2143" t="str">
            <v>CO25</v>
          </cell>
          <cell r="F2143">
            <v>3475</v>
          </cell>
          <cell r="G2143" t="str">
            <v>US</v>
          </cell>
          <cell r="H2143" t="str">
            <v>USPUSMSHT</v>
          </cell>
          <cell r="I2143" t="str">
            <v>USSHT1722006</v>
          </cell>
          <cell r="J2143" t="str">
            <v>S</v>
          </cell>
          <cell r="K2143" t="str">
            <v>SHIRT</v>
          </cell>
          <cell r="L2143" t="str">
            <v>NOD</v>
          </cell>
        </row>
        <row r="2144">
          <cell r="C2144" t="str">
            <v>USSHT1722</v>
          </cell>
          <cell r="D2144" t="str">
            <v>CORE</v>
          </cell>
          <cell r="E2144" t="str">
            <v>CO25</v>
          </cell>
          <cell r="F2144">
            <v>3475</v>
          </cell>
          <cell r="G2144" t="str">
            <v>US</v>
          </cell>
          <cell r="H2144" t="str">
            <v>USPUSMSHT</v>
          </cell>
          <cell r="I2144" t="str">
            <v>USSHT1722007</v>
          </cell>
          <cell r="J2144" t="str">
            <v>XL</v>
          </cell>
          <cell r="K2144" t="str">
            <v>SHIRT</v>
          </cell>
          <cell r="L2144" t="str">
            <v>NOD</v>
          </cell>
        </row>
        <row r="2145">
          <cell r="C2145" t="str">
            <v>USSHT1722</v>
          </cell>
          <cell r="D2145" t="str">
            <v>CORE</v>
          </cell>
          <cell r="E2145" t="str">
            <v>CO25</v>
          </cell>
          <cell r="F2145">
            <v>3475</v>
          </cell>
          <cell r="G2145" t="str">
            <v>US</v>
          </cell>
          <cell r="H2145" t="str">
            <v>USPUSMSHT</v>
          </cell>
          <cell r="I2145" t="str">
            <v>USSHT1722008</v>
          </cell>
          <cell r="J2145" t="str">
            <v>XXL</v>
          </cell>
          <cell r="K2145" t="str">
            <v>SHIRT</v>
          </cell>
          <cell r="L2145" t="str">
            <v>NOD</v>
          </cell>
        </row>
        <row r="2146">
          <cell r="C2146" t="str">
            <v>USSHTC0010</v>
          </cell>
          <cell r="D2146" t="str">
            <v>CORE</v>
          </cell>
          <cell r="E2146" t="str">
            <v>CO25</v>
          </cell>
          <cell r="F2146">
            <v>2699</v>
          </cell>
          <cell r="G2146" t="str">
            <v>US</v>
          </cell>
          <cell r="H2146" t="str">
            <v>USPUSMSHT</v>
          </cell>
          <cell r="I2146" t="str">
            <v>USSHTC0010001</v>
          </cell>
          <cell r="J2146" t="str">
            <v>3XL</v>
          </cell>
          <cell r="K2146" t="str">
            <v>SHIRT</v>
          </cell>
          <cell r="L2146" t="str">
            <v>NOD</v>
          </cell>
        </row>
        <row r="2147">
          <cell r="C2147" t="str">
            <v>USSHTC0010</v>
          </cell>
          <cell r="D2147" t="str">
            <v>CORE</v>
          </cell>
          <cell r="E2147" t="str">
            <v>CO25</v>
          </cell>
          <cell r="F2147">
            <v>2699</v>
          </cell>
          <cell r="G2147" t="str">
            <v>US</v>
          </cell>
          <cell r="H2147" t="str">
            <v>USPUSMSHT</v>
          </cell>
          <cell r="I2147" t="str">
            <v>USSHTC0010002</v>
          </cell>
          <cell r="J2147" t="str">
            <v>4XL</v>
          </cell>
          <cell r="K2147" t="str">
            <v>SHIRT</v>
          </cell>
          <cell r="L2147" t="str">
            <v>NOD</v>
          </cell>
        </row>
        <row r="2148">
          <cell r="C2148" t="str">
            <v>USSHTC0010</v>
          </cell>
          <cell r="D2148" t="str">
            <v>CORE</v>
          </cell>
          <cell r="E2148" t="str">
            <v>CO25</v>
          </cell>
          <cell r="F2148">
            <v>2699</v>
          </cell>
          <cell r="G2148" t="str">
            <v>US</v>
          </cell>
          <cell r="H2148" t="str">
            <v>USPUSMSHT</v>
          </cell>
          <cell r="I2148" t="str">
            <v>USSHTC0010003</v>
          </cell>
          <cell r="J2148" t="str">
            <v>5XL</v>
          </cell>
          <cell r="K2148" t="str">
            <v>SHIRT</v>
          </cell>
          <cell r="L2148" t="str">
            <v>NOD</v>
          </cell>
        </row>
        <row r="2149">
          <cell r="C2149" t="str">
            <v>USSHTC0010</v>
          </cell>
          <cell r="D2149" t="str">
            <v>CORE</v>
          </cell>
          <cell r="E2149" t="str">
            <v>CO25</v>
          </cell>
          <cell r="F2149">
            <v>2499</v>
          </cell>
          <cell r="G2149" t="str">
            <v>US</v>
          </cell>
          <cell r="H2149" t="str">
            <v>USPUSMSHT</v>
          </cell>
          <cell r="I2149" t="str">
            <v>USSHTC0010004</v>
          </cell>
          <cell r="J2149" t="str">
            <v>L</v>
          </cell>
          <cell r="K2149" t="str">
            <v>SHIRT</v>
          </cell>
          <cell r="L2149" t="str">
            <v>NOD</v>
          </cell>
        </row>
        <row r="2150">
          <cell r="C2150" t="str">
            <v>USSHTC0010</v>
          </cell>
          <cell r="D2150" t="str">
            <v>CORE</v>
          </cell>
          <cell r="E2150" t="str">
            <v>CO25</v>
          </cell>
          <cell r="F2150">
            <v>2499</v>
          </cell>
          <cell r="G2150" t="str">
            <v>US</v>
          </cell>
          <cell r="H2150" t="str">
            <v>USPUSMSHT</v>
          </cell>
          <cell r="I2150" t="str">
            <v>USSHTC0010005</v>
          </cell>
          <cell r="J2150" t="str">
            <v>M</v>
          </cell>
          <cell r="K2150" t="str">
            <v>SHIRT</v>
          </cell>
          <cell r="L2150" t="str">
            <v>NOD</v>
          </cell>
        </row>
        <row r="2151">
          <cell r="C2151" t="str">
            <v>USSHTC0010</v>
          </cell>
          <cell r="D2151" t="str">
            <v>CORE</v>
          </cell>
          <cell r="E2151" t="str">
            <v>CO25</v>
          </cell>
          <cell r="F2151">
            <v>2499</v>
          </cell>
          <cell r="G2151" t="str">
            <v>US</v>
          </cell>
          <cell r="H2151" t="str">
            <v>USPUSMSHT</v>
          </cell>
          <cell r="I2151" t="str">
            <v>USSHTC0010006</v>
          </cell>
          <cell r="J2151" t="str">
            <v>S</v>
          </cell>
          <cell r="K2151" t="str">
            <v>SHIRT</v>
          </cell>
          <cell r="L2151" t="str">
            <v>NOD</v>
          </cell>
        </row>
        <row r="2152">
          <cell r="C2152" t="str">
            <v>USSHTC0010</v>
          </cell>
          <cell r="D2152" t="str">
            <v>CORE</v>
          </cell>
          <cell r="E2152" t="str">
            <v>CO25</v>
          </cell>
          <cell r="F2152">
            <v>2499</v>
          </cell>
          <cell r="G2152" t="str">
            <v>US</v>
          </cell>
          <cell r="H2152" t="str">
            <v>USPUSMSHT</v>
          </cell>
          <cell r="I2152" t="str">
            <v>USSHTC0010007</v>
          </cell>
          <cell r="J2152" t="str">
            <v>XL</v>
          </cell>
          <cell r="K2152" t="str">
            <v>SHIRT</v>
          </cell>
          <cell r="L2152" t="str">
            <v>NOD</v>
          </cell>
        </row>
        <row r="2153">
          <cell r="C2153" t="str">
            <v>USSHTC0010</v>
          </cell>
          <cell r="D2153" t="str">
            <v>CORE</v>
          </cell>
          <cell r="E2153" t="str">
            <v>CO25</v>
          </cell>
          <cell r="F2153">
            <v>2499</v>
          </cell>
          <cell r="G2153" t="str">
            <v>US</v>
          </cell>
          <cell r="H2153" t="str">
            <v>USPUSMSHT</v>
          </cell>
          <cell r="I2153" t="str">
            <v>USSHTC0010008</v>
          </cell>
          <cell r="J2153" t="str">
            <v>XXL</v>
          </cell>
          <cell r="K2153" t="str">
            <v>SHIRT</v>
          </cell>
          <cell r="L2153" t="str">
            <v>NOD</v>
          </cell>
        </row>
        <row r="2154">
          <cell r="C2154" t="str">
            <v>USSHTC0011</v>
          </cell>
          <cell r="D2154" t="str">
            <v>CORE</v>
          </cell>
          <cell r="E2154" t="str">
            <v>CO25</v>
          </cell>
          <cell r="F2154">
            <v>2699</v>
          </cell>
          <cell r="G2154" t="str">
            <v>US</v>
          </cell>
          <cell r="H2154" t="str">
            <v>USPUSMSHT</v>
          </cell>
          <cell r="I2154" t="str">
            <v>USSHTC0011001</v>
          </cell>
          <cell r="J2154" t="str">
            <v>3XL</v>
          </cell>
          <cell r="K2154" t="str">
            <v>SHIRT</v>
          </cell>
          <cell r="L2154" t="str">
            <v>NOD</v>
          </cell>
        </row>
        <row r="2155">
          <cell r="C2155" t="str">
            <v>USSHTC0011</v>
          </cell>
          <cell r="D2155" t="str">
            <v>CORE</v>
          </cell>
          <cell r="E2155" t="str">
            <v>CO25</v>
          </cell>
          <cell r="F2155">
            <v>2699</v>
          </cell>
          <cell r="G2155" t="str">
            <v>US</v>
          </cell>
          <cell r="H2155" t="str">
            <v>USPUSMSHT</v>
          </cell>
          <cell r="I2155" t="str">
            <v>USSHTC0011002</v>
          </cell>
          <cell r="J2155" t="str">
            <v>4XL</v>
          </cell>
          <cell r="K2155" t="str">
            <v>SHIRT</v>
          </cell>
          <cell r="L2155" t="str">
            <v>NOD</v>
          </cell>
        </row>
        <row r="2156">
          <cell r="C2156" t="str">
            <v>USSHTC0011</v>
          </cell>
          <cell r="D2156" t="str">
            <v>CORE</v>
          </cell>
          <cell r="E2156" t="str">
            <v>CO25</v>
          </cell>
          <cell r="F2156">
            <v>2699</v>
          </cell>
          <cell r="G2156" t="str">
            <v>US</v>
          </cell>
          <cell r="H2156" t="str">
            <v>USPUSMSHT</v>
          </cell>
          <cell r="I2156" t="str">
            <v>USSHTC0011003</v>
          </cell>
          <cell r="J2156" t="str">
            <v>5XL</v>
          </cell>
          <cell r="K2156" t="str">
            <v>SHIRT</v>
          </cell>
          <cell r="L2156" t="str">
            <v>NOD</v>
          </cell>
        </row>
        <row r="2157">
          <cell r="C2157" t="str">
            <v>USSHTC0011</v>
          </cell>
          <cell r="D2157" t="str">
            <v>CORE</v>
          </cell>
          <cell r="E2157" t="str">
            <v>CO25</v>
          </cell>
          <cell r="F2157">
            <v>2499</v>
          </cell>
          <cell r="G2157" t="str">
            <v>US</v>
          </cell>
          <cell r="H2157" t="str">
            <v>USPUSMSHT</v>
          </cell>
          <cell r="I2157" t="str">
            <v>USSHTC0011004</v>
          </cell>
          <cell r="J2157" t="str">
            <v>L</v>
          </cell>
          <cell r="K2157" t="str">
            <v>SHIRT</v>
          </cell>
          <cell r="L2157" t="str">
            <v>NOD</v>
          </cell>
        </row>
        <row r="2158">
          <cell r="C2158" t="str">
            <v>USSHTC0011</v>
          </cell>
          <cell r="D2158" t="str">
            <v>CORE</v>
          </cell>
          <cell r="E2158" t="str">
            <v>CO25</v>
          </cell>
          <cell r="F2158">
            <v>2499</v>
          </cell>
          <cell r="G2158" t="str">
            <v>US</v>
          </cell>
          <cell r="H2158" t="str">
            <v>USPUSMSHT</v>
          </cell>
          <cell r="I2158" t="str">
            <v>USSHTC0011005</v>
          </cell>
          <cell r="J2158" t="str">
            <v>M</v>
          </cell>
          <cell r="K2158" t="str">
            <v>SHIRT</v>
          </cell>
          <cell r="L2158" t="str">
            <v>NOD</v>
          </cell>
        </row>
        <row r="2159">
          <cell r="C2159" t="str">
            <v>USSHTC0011</v>
          </cell>
          <cell r="D2159" t="str">
            <v>CORE</v>
          </cell>
          <cell r="E2159" t="str">
            <v>CO25</v>
          </cell>
          <cell r="F2159">
            <v>2499</v>
          </cell>
          <cell r="G2159" t="str">
            <v>US</v>
          </cell>
          <cell r="H2159" t="str">
            <v>USPUSMSHT</v>
          </cell>
          <cell r="I2159" t="str">
            <v>USSHTC0011006</v>
          </cell>
          <cell r="J2159" t="str">
            <v>S</v>
          </cell>
          <cell r="K2159" t="str">
            <v>SHIRT</v>
          </cell>
          <cell r="L2159" t="str">
            <v>NOD</v>
          </cell>
        </row>
        <row r="2160">
          <cell r="C2160" t="str">
            <v>USSHTC0011</v>
          </cell>
          <cell r="D2160" t="str">
            <v>CORE</v>
          </cell>
          <cell r="E2160" t="str">
            <v>CO25</v>
          </cell>
          <cell r="F2160">
            <v>2499</v>
          </cell>
          <cell r="G2160" t="str">
            <v>US</v>
          </cell>
          <cell r="H2160" t="str">
            <v>USPUSMSHT</v>
          </cell>
          <cell r="I2160" t="str">
            <v>USSHTC0011007</v>
          </cell>
          <cell r="J2160" t="str">
            <v>XL</v>
          </cell>
          <cell r="K2160" t="str">
            <v>SHIRT</v>
          </cell>
          <cell r="L2160" t="str">
            <v>NOD</v>
          </cell>
        </row>
        <row r="2161">
          <cell r="C2161" t="str">
            <v>USSHTC0011</v>
          </cell>
          <cell r="D2161" t="str">
            <v>CORE</v>
          </cell>
          <cell r="E2161" t="str">
            <v>CO25</v>
          </cell>
          <cell r="F2161">
            <v>2499</v>
          </cell>
          <cell r="G2161" t="str">
            <v>US</v>
          </cell>
          <cell r="H2161" t="str">
            <v>USPUSMSHT</v>
          </cell>
          <cell r="I2161" t="str">
            <v>USSHTC0011008</v>
          </cell>
          <cell r="J2161" t="str">
            <v>XXL</v>
          </cell>
          <cell r="K2161" t="str">
            <v>SHIRT</v>
          </cell>
          <cell r="L2161" t="str">
            <v>NOD</v>
          </cell>
        </row>
        <row r="2162">
          <cell r="C2162" t="str">
            <v>USSHTC0011H</v>
          </cell>
          <cell r="D2162" t="str">
            <v>CORE</v>
          </cell>
          <cell r="E2162" t="str">
            <v>CO25</v>
          </cell>
          <cell r="F2162">
            <v>2699</v>
          </cell>
          <cell r="G2162" t="str">
            <v>US</v>
          </cell>
          <cell r="H2162" t="str">
            <v>USPUSMSHT</v>
          </cell>
          <cell r="I2162" t="str">
            <v>USSHTC0011H001</v>
          </cell>
          <cell r="J2162" t="str">
            <v>3XL</v>
          </cell>
          <cell r="K2162" t="str">
            <v>SHIRT</v>
          </cell>
          <cell r="L2162" t="str">
            <v>NOD</v>
          </cell>
        </row>
        <row r="2163">
          <cell r="C2163" t="str">
            <v>USSHTC0011H</v>
          </cell>
          <cell r="D2163" t="str">
            <v>CORE</v>
          </cell>
          <cell r="E2163" t="str">
            <v>CO25</v>
          </cell>
          <cell r="F2163">
            <v>2699</v>
          </cell>
          <cell r="G2163" t="str">
            <v>US</v>
          </cell>
          <cell r="H2163" t="str">
            <v>USPUSMSHT</v>
          </cell>
          <cell r="I2163" t="str">
            <v>USSHTC0011H002</v>
          </cell>
          <cell r="J2163" t="str">
            <v>4XL</v>
          </cell>
          <cell r="K2163" t="str">
            <v>SHIRT</v>
          </cell>
          <cell r="L2163" t="str">
            <v>NOD</v>
          </cell>
        </row>
        <row r="2164">
          <cell r="C2164" t="str">
            <v>USSHTC0011H</v>
          </cell>
          <cell r="D2164" t="str">
            <v>CORE</v>
          </cell>
          <cell r="E2164" t="str">
            <v>CO25</v>
          </cell>
          <cell r="F2164">
            <v>2699</v>
          </cell>
          <cell r="G2164" t="str">
            <v>US</v>
          </cell>
          <cell r="H2164" t="str">
            <v>USPUSMSHT</v>
          </cell>
          <cell r="I2164" t="str">
            <v>USSHTC0011H003</v>
          </cell>
          <cell r="J2164" t="str">
            <v>5XL</v>
          </cell>
          <cell r="K2164" t="str">
            <v>SHIRT</v>
          </cell>
          <cell r="L2164" t="str">
            <v>NOD</v>
          </cell>
        </row>
        <row r="2165">
          <cell r="C2165" t="str">
            <v>USSHTC0011H</v>
          </cell>
          <cell r="D2165" t="str">
            <v>CORE</v>
          </cell>
          <cell r="E2165" t="str">
            <v>CO25</v>
          </cell>
          <cell r="F2165">
            <v>2499</v>
          </cell>
          <cell r="G2165" t="str">
            <v>US</v>
          </cell>
          <cell r="H2165" t="str">
            <v>USPUSMSHT</v>
          </cell>
          <cell r="I2165" t="str">
            <v>USSHTC0011H004</v>
          </cell>
          <cell r="J2165" t="str">
            <v>L</v>
          </cell>
          <cell r="K2165" t="str">
            <v>SHIRT</v>
          </cell>
          <cell r="L2165" t="str">
            <v>NOD</v>
          </cell>
        </row>
        <row r="2166">
          <cell r="C2166" t="str">
            <v>USSHTC0011H</v>
          </cell>
          <cell r="D2166" t="str">
            <v>CORE</v>
          </cell>
          <cell r="E2166" t="str">
            <v>CO25</v>
          </cell>
          <cell r="F2166">
            <v>2499</v>
          </cell>
          <cell r="G2166" t="str">
            <v>US</v>
          </cell>
          <cell r="H2166" t="str">
            <v>USPUSMSHT</v>
          </cell>
          <cell r="I2166" t="str">
            <v>USSHTC0011H005</v>
          </cell>
          <cell r="J2166" t="str">
            <v>M</v>
          </cell>
          <cell r="K2166" t="str">
            <v>SHIRT</v>
          </cell>
          <cell r="L2166" t="str">
            <v>NOD</v>
          </cell>
        </row>
        <row r="2167">
          <cell r="C2167" t="str">
            <v>USSHTC0011H</v>
          </cell>
          <cell r="D2167" t="str">
            <v>CORE</v>
          </cell>
          <cell r="E2167" t="str">
            <v>CO25</v>
          </cell>
          <cell r="F2167">
            <v>2499</v>
          </cell>
          <cell r="G2167" t="str">
            <v>US</v>
          </cell>
          <cell r="H2167" t="str">
            <v>USPUSMSHT</v>
          </cell>
          <cell r="I2167" t="str">
            <v>USSHTC0011H006</v>
          </cell>
          <cell r="J2167" t="str">
            <v>S</v>
          </cell>
          <cell r="K2167" t="str">
            <v>SHIRT</v>
          </cell>
          <cell r="L2167" t="str">
            <v>NOD</v>
          </cell>
        </row>
        <row r="2168">
          <cell r="C2168" t="str">
            <v>USSHTC0011H</v>
          </cell>
          <cell r="D2168" t="str">
            <v>CORE</v>
          </cell>
          <cell r="E2168" t="str">
            <v>CO25</v>
          </cell>
          <cell r="F2168">
            <v>2499</v>
          </cell>
          <cell r="G2168" t="str">
            <v>US</v>
          </cell>
          <cell r="H2168" t="str">
            <v>USPUSMSHT</v>
          </cell>
          <cell r="I2168" t="str">
            <v>USSHTC0011H007</v>
          </cell>
          <cell r="J2168" t="str">
            <v>XL</v>
          </cell>
          <cell r="K2168" t="str">
            <v>SHIRT</v>
          </cell>
          <cell r="L2168" t="str">
            <v>NOD</v>
          </cell>
        </row>
        <row r="2169">
          <cell r="C2169" t="str">
            <v>USSHTC0011H</v>
          </cell>
          <cell r="D2169" t="str">
            <v>CORE</v>
          </cell>
          <cell r="E2169" t="str">
            <v>CO25</v>
          </cell>
          <cell r="F2169">
            <v>2499</v>
          </cell>
          <cell r="G2169" t="str">
            <v>US</v>
          </cell>
          <cell r="H2169" t="str">
            <v>USPUSMSHT</v>
          </cell>
          <cell r="I2169" t="str">
            <v>USSHTC0011H008</v>
          </cell>
          <cell r="J2169" t="str">
            <v>XXL</v>
          </cell>
          <cell r="K2169" t="str">
            <v>SHIRT</v>
          </cell>
          <cell r="L2169" t="str">
            <v>NOD</v>
          </cell>
        </row>
        <row r="2170">
          <cell r="C2170" t="str">
            <v>USSHTC0013</v>
          </cell>
          <cell r="D2170" t="str">
            <v>CORE</v>
          </cell>
          <cell r="E2170" t="str">
            <v>CO25</v>
          </cell>
          <cell r="F2170">
            <v>2699</v>
          </cell>
          <cell r="G2170" t="str">
            <v>US</v>
          </cell>
          <cell r="H2170" t="str">
            <v>USPUSMSHT</v>
          </cell>
          <cell r="I2170" t="str">
            <v>USSHTC0013001</v>
          </cell>
          <cell r="J2170" t="str">
            <v>3XL</v>
          </cell>
          <cell r="K2170" t="str">
            <v>SHIRT</v>
          </cell>
          <cell r="L2170" t="str">
            <v>NOD</v>
          </cell>
        </row>
        <row r="2171">
          <cell r="C2171" t="str">
            <v>USSHTC0013</v>
          </cell>
          <cell r="D2171" t="str">
            <v>CORE</v>
          </cell>
          <cell r="E2171" t="str">
            <v>CO25</v>
          </cell>
          <cell r="F2171">
            <v>2699</v>
          </cell>
          <cell r="G2171" t="str">
            <v>US</v>
          </cell>
          <cell r="H2171" t="str">
            <v>USPUSMSHT</v>
          </cell>
          <cell r="I2171" t="str">
            <v>USSHTC0013002</v>
          </cell>
          <cell r="J2171" t="str">
            <v>4XL</v>
          </cell>
          <cell r="K2171" t="str">
            <v>SHIRT</v>
          </cell>
          <cell r="L2171" t="str">
            <v>NOD</v>
          </cell>
        </row>
        <row r="2172">
          <cell r="C2172" t="str">
            <v>USSHTC0013</v>
          </cell>
          <cell r="D2172" t="str">
            <v>CORE</v>
          </cell>
          <cell r="E2172" t="str">
            <v>CO25</v>
          </cell>
          <cell r="F2172">
            <v>2699</v>
          </cell>
          <cell r="G2172" t="str">
            <v>US</v>
          </cell>
          <cell r="H2172" t="str">
            <v>USPUSMSHT</v>
          </cell>
          <cell r="I2172" t="str">
            <v>USSHTC0013003</v>
          </cell>
          <cell r="J2172" t="str">
            <v>5XL</v>
          </cell>
          <cell r="K2172" t="str">
            <v>SHIRT</v>
          </cell>
          <cell r="L2172" t="str">
            <v>NOD</v>
          </cell>
        </row>
        <row r="2173">
          <cell r="C2173" t="str">
            <v>USSHTC0013</v>
          </cell>
          <cell r="D2173" t="str">
            <v>CORE</v>
          </cell>
          <cell r="E2173" t="str">
            <v>CO25</v>
          </cell>
          <cell r="F2173">
            <v>2499</v>
          </cell>
          <cell r="G2173" t="str">
            <v>US</v>
          </cell>
          <cell r="H2173" t="str">
            <v>USPUSMSHT</v>
          </cell>
          <cell r="I2173" t="str">
            <v>USSHTC0013004</v>
          </cell>
          <cell r="J2173" t="str">
            <v>L</v>
          </cell>
          <cell r="K2173" t="str">
            <v>SHIRT</v>
          </cell>
          <cell r="L2173" t="str">
            <v>NOD</v>
          </cell>
        </row>
        <row r="2174">
          <cell r="C2174" t="str">
            <v>USSHTC0013</v>
          </cell>
          <cell r="D2174" t="str">
            <v>CORE</v>
          </cell>
          <cell r="E2174" t="str">
            <v>CO25</v>
          </cell>
          <cell r="F2174">
            <v>2499</v>
          </cell>
          <cell r="G2174" t="str">
            <v>US</v>
          </cell>
          <cell r="H2174" t="str">
            <v>USPUSMSHT</v>
          </cell>
          <cell r="I2174" t="str">
            <v>USSHTC0013005</v>
          </cell>
          <cell r="J2174" t="str">
            <v>M</v>
          </cell>
          <cell r="K2174" t="str">
            <v>SHIRT</v>
          </cell>
          <cell r="L2174" t="str">
            <v>NOD</v>
          </cell>
        </row>
        <row r="2175">
          <cell r="C2175" t="str">
            <v>USSHTC0013</v>
          </cell>
          <cell r="D2175" t="str">
            <v>CORE</v>
          </cell>
          <cell r="E2175" t="str">
            <v>CO25</v>
          </cell>
          <cell r="F2175">
            <v>2499</v>
          </cell>
          <cell r="G2175" t="str">
            <v>US</v>
          </cell>
          <cell r="H2175" t="str">
            <v>USPUSMSHT</v>
          </cell>
          <cell r="I2175" t="str">
            <v>USSHTC0013006</v>
          </cell>
          <cell r="J2175" t="str">
            <v>S</v>
          </cell>
          <cell r="K2175" t="str">
            <v>SHIRT</v>
          </cell>
          <cell r="L2175" t="str">
            <v>NOD</v>
          </cell>
        </row>
        <row r="2176">
          <cell r="C2176" t="str">
            <v>USSHTC0013</v>
          </cell>
          <cell r="D2176" t="str">
            <v>CORE</v>
          </cell>
          <cell r="E2176" t="str">
            <v>CO25</v>
          </cell>
          <cell r="F2176">
            <v>2499</v>
          </cell>
          <cell r="G2176" t="str">
            <v>US</v>
          </cell>
          <cell r="H2176" t="str">
            <v>USPUSMSHT</v>
          </cell>
          <cell r="I2176" t="str">
            <v>USSHTC0013007</v>
          </cell>
          <cell r="J2176" t="str">
            <v>XL</v>
          </cell>
          <cell r="K2176" t="str">
            <v>SHIRT</v>
          </cell>
          <cell r="L2176" t="str">
            <v>NOD</v>
          </cell>
        </row>
        <row r="2177">
          <cell r="C2177" t="str">
            <v>USSHTC0013</v>
          </cell>
          <cell r="D2177" t="str">
            <v>CORE</v>
          </cell>
          <cell r="E2177" t="str">
            <v>CO25</v>
          </cell>
          <cell r="F2177">
            <v>2499</v>
          </cell>
          <cell r="G2177" t="str">
            <v>US</v>
          </cell>
          <cell r="H2177" t="str">
            <v>USPUSMSHT</v>
          </cell>
          <cell r="I2177" t="str">
            <v>USSHTC0013008</v>
          </cell>
          <cell r="J2177" t="str">
            <v>XXL</v>
          </cell>
          <cell r="K2177" t="str">
            <v>SHIRT</v>
          </cell>
          <cell r="L2177" t="str">
            <v>NOD</v>
          </cell>
        </row>
        <row r="2178">
          <cell r="C2178" t="str">
            <v>USSHTC0015</v>
          </cell>
          <cell r="D2178" t="str">
            <v>CORE</v>
          </cell>
          <cell r="E2178" t="str">
            <v>CO25</v>
          </cell>
          <cell r="F2178">
            <v>3370</v>
          </cell>
          <cell r="G2178" t="str">
            <v>US</v>
          </cell>
          <cell r="H2178" t="str">
            <v>USPUSMSHT</v>
          </cell>
          <cell r="I2178" t="str">
            <v>USSHTC0015001</v>
          </cell>
          <cell r="J2178" t="str">
            <v>3XL</v>
          </cell>
          <cell r="K2178" t="str">
            <v>SHIRT</v>
          </cell>
          <cell r="L2178" t="str">
            <v>NOD</v>
          </cell>
        </row>
        <row r="2179">
          <cell r="C2179" t="str">
            <v>USSHTC0015</v>
          </cell>
          <cell r="D2179" t="str">
            <v>CORE</v>
          </cell>
          <cell r="E2179" t="str">
            <v>CO25</v>
          </cell>
          <cell r="F2179">
            <v>3370</v>
          </cell>
          <cell r="G2179" t="str">
            <v>US</v>
          </cell>
          <cell r="H2179" t="str">
            <v>USPUSMSHT</v>
          </cell>
          <cell r="I2179" t="str">
            <v>USSHTC0015002</v>
          </cell>
          <cell r="J2179" t="str">
            <v>4XL</v>
          </cell>
          <cell r="K2179" t="str">
            <v>SHIRT</v>
          </cell>
          <cell r="L2179" t="str">
            <v>NOD</v>
          </cell>
        </row>
        <row r="2180">
          <cell r="C2180" t="str">
            <v>USSHTC0015</v>
          </cell>
          <cell r="D2180" t="str">
            <v>CORE</v>
          </cell>
          <cell r="E2180" t="str">
            <v>CO25</v>
          </cell>
          <cell r="F2180">
            <v>3370</v>
          </cell>
          <cell r="G2180" t="str">
            <v>US</v>
          </cell>
          <cell r="H2180" t="str">
            <v>USPUSMSHT</v>
          </cell>
          <cell r="I2180" t="str">
            <v>USSHTC0015003</v>
          </cell>
          <cell r="J2180" t="str">
            <v>5XL</v>
          </cell>
          <cell r="K2180" t="str">
            <v>SHIRT</v>
          </cell>
          <cell r="L2180" t="str">
            <v>NOD</v>
          </cell>
        </row>
        <row r="2181">
          <cell r="C2181" t="str">
            <v>USSHTC0015</v>
          </cell>
          <cell r="D2181" t="str">
            <v>CORE</v>
          </cell>
          <cell r="E2181" t="str">
            <v>CO25</v>
          </cell>
          <cell r="F2181">
            <v>3159</v>
          </cell>
          <cell r="G2181" t="str">
            <v>US</v>
          </cell>
          <cell r="H2181" t="str">
            <v>USPUSMSHT</v>
          </cell>
          <cell r="I2181" t="str">
            <v>USSHTC0015004</v>
          </cell>
          <cell r="J2181" t="str">
            <v>L</v>
          </cell>
          <cell r="K2181" t="str">
            <v>SHIRT</v>
          </cell>
          <cell r="L2181" t="str">
            <v>NOD</v>
          </cell>
        </row>
        <row r="2182">
          <cell r="C2182" t="str">
            <v>USSHTC0015</v>
          </cell>
          <cell r="D2182" t="str">
            <v>CORE</v>
          </cell>
          <cell r="E2182" t="str">
            <v>CO25</v>
          </cell>
          <cell r="F2182">
            <v>3159</v>
          </cell>
          <cell r="G2182" t="str">
            <v>US</v>
          </cell>
          <cell r="H2182" t="str">
            <v>USPUSMSHT</v>
          </cell>
          <cell r="I2182" t="str">
            <v>USSHTC0015005</v>
          </cell>
          <cell r="J2182" t="str">
            <v>M</v>
          </cell>
          <cell r="K2182" t="str">
            <v>SHIRT</v>
          </cell>
          <cell r="L2182" t="str">
            <v>NOD</v>
          </cell>
        </row>
        <row r="2183">
          <cell r="C2183" t="str">
            <v>USSHTC0015</v>
          </cell>
          <cell r="D2183" t="str">
            <v>CORE</v>
          </cell>
          <cell r="E2183" t="str">
            <v>CO25</v>
          </cell>
          <cell r="F2183">
            <v>3159</v>
          </cell>
          <cell r="G2183" t="str">
            <v>US</v>
          </cell>
          <cell r="H2183" t="str">
            <v>USPUSMSHT</v>
          </cell>
          <cell r="I2183" t="str">
            <v>USSHTC0015006</v>
          </cell>
          <cell r="J2183" t="str">
            <v>S</v>
          </cell>
          <cell r="K2183" t="str">
            <v>SHIRT</v>
          </cell>
          <cell r="L2183" t="str">
            <v>NOD</v>
          </cell>
        </row>
        <row r="2184">
          <cell r="C2184" t="str">
            <v>USSHTC0015</v>
          </cell>
          <cell r="D2184" t="str">
            <v>CORE</v>
          </cell>
          <cell r="E2184" t="str">
            <v>CO25</v>
          </cell>
          <cell r="F2184">
            <v>3159</v>
          </cell>
          <cell r="G2184" t="str">
            <v>US</v>
          </cell>
          <cell r="H2184" t="str">
            <v>USPUSMSHT</v>
          </cell>
          <cell r="I2184" t="str">
            <v>USSHTC0015007</v>
          </cell>
          <cell r="J2184" t="str">
            <v>XL</v>
          </cell>
          <cell r="K2184" t="str">
            <v>SHIRT</v>
          </cell>
          <cell r="L2184" t="str">
            <v>NOD</v>
          </cell>
        </row>
        <row r="2185">
          <cell r="C2185" t="str">
            <v>USSHTC0015</v>
          </cell>
          <cell r="D2185" t="str">
            <v>CORE</v>
          </cell>
          <cell r="E2185" t="str">
            <v>CO25</v>
          </cell>
          <cell r="F2185">
            <v>3159</v>
          </cell>
          <cell r="G2185" t="str">
            <v>US</v>
          </cell>
          <cell r="H2185" t="str">
            <v>USPUSMSHT</v>
          </cell>
          <cell r="I2185" t="str">
            <v>USSHTC0015008</v>
          </cell>
          <cell r="J2185" t="str">
            <v>XXL</v>
          </cell>
          <cell r="K2185" t="str">
            <v>SHIRT</v>
          </cell>
          <cell r="L2185" t="str">
            <v>NOD</v>
          </cell>
        </row>
        <row r="2186">
          <cell r="C2186" t="str">
            <v>USSHTC0016</v>
          </cell>
          <cell r="D2186" t="str">
            <v>CORE</v>
          </cell>
          <cell r="E2186" t="str">
            <v>CO25</v>
          </cell>
          <cell r="F2186">
            <v>3370</v>
          </cell>
          <cell r="G2186" t="str">
            <v>US</v>
          </cell>
          <cell r="H2186" t="str">
            <v>USPUSMSHT</v>
          </cell>
          <cell r="I2186" t="str">
            <v>USSHTC0016001</v>
          </cell>
          <cell r="J2186" t="str">
            <v>3XL</v>
          </cell>
          <cell r="K2186" t="str">
            <v>SHIRT</v>
          </cell>
          <cell r="L2186" t="str">
            <v>NOD</v>
          </cell>
        </row>
        <row r="2187">
          <cell r="C2187" t="str">
            <v>USSHTC0016</v>
          </cell>
          <cell r="D2187" t="str">
            <v>CORE</v>
          </cell>
          <cell r="E2187" t="str">
            <v>CO25</v>
          </cell>
          <cell r="F2187">
            <v>3370</v>
          </cell>
          <cell r="G2187" t="str">
            <v>US</v>
          </cell>
          <cell r="H2187" t="str">
            <v>USPUSMSHT</v>
          </cell>
          <cell r="I2187" t="str">
            <v>USSHTC0016002</v>
          </cell>
          <cell r="J2187" t="str">
            <v>4XL</v>
          </cell>
          <cell r="K2187" t="str">
            <v>SHIRT</v>
          </cell>
          <cell r="L2187" t="str">
            <v>NOD</v>
          </cell>
        </row>
        <row r="2188">
          <cell r="C2188" t="str">
            <v>USSHTC0016</v>
          </cell>
          <cell r="D2188" t="str">
            <v>CORE</v>
          </cell>
          <cell r="E2188" t="str">
            <v>CO25</v>
          </cell>
          <cell r="F2188">
            <v>3370</v>
          </cell>
          <cell r="G2188" t="str">
            <v>US</v>
          </cell>
          <cell r="H2188" t="str">
            <v>USPUSMSHT</v>
          </cell>
          <cell r="I2188" t="str">
            <v>USSHTC0016003</v>
          </cell>
          <cell r="J2188" t="str">
            <v>5XL</v>
          </cell>
          <cell r="K2188" t="str">
            <v>SHIRT</v>
          </cell>
          <cell r="L2188" t="str">
            <v>NOD</v>
          </cell>
        </row>
        <row r="2189">
          <cell r="C2189" t="str">
            <v>USSHTC0016</v>
          </cell>
          <cell r="D2189" t="str">
            <v>CORE</v>
          </cell>
          <cell r="E2189" t="str">
            <v>CO25</v>
          </cell>
          <cell r="F2189">
            <v>3159</v>
          </cell>
          <cell r="G2189" t="str">
            <v>US</v>
          </cell>
          <cell r="H2189" t="str">
            <v>USPUSMSHT</v>
          </cell>
          <cell r="I2189" t="str">
            <v>USSHTC0016004</v>
          </cell>
          <cell r="J2189" t="str">
            <v>L</v>
          </cell>
          <cell r="K2189" t="str">
            <v>SHIRT</v>
          </cell>
          <cell r="L2189" t="str">
            <v>NOD</v>
          </cell>
        </row>
        <row r="2190">
          <cell r="C2190" t="str">
            <v>USSHTC0016</v>
          </cell>
          <cell r="D2190" t="str">
            <v>CORE</v>
          </cell>
          <cell r="E2190" t="str">
            <v>CO25</v>
          </cell>
          <cell r="F2190">
            <v>3159</v>
          </cell>
          <cell r="G2190" t="str">
            <v>US</v>
          </cell>
          <cell r="H2190" t="str">
            <v>USPUSMSHT</v>
          </cell>
          <cell r="I2190" t="str">
            <v>USSHTC0016005</v>
          </cell>
          <cell r="J2190" t="str">
            <v>M</v>
          </cell>
          <cell r="K2190" t="str">
            <v>SHIRT</v>
          </cell>
          <cell r="L2190" t="str">
            <v>NOD</v>
          </cell>
        </row>
        <row r="2191">
          <cell r="C2191" t="str">
            <v>USSHTC0016</v>
          </cell>
          <cell r="D2191" t="str">
            <v>CORE</v>
          </cell>
          <cell r="E2191" t="str">
            <v>CO25</v>
          </cell>
          <cell r="F2191">
            <v>3159</v>
          </cell>
          <cell r="G2191" t="str">
            <v>US</v>
          </cell>
          <cell r="H2191" t="str">
            <v>USPUSMSHT</v>
          </cell>
          <cell r="I2191" t="str">
            <v>USSHTC0016006</v>
          </cell>
          <cell r="J2191" t="str">
            <v>S</v>
          </cell>
          <cell r="K2191" t="str">
            <v>SHIRT</v>
          </cell>
          <cell r="L2191" t="str">
            <v>NOD</v>
          </cell>
        </row>
        <row r="2192">
          <cell r="C2192" t="str">
            <v>USSHTC0016</v>
          </cell>
          <cell r="D2192" t="str">
            <v>CORE</v>
          </cell>
          <cell r="E2192" t="str">
            <v>CO25</v>
          </cell>
          <cell r="F2192">
            <v>3159</v>
          </cell>
          <cell r="G2192" t="str">
            <v>US</v>
          </cell>
          <cell r="H2192" t="str">
            <v>USPUSMSHT</v>
          </cell>
          <cell r="I2192" t="str">
            <v>USSHTC0016007</v>
          </cell>
          <cell r="J2192" t="str">
            <v>XL</v>
          </cell>
          <cell r="K2192" t="str">
            <v>SHIRT</v>
          </cell>
          <cell r="L2192" t="str">
            <v>NOD</v>
          </cell>
        </row>
        <row r="2193">
          <cell r="C2193" t="str">
            <v>USSHTC0016</v>
          </cell>
          <cell r="D2193" t="str">
            <v>CORE</v>
          </cell>
          <cell r="E2193" t="str">
            <v>CO25</v>
          </cell>
          <cell r="F2193">
            <v>3159</v>
          </cell>
          <cell r="G2193" t="str">
            <v>US</v>
          </cell>
          <cell r="H2193" t="str">
            <v>USPUSMSHT</v>
          </cell>
          <cell r="I2193" t="str">
            <v>USSHTC0016008</v>
          </cell>
          <cell r="J2193" t="str">
            <v>XXL</v>
          </cell>
          <cell r="K2193" t="str">
            <v>SHIRT</v>
          </cell>
          <cell r="L2193" t="str">
            <v>NOD</v>
          </cell>
        </row>
        <row r="2194">
          <cell r="C2194" t="str">
            <v>USSHTC0018</v>
          </cell>
          <cell r="D2194" t="str">
            <v>CORE</v>
          </cell>
          <cell r="E2194" t="str">
            <v>CO25</v>
          </cell>
          <cell r="F2194">
            <v>3370</v>
          </cell>
          <cell r="G2194" t="str">
            <v>US</v>
          </cell>
          <cell r="H2194" t="str">
            <v>USPUSMSHT</v>
          </cell>
          <cell r="I2194" t="str">
            <v>USSHTC0018001</v>
          </cell>
          <cell r="J2194" t="str">
            <v>3XL</v>
          </cell>
          <cell r="K2194" t="str">
            <v>SHIRT</v>
          </cell>
          <cell r="L2194" t="str">
            <v>NOD</v>
          </cell>
        </row>
        <row r="2195">
          <cell r="C2195" t="str">
            <v>USSHTC0018</v>
          </cell>
          <cell r="D2195" t="str">
            <v>CORE</v>
          </cell>
          <cell r="E2195" t="str">
            <v>CO25</v>
          </cell>
          <cell r="F2195">
            <v>3370</v>
          </cell>
          <cell r="G2195" t="str">
            <v>US</v>
          </cell>
          <cell r="H2195" t="str">
            <v>USPUSMSHT</v>
          </cell>
          <cell r="I2195" t="str">
            <v>USSHTC0018002</v>
          </cell>
          <cell r="J2195" t="str">
            <v>4XL</v>
          </cell>
          <cell r="K2195" t="str">
            <v>SHIRT</v>
          </cell>
          <cell r="L2195" t="str">
            <v>NOD</v>
          </cell>
        </row>
        <row r="2196">
          <cell r="C2196" t="str">
            <v>USSHTC0018</v>
          </cell>
          <cell r="D2196" t="str">
            <v>CORE</v>
          </cell>
          <cell r="E2196" t="str">
            <v>CO25</v>
          </cell>
          <cell r="F2196">
            <v>3370</v>
          </cell>
          <cell r="G2196" t="str">
            <v>US</v>
          </cell>
          <cell r="H2196" t="str">
            <v>USPUSMSHT</v>
          </cell>
          <cell r="I2196" t="str">
            <v>USSHTC0018003</v>
          </cell>
          <cell r="J2196" t="str">
            <v>5XL</v>
          </cell>
          <cell r="K2196" t="str">
            <v>SHIRT</v>
          </cell>
          <cell r="L2196" t="str">
            <v>NOD</v>
          </cell>
        </row>
        <row r="2197">
          <cell r="C2197" t="str">
            <v>USSHTC0018</v>
          </cell>
          <cell r="D2197" t="str">
            <v>CORE</v>
          </cell>
          <cell r="E2197" t="str">
            <v>CO25</v>
          </cell>
          <cell r="F2197">
            <v>3159</v>
          </cell>
          <cell r="G2197" t="str">
            <v>US</v>
          </cell>
          <cell r="H2197" t="str">
            <v>USPUSMSHT</v>
          </cell>
          <cell r="I2197" t="str">
            <v>USSHTC0018004</v>
          </cell>
          <cell r="J2197" t="str">
            <v>L</v>
          </cell>
          <cell r="K2197" t="str">
            <v>SHIRT</v>
          </cell>
          <cell r="L2197" t="str">
            <v>NOD</v>
          </cell>
        </row>
        <row r="2198">
          <cell r="C2198" t="str">
            <v>USSHTC0018</v>
          </cell>
          <cell r="D2198" t="str">
            <v>CORE</v>
          </cell>
          <cell r="E2198" t="str">
            <v>CO25</v>
          </cell>
          <cell r="F2198">
            <v>3159</v>
          </cell>
          <cell r="G2198" t="str">
            <v>US</v>
          </cell>
          <cell r="H2198" t="str">
            <v>USPUSMSHT</v>
          </cell>
          <cell r="I2198" t="str">
            <v>USSHTC0018005</v>
          </cell>
          <cell r="J2198" t="str">
            <v>M</v>
          </cell>
          <cell r="K2198" t="str">
            <v>SHIRT</v>
          </cell>
          <cell r="L2198" t="str">
            <v>NOD</v>
          </cell>
        </row>
        <row r="2199">
          <cell r="C2199" t="str">
            <v>USSHTC0018</v>
          </cell>
          <cell r="D2199" t="str">
            <v>CORE</v>
          </cell>
          <cell r="E2199" t="str">
            <v>CO25</v>
          </cell>
          <cell r="F2199">
            <v>3159</v>
          </cell>
          <cell r="G2199" t="str">
            <v>US</v>
          </cell>
          <cell r="H2199" t="str">
            <v>USPUSMSHT</v>
          </cell>
          <cell r="I2199" t="str">
            <v>USSHTC0018006</v>
          </cell>
          <cell r="J2199" t="str">
            <v>S</v>
          </cell>
          <cell r="K2199" t="str">
            <v>SHIRT</v>
          </cell>
          <cell r="L2199" t="str">
            <v>NOD</v>
          </cell>
        </row>
        <row r="2200">
          <cell r="C2200" t="str">
            <v>USSHTC0018</v>
          </cell>
          <cell r="D2200" t="str">
            <v>CORE</v>
          </cell>
          <cell r="E2200" t="str">
            <v>CO25</v>
          </cell>
          <cell r="F2200">
            <v>3159</v>
          </cell>
          <cell r="G2200" t="str">
            <v>US</v>
          </cell>
          <cell r="H2200" t="str">
            <v>USPUSMSHT</v>
          </cell>
          <cell r="I2200" t="str">
            <v>USSHTC0018007</v>
          </cell>
          <cell r="J2200" t="str">
            <v>XL</v>
          </cell>
          <cell r="K2200" t="str">
            <v>SHIRT</v>
          </cell>
          <cell r="L2200" t="str">
            <v>NOD</v>
          </cell>
        </row>
        <row r="2201">
          <cell r="C2201" t="str">
            <v>USSHTC0018</v>
          </cell>
          <cell r="D2201" t="str">
            <v>CORE</v>
          </cell>
          <cell r="E2201" t="str">
            <v>CO25</v>
          </cell>
          <cell r="F2201">
            <v>3159</v>
          </cell>
          <cell r="G2201" t="str">
            <v>US</v>
          </cell>
          <cell r="H2201" t="str">
            <v>USPUSMSHT</v>
          </cell>
          <cell r="I2201" t="str">
            <v>USSHTC0018008</v>
          </cell>
          <cell r="J2201" t="str">
            <v>XXL</v>
          </cell>
          <cell r="K2201" t="str">
            <v>SHIRT</v>
          </cell>
          <cell r="L2201" t="str">
            <v>NOD</v>
          </cell>
        </row>
        <row r="2202">
          <cell r="C2202" t="str">
            <v>USSHTC0038</v>
          </cell>
          <cell r="D2202" t="str">
            <v>CORE</v>
          </cell>
          <cell r="E2202" t="str">
            <v>CO25</v>
          </cell>
          <cell r="F2202">
            <v>3370</v>
          </cell>
          <cell r="G2202" t="str">
            <v>US</v>
          </cell>
          <cell r="H2202" t="str">
            <v>USPUSMSHT</v>
          </cell>
          <cell r="I2202" t="str">
            <v>USSHTC0038001</v>
          </cell>
          <cell r="J2202" t="str">
            <v>3XL</v>
          </cell>
          <cell r="K2202" t="str">
            <v>SHIRT</v>
          </cell>
          <cell r="L2202" t="str">
            <v>NOD</v>
          </cell>
        </row>
        <row r="2203">
          <cell r="C2203" t="str">
            <v>USSHTC0038</v>
          </cell>
          <cell r="D2203" t="str">
            <v>CORE</v>
          </cell>
          <cell r="E2203" t="str">
            <v>CO25</v>
          </cell>
          <cell r="F2203">
            <v>3370</v>
          </cell>
          <cell r="G2203" t="str">
            <v>US</v>
          </cell>
          <cell r="H2203" t="str">
            <v>USPUSMSHT</v>
          </cell>
          <cell r="I2203" t="str">
            <v>USSHTC0038002</v>
          </cell>
          <cell r="J2203" t="str">
            <v>4XL</v>
          </cell>
          <cell r="K2203" t="str">
            <v>SHIRT</v>
          </cell>
          <cell r="L2203" t="str">
            <v>NOD</v>
          </cell>
        </row>
        <row r="2204">
          <cell r="C2204" t="str">
            <v>USSHTC0038</v>
          </cell>
          <cell r="D2204" t="str">
            <v>CORE</v>
          </cell>
          <cell r="E2204" t="str">
            <v>CO25</v>
          </cell>
          <cell r="F2204">
            <v>3370</v>
          </cell>
          <cell r="G2204" t="str">
            <v>US</v>
          </cell>
          <cell r="H2204" t="str">
            <v>USPUSMSHT</v>
          </cell>
          <cell r="I2204" t="str">
            <v>USSHTC0038003</v>
          </cell>
          <cell r="J2204" t="str">
            <v>5XL</v>
          </cell>
          <cell r="K2204" t="str">
            <v>SHIRT</v>
          </cell>
          <cell r="L2204" t="str">
            <v>NOD</v>
          </cell>
        </row>
        <row r="2205">
          <cell r="C2205" t="str">
            <v>USSHTC0038</v>
          </cell>
          <cell r="D2205" t="str">
            <v>CORE</v>
          </cell>
          <cell r="E2205" t="str">
            <v>CO25</v>
          </cell>
          <cell r="F2205">
            <v>3159</v>
          </cell>
          <cell r="G2205" t="str">
            <v>US</v>
          </cell>
          <cell r="H2205" t="str">
            <v>USPUSMSHT</v>
          </cell>
          <cell r="I2205" t="str">
            <v>USSHTC0038004</v>
          </cell>
          <cell r="J2205" t="str">
            <v>L</v>
          </cell>
          <cell r="K2205" t="str">
            <v>SHIRT</v>
          </cell>
          <cell r="L2205" t="str">
            <v>NOD</v>
          </cell>
        </row>
        <row r="2206">
          <cell r="C2206" t="str">
            <v>USSHTC0038</v>
          </cell>
          <cell r="D2206" t="str">
            <v>CORE</v>
          </cell>
          <cell r="E2206" t="str">
            <v>CO25</v>
          </cell>
          <cell r="F2206">
            <v>3159</v>
          </cell>
          <cell r="G2206" t="str">
            <v>US</v>
          </cell>
          <cell r="H2206" t="str">
            <v>USPUSMSHT</v>
          </cell>
          <cell r="I2206" t="str">
            <v>USSHTC0038005</v>
          </cell>
          <cell r="J2206" t="str">
            <v>M</v>
          </cell>
          <cell r="K2206" t="str">
            <v>SHIRT</v>
          </cell>
          <cell r="L2206" t="str">
            <v>NOD</v>
          </cell>
        </row>
        <row r="2207">
          <cell r="C2207" t="str">
            <v>USSHTC0038</v>
          </cell>
          <cell r="D2207" t="str">
            <v>CORE</v>
          </cell>
          <cell r="E2207" t="str">
            <v>CO25</v>
          </cell>
          <cell r="F2207">
            <v>3159</v>
          </cell>
          <cell r="G2207" t="str">
            <v>US</v>
          </cell>
          <cell r="H2207" t="str">
            <v>USPUSMSHT</v>
          </cell>
          <cell r="I2207" t="str">
            <v>USSHTC0038006</v>
          </cell>
          <cell r="J2207" t="str">
            <v>S</v>
          </cell>
          <cell r="K2207" t="str">
            <v>SHIRT</v>
          </cell>
          <cell r="L2207" t="str">
            <v>NOD</v>
          </cell>
        </row>
        <row r="2208">
          <cell r="C2208" t="str">
            <v>USSHTC0038</v>
          </cell>
          <cell r="D2208" t="str">
            <v>CORE</v>
          </cell>
          <cell r="E2208" t="str">
            <v>CO25</v>
          </cell>
          <cell r="F2208">
            <v>3159</v>
          </cell>
          <cell r="G2208" t="str">
            <v>US</v>
          </cell>
          <cell r="H2208" t="str">
            <v>USPUSMSHT</v>
          </cell>
          <cell r="I2208" t="str">
            <v>USSHTC0038007</v>
          </cell>
          <cell r="J2208" t="str">
            <v>XL</v>
          </cell>
          <cell r="K2208" t="str">
            <v>SHIRT</v>
          </cell>
          <cell r="L2208" t="str">
            <v>NOD</v>
          </cell>
        </row>
        <row r="2209">
          <cell r="C2209" t="str">
            <v>USSHTC0038</v>
          </cell>
          <cell r="D2209" t="str">
            <v>CORE</v>
          </cell>
          <cell r="E2209" t="str">
            <v>CO25</v>
          </cell>
          <cell r="F2209">
            <v>3159</v>
          </cell>
          <cell r="G2209" t="str">
            <v>US</v>
          </cell>
          <cell r="H2209" t="str">
            <v>USPUSMSHT</v>
          </cell>
          <cell r="I2209" t="str">
            <v>USSHTC0038008</v>
          </cell>
          <cell r="J2209" t="str">
            <v>XXL</v>
          </cell>
          <cell r="K2209" t="str">
            <v>SHIRT</v>
          </cell>
          <cell r="L2209" t="str">
            <v>NOD</v>
          </cell>
        </row>
        <row r="2210">
          <cell r="C2210" t="str">
            <v>USSHTC0038H</v>
          </cell>
          <cell r="D2210" t="str">
            <v>CORE</v>
          </cell>
          <cell r="E2210" t="str">
            <v>CO25</v>
          </cell>
          <cell r="F2210">
            <v>3370</v>
          </cell>
          <cell r="G2210" t="str">
            <v>US</v>
          </cell>
          <cell r="H2210" t="str">
            <v>USPUSMSHT</v>
          </cell>
          <cell r="I2210" t="str">
            <v>USSHTC0038H001</v>
          </cell>
          <cell r="J2210" t="str">
            <v>3XL</v>
          </cell>
          <cell r="K2210" t="str">
            <v>SHIRT</v>
          </cell>
          <cell r="L2210" t="str">
            <v>NOD</v>
          </cell>
        </row>
        <row r="2211">
          <cell r="C2211" t="str">
            <v>USSHTC0038H</v>
          </cell>
          <cell r="D2211" t="str">
            <v>CORE</v>
          </cell>
          <cell r="E2211" t="str">
            <v>CO25</v>
          </cell>
          <cell r="F2211">
            <v>3370</v>
          </cell>
          <cell r="G2211" t="str">
            <v>US</v>
          </cell>
          <cell r="H2211" t="str">
            <v>USPUSMSHT</v>
          </cell>
          <cell r="I2211" t="str">
            <v>USSHTC0038H002</v>
          </cell>
          <cell r="J2211" t="str">
            <v>4XL</v>
          </cell>
          <cell r="K2211" t="str">
            <v>SHIRT</v>
          </cell>
          <cell r="L2211" t="str">
            <v>NOD</v>
          </cell>
        </row>
        <row r="2212">
          <cell r="C2212" t="str">
            <v>USSHTC0038H</v>
          </cell>
          <cell r="D2212" t="str">
            <v>CORE</v>
          </cell>
          <cell r="E2212" t="str">
            <v>CO25</v>
          </cell>
          <cell r="F2212">
            <v>3370</v>
          </cell>
          <cell r="G2212" t="str">
            <v>US</v>
          </cell>
          <cell r="H2212" t="str">
            <v>USPUSMSHT</v>
          </cell>
          <cell r="I2212" t="str">
            <v>USSHTC0038H003</v>
          </cell>
          <cell r="J2212" t="str">
            <v>5XL</v>
          </cell>
          <cell r="K2212" t="str">
            <v>SHIRT</v>
          </cell>
          <cell r="L2212" t="str">
            <v>NOD</v>
          </cell>
        </row>
        <row r="2213">
          <cell r="C2213" t="str">
            <v>USSHTC0038H</v>
          </cell>
          <cell r="D2213" t="str">
            <v>CORE</v>
          </cell>
          <cell r="E2213" t="str">
            <v>CO25</v>
          </cell>
          <cell r="F2213">
            <v>3159</v>
          </cell>
          <cell r="G2213" t="str">
            <v>US</v>
          </cell>
          <cell r="H2213" t="str">
            <v>USPUSMSHT</v>
          </cell>
          <cell r="I2213" t="str">
            <v>USSHTC0038H004</v>
          </cell>
          <cell r="J2213" t="str">
            <v>L</v>
          </cell>
          <cell r="K2213" t="str">
            <v>SHIRT</v>
          </cell>
          <cell r="L2213" t="str">
            <v>NOD</v>
          </cell>
        </row>
        <row r="2214">
          <cell r="C2214" t="str">
            <v>USSHTC0038H</v>
          </cell>
          <cell r="D2214" t="str">
            <v>CORE</v>
          </cell>
          <cell r="E2214" t="str">
            <v>CO25</v>
          </cell>
          <cell r="F2214">
            <v>3159</v>
          </cell>
          <cell r="G2214" t="str">
            <v>US</v>
          </cell>
          <cell r="H2214" t="str">
            <v>USPUSMSHT</v>
          </cell>
          <cell r="I2214" t="str">
            <v>USSHTC0038H005</v>
          </cell>
          <cell r="J2214" t="str">
            <v>M</v>
          </cell>
          <cell r="K2214" t="str">
            <v>SHIRT</v>
          </cell>
          <cell r="L2214" t="str">
            <v>NOD</v>
          </cell>
        </row>
        <row r="2215">
          <cell r="C2215" t="str">
            <v>USSHTC0038H</v>
          </cell>
          <cell r="D2215" t="str">
            <v>CORE</v>
          </cell>
          <cell r="E2215" t="str">
            <v>CO25</v>
          </cell>
          <cell r="F2215">
            <v>3159</v>
          </cell>
          <cell r="G2215" t="str">
            <v>US</v>
          </cell>
          <cell r="H2215" t="str">
            <v>USPUSMSHT</v>
          </cell>
          <cell r="I2215" t="str">
            <v>USSHTC0038H006</v>
          </cell>
          <cell r="J2215" t="str">
            <v>S</v>
          </cell>
          <cell r="K2215" t="str">
            <v>SHIRT</v>
          </cell>
          <cell r="L2215" t="str">
            <v>NOD</v>
          </cell>
        </row>
        <row r="2216">
          <cell r="C2216" t="str">
            <v>USSHTC0038H</v>
          </cell>
          <cell r="D2216" t="str">
            <v>CORE</v>
          </cell>
          <cell r="E2216" t="str">
            <v>CO25</v>
          </cell>
          <cell r="F2216">
            <v>3159</v>
          </cell>
          <cell r="G2216" t="str">
            <v>US</v>
          </cell>
          <cell r="H2216" t="str">
            <v>USPUSMSHT</v>
          </cell>
          <cell r="I2216" t="str">
            <v>USSHTC0038H007</v>
          </cell>
          <cell r="J2216" t="str">
            <v>XL</v>
          </cell>
          <cell r="K2216" t="str">
            <v>SHIRT</v>
          </cell>
          <cell r="L2216" t="str">
            <v>NOD</v>
          </cell>
        </row>
        <row r="2217">
          <cell r="C2217" t="str">
            <v>USSHTC0038H</v>
          </cell>
          <cell r="D2217" t="str">
            <v>CORE</v>
          </cell>
          <cell r="E2217" t="str">
            <v>CO25</v>
          </cell>
          <cell r="F2217">
            <v>3159</v>
          </cell>
          <cell r="G2217" t="str">
            <v>US</v>
          </cell>
          <cell r="H2217" t="str">
            <v>USPUSMSHT</v>
          </cell>
          <cell r="I2217" t="str">
            <v>USSHTC0038H008</v>
          </cell>
          <cell r="J2217" t="str">
            <v>XXL</v>
          </cell>
          <cell r="K2217" t="str">
            <v>SHIRT</v>
          </cell>
          <cell r="L2217" t="str">
            <v>NOD</v>
          </cell>
        </row>
        <row r="2218">
          <cell r="C2218" t="str">
            <v>USSHTC0039</v>
          </cell>
          <cell r="D2218" t="str">
            <v>CORE</v>
          </cell>
          <cell r="E2218" t="str">
            <v>CO25</v>
          </cell>
          <cell r="F2218">
            <v>3370</v>
          </cell>
          <cell r="G2218" t="str">
            <v>US</v>
          </cell>
          <cell r="H2218" t="str">
            <v>USPUSMSHT</v>
          </cell>
          <cell r="I2218" t="str">
            <v>USSHTC0039001</v>
          </cell>
          <cell r="J2218" t="str">
            <v>3XL</v>
          </cell>
          <cell r="K2218" t="str">
            <v>SHIRT</v>
          </cell>
          <cell r="L2218" t="str">
            <v>NOD</v>
          </cell>
        </row>
        <row r="2219">
          <cell r="C2219" t="str">
            <v>USSHTC0039</v>
          </cell>
          <cell r="D2219" t="str">
            <v>CORE</v>
          </cell>
          <cell r="E2219" t="str">
            <v>CO25</v>
          </cell>
          <cell r="F2219">
            <v>3370</v>
          </cell>
          <cell r="G2219" t="str">
            <v>US</v>
          </cell>
          <cell r="H2219" t="str">
            <v>USPUSMSHT</v>
          </cell>
          <cell r="I2219" t="str">
            <v>USSHTC0039002</v>
          </cell>
          <cell r="J2219" t="str">
            <v>4XL</v>
          </cell>
          <cell r="K2219" t="str">
            <v>SHIRT</v>
          </cell>
          <cell r="L2219" t="str">
            <v>NOD</v>
          </cell>
        </row>
        <row r="2220">
          <cell r="C2220" t="str">
            <v>USSHTC0039</v>
          </cell>
          <cell r="D2220" t="str">
            <v>CORE</v>
          </cell>
          <cell r="E2220" t="str">
            <v>CO25</v>
          </cell>
          <cell r="F2220">
            <v>3370</v>
          </cell>
          <cell r="G2220" t="str">
            <v>US</v>
          </cell>
          <cell r="H2220" t="str">
            <v>USPUSMSHT</v>
          </cell>
          <cell r="I2220" t="str">
            <v>USSHTC0039003</v>
          </cell>
          <cell r="J2220" t="str">
            <v>5XL</v>
          </cell>
          <cell r="K2220" t="str">
            <v>SHIRT</v>
          </cell>
          <cell r="L2220" t="str">
            <v>NOD</v>
          </cell>
        </row>
        <row r="2221">
          <cell r="C2221" t="str">
            <v>USSHTC0039</v>
          </cell>
          <cell r="D2221" t="str">
            <v>CORE</v>
          </cell>
          <cell r="E2221" t="str">
            <v>CO25</v>
          </cell>
          <cell r="F2221">
            <v>3159</v>
          </cell>
          <cell r="G2221" t="str">
            <v>US</v>
          </cell>
          <cell r="H2221" t="str">
            <v>USPUSMSHT</v>
          </cell>
          <cell r="I2221" t="str">
            <v>USSHTC0039004</v>
          </cell>
          <cell r="J2221" t="str">
            <v>L</v>
          </cell>
          <cell r="K2221" t="str">
            <v>SHIRT</v>
          </cell>
          <cell r="L2221" t="str">
            <v>NOD</v>
          </cell>
        </row>
        <row r="2222">
          <cell r="C2222" t="str">
            <v>USSHTC0039</v>
          </cell>
          <cell r="D2222" t="str">
            <v>CORE</v>
          </cell>
          <cell r="E2222" t="str">
            <v>CO25</v>
          </cell>
          <cell r="F2222">
            <v>3159</v>
          </cell>
          <cell r="G2222" t="str">
            <v>US</v>
          </cell>
          <cell r="H2222" t="str">
            <v>USPUSMSHT</v>
          </cell>
          <cell r="I2222" t="str">
            <v>USSHTC0039005</v>
          </cell>
          <cell r="J2222" t="str">
            <v>M</v>
          </cell>
          <cell r="K2222" t="str">
            <v>SHIRT</v>
          </cell>
          <cell r="L2222" t="str">
            <v>NOD</v>
          </cell>
        </row>
        <row r="2223">
          <cell r="C2223" t="str">
            <v>USSHTC0039</v>
          </cell>
          <cell r="D2223" t="str">
            <v>CORE</v>
          </cell>
          <cell r="E2223" t="str">
            <v>CO25</v>
          </cell>
          <cell r="F2223">
            <v>3159</v>
          </cell>
          <cell r="G2223" t="str">
            <v>US</v>
          </cell>
          <cell r="H2223" t="str">
            <v>USPUSMSHT</v>
          </cell>
          <cell r="I2223" t="str">
            <v>USSHTC0039006</v>
          </cell>
          <cell r="J2223" t="str">
            <v>S</v>
          </cell>
          <cell r="K2223" t="str">
            <v>SHIRT</v>
          </cell>
          <cell r="L2223" t="str">
            <v>NOD</v>
          </cell>
        </row>
        <row r="2224">
          <cell r="C2224" t="str">
            <v>USSHTC0039</v>
          </cell>
          <cell r="D2224" t="str">
            <v>CORE</v>
          </cell>
          <cell r="E2224" t="str">
            <v>CO25</v>
          </cell>
          <cell r="F2224">
            <v>3159</v>
          </cell>
          <cell r="G2224" t="str">
            <v>US</v>
          </cell>
          <cell r="H2224" t="str">
            <v>USPUSMSHT</v>
          </cell>
          <cell r="I2224" t="str">
            <v>USSHTC0039007</v>
          </cell>
          <cell r="J2224" t="str">
            <v>XL</v>
          </cell>
          <cell r="K2224" t="str">
            <v>SHIRT</v>
          </cell>
          <cell r="L2224" t="str">
            <v>NOD</v>
          </cell>
        </row>
        <row r="2225">
          <cell r="C2225" t="str">
            <v>USSHTC0039</v>
          </cell>
          <cell r="D2225" t="str">
            <v>CORE</v>
          </cell>
          <cell r="E2225" t="str">
            <v>CO25</v>
          </cell>
          <cell r="F2225">
            <v>3159</v>
          </cell>
          <cell r="G2225" t="str">
            <v>US</v>
          </cell>
          <cell r="H2225" t="str">
            <v>USPUSMSHT</v>
          </cell>
          <cell r="I2225" t="str">
            <v>USSHTC0039008</v>
          </cell>
          <cell r="J2225" t="str">
            <v>XXL</v>
          </cell>
          <cell r="K2225" t="str">
            <v>SHIRT</v>
          </cell>
          <cell r="L2225" t="str">
            <v>NOD</v>
          </cell>
        </row>
        <row r="2226">
          <cell r="C2226" t="str">
            <v>USSHTC0046</v>
          </cell>
          <cell r="D2226" t="str">
            <v>CORE</v>
          </cell>
          <cell r="E2226" t="str">
            <v>CO25</v>
          </cell>
          <cell r="F2226">
            <v>2699</v>
          </cell>
          <cell r="G2226" t="str">
            <v>US</v>
          </cell>
          <cell r="H2226" t="str">
            <v>USPUSMSHT</v>
          </cell>
          <cell r="I2226" t="str">
            <v>USSHTC0046001</v>
          </cell>
          <cell r="J2226" t="str">
            <v>3XL</v>
          </cell>
          <cell r="K2226" t="str">
            <v>SHIRT</v>
          </cell>
          <cell r="L2226" t="str">
            <v>NOD</v>
          </cell>
        </row>
        <row r="2227">
          <cell r="C2227" t="str">
            <v>USSHTC0046</v>
          </cell>
          <cell r="D2227" t="str">
            <v>CORE</v>
          </cell>
          <cell r="E2227" t="str">
            <v>CO25</v>
          </cell>
          <cell r="F2227">
            <v>2699</v>
          </cell>
          <cell r="G2227" t="str">
            <v>US</v>
          </cell>
          <cell r="H2227" t="str">
            <v>USPUSMSHT</v>
          </cell>
          <cell r="I2227" t="str">
            <v>USSHTC0046002</v>
          </cell>
          <cell r="J2227" t="str">
            <v>4XL</v>
          </cell>
          <cell r="K2227" t="str">
            <v>SHIRT</v>
          </cell>
          <cell r="L2227" t="str">
            <v>NOD</v>
          </cell>
        </row>
        <row r="2228">
          <cell r="C2228" t="str">
            <v>USSHTC0046</v>
          </cell>
          <cell r="D2228" t="str">
            <v>CORE</v>
          </cell>
          <cell r="E2228" t="str">
            <v>CO25</v>
          </cell>
          <cell r="F2228">
            <v>2699</v>
          </cell>
          <cell r="G2228" t="str">
            <v>US</v>
          </cell>
          <cell r="H2228" t="str">
            <v>USPUSMSHT</v>
          </cell>
          <cell r="I2228" t="str">
            <v>USSHTC0046003</v>
          </cell>
          <cell r="J2228" t="str">
            <v>5XL</v>
          </cell>
          <cell r="K2228" t="str">
            <v>SHIRT</v>
          </cell>
          <cell r="L2228" t="str">
            <v>NOD</v>
          </cell>
        </row>
        <row r="2229">
          <cell r="C2229" t="str">
            <v>USSHTC0046</v>
          </cell>
          <cell r="D2229" t="str">
            <v>CORE</v>
          </cell>
          <cell r="E2229" t="str">
            <v>CO25</v>
          </cell>
          <cell r="F2229">
            <v>2499</v>
          </cell>
          <cell r="G2229" t="str">
            <v>US</v>
          </cell>
          <cell r="H2229" t="str">
            <v>USPUSMSHT</v>
          </cell>
          <cell r="I2229" t="str">
            <v>USSHTC0046004</v>
          </cell>
          <cell r="J2229" t="str">
            <v>L</v>
          </cell>
          <cell r="K2229" t="str">
            <v>SHIRT</v>
          </cell>
          <cell r="L2229" t="str">
            <v>NOD</v>
          </cell>
        </row>
        <row r="2230">
          <cell r="C2230" t="str">
            <v>USSHTC0046</v>
          </cell>
          <cell r="D2230" t="str">
            <v>CORE</v>
          </cell>
          <cell r="E2230" t="str">
            <v>CO25</v>
          </cell>
          <cell r="F2230">
            <v>2499</v>
          </cell>
          <cell r="G2230" t="str">
            <v>US</v>
          </cell>
          <cell r="H2230" t="str">
            <v>USPUSMSHT</v>
          </cell>
          <cell r="I2230" t="str">
            <v>USSHTC0046005</v>
          </cell>
          <cell r="J2230" t="str">
            <v>M</v>
          </cell>
          <cell r="K2230" t="str">
            <v>SHIRT</v>
          </cell>
          <cell r="L2230" t="str">
            <v>NOD</v>
          </cell>
        </row>
        <row r="2231">
          <cell r="C2231" t="str">
            <v>USSHTC0046</v>
          </cell>
          <cell r="D2231" t="str">
            <v>CORE</v>
          </cell>
          <cell r="E2231" t="str">
            <v>CO25</v>
          </cell>
          <cell r="F2231">
            <v>2499</v>
          </cell>
          <cell r="G2231" t="str">
            <v>US</v>
          </cell>
          <cell r="H2231" t="str">
            <v>USPUSMSHT</v>
          </cell>
          <cell r="I2231" t="str">
            <v>USSHTC0046006</v>
          </cell>
          <cell r="J2231" t="str">
            <v>S</v>
          </cell>
          <cell r="K2231" t="str">
            <v>SHIRT</v>
          </cell>
          <cell r="L2231" t="str">
            <v>NOD</v>
          </cell>
        </row>
        <row r="2232">
          <cell r="C2232" t="str">
            <v>USSHTC0046</v>
          </cell>
          <cell r="D2232" t="str">
            <v>CORE</v>
          </cell>
          <cell r="E2232" t="str">
            <v>CO25</v>
          </cell>
          <cell r="F2232">
            <v>2499</v>
          </cell>
          <cell r="G2232" t="str">
            <v>US</v>
          </cell>
          <cell r="H2232" t="str">
            <v>USPUSMSHT</v>
          </cell>
          <cell r="I2232" t="str">
            <v>USSHTC0046007</v>
          </cell>
          <cell r="J2232" t="str">
            <v>XL</v>
          </cell>
          <cell r="K2232" t="str">
            <v>SHIRT</v>
          </cell>
          <cell r="L2232" t="str">
            <v>NOD</v>
          </cell>
        </row>
        <row r="2233">
          <cell r="C2233" t="str">
            <v>USSHTC0046</v>
          </cell>
          <cell r="D2233" t="str">
            <v>CORE</v>
          </cell>
          <cell r="E2233" t="str">
            <v>CO25</v>
          </cell>
          <cell r="F2233">
            <v>2499</v>
          </cell>
          <cell r="G2233" t="str">
            <v>US</v>
          </cell>
          <cell r="H2233" t="str">
            <v>USPUSMSHT</v>
          </cell>
          <cell r="I2233" t="str">
            <v>USSHTC0046008</v>
          </cell>
          <cell r="J2233" t="str">
            <v>XXL</v>
          </cell>
          <cell r="K2233" t="str">
            <v>SHIRT</v>
          </cell>
          <cell r="L2233" t="str">
            <v>NOD</v>
          </cell>
        </row>
        <row r="2234">
          <cell r="C2234" t="str">
            <v>USSHTC0046H</v>
          </cell>
          <cell r="D2234" t="str">
            <v>CORE</v>
          </cell>
          <cell r="E2234" t="str">
            <v>CO25</v>
          </cell>
          <cell r="F2234">
            <v>2699</v>
          </cell>
          <cell r="G2234" t="str">
            <v>US</v>
          </cell>
          <cell r="H2234" t="str">
            <v>USPUSMSHT</v>
          </cell>
          <cell r="I2234" t="str">
            <v>USSHTC0046H001</v>
          </cell>
          <cell r="J2234" t="str">
            <v>3XL</v>
          </cell>
          <cell r="K2234" t="str">
            <v>SHIRT</v>
          </cell>
          <cell r="L2234" t="str">
            <v>NOD</v>
          </cell>
        </row>
        <row r="2235">
          <cell r="C2235" t="str">
            <v>USSHTC0046H</v>
          </cell>
          <cell r="D2235" t="str">
            <v>CORE</v>
          </cell>
          <cell r="E2235" t="str">
            <v>CO25</v>
          </cell>
          <cell r="F2235">
            <v>2699</v>
          </cell>
          <cell r="G2235" t="str">
            <v>US</v>
          </cell>
          <cell r="H2235" t="str">
            <v>USPUSMSHT</v>
          </cell>
          <cell r="I2235" t="str">
            <v>USSHTC0046H002</v>
          </cell>
          <cell r="J2235" t="str">
            <v>4XL</v>
          </cell>
          <cell r="K2235" t="str">
            <v>SHIRT</v>
          </cell>
          <cell r="L2235" t="str">
            <v>NOD</v>
          </cell>
        </row>
        <row r="2236">
          <cell r="C2236" t="str">
            <v>USSHTC0046H</v>
          </cell>
          <cell r="D2236" t="str">
            <v>CORE</v>
          </cell>
          <cell r="E2236" t="str">
            <v>CO25</v>
          </cell>
          <cell r="F2236">
            <v>2699</v>
          </cell>
          <cell r="G2236" t="str">
            <v>US</v>
          </cell>
          <cell r="H2236" t="str">
            <v>USPUSMSHT</v>
          </cell>
          <cell r="I2236" t="str">
            <v>USSHTC0046H003</v>
          </cell>
          <cell r="J2236" t="str">
            <v>5XL</v>
          </cell>
          <cell r="K2236" t="str">
            <v>SHIRT</v>
          </cell>
          <cell r="L2236" t="str">
            <v>NOD</v>
          </cell>
        </row>
        <row r="2237">
          <cell r="C2237" t="str">
            <v>USSHTC0046H</v>
          </cell>
          <cell r="D2237" t="str">
            <v>CORE</v>
          </cell>
          <cell r="E2237" t="str">
            <v>CO25</v>
          </cell>
          <cell r="F2237">
            <v>2499</v>
          </cell>
          <cell r="G2237" t="str">
            <v>US</v>
          </cell>
          <cell r="H2237" t="str">
            <v>USPUSMSHT</v>
          </cell>
          <cell r="I2237" t="str">
            <v>USSHTC0046H004</v>
          </cell>
          <cell r="J2237" t="str">
            <v>L</v>
          </cell>
          <cell r="K2237" t="str">
            <v>SHIRT</v>
          </cell>
          <cell r="L2237" t="str">
            <v>NOD</v>
          </cell>
        </row>
        <row r="2238">
          <cell r="C2238" t="str">
            <v>USSHTC0046H</v>
          </cell>
          <cell r="D2238" t="str">
            <v>CORE</v>
          </cell>
          <cell r="E2238" t="str">
            <v>CO25</v>
          </cell>
          <cell r="F2238">
            <v>2499</v>
          </cell>
          <cell r="G2238" t="str">
            <v>US</v>
          </cell>
          <cell r="H2238" t="str">
            <v>USPUSMSHT</v>
          </cell>
          <cell r="I2238" t="str">
            <v>USSHTC0046H005</v>
          </cell>
          <cell r="J2238" t="str">
            <v>M</v>
          </cell>
          <cell r="K2238" t="str">
            <v>SHIRT</v>
          </cell>
          <cell r="L2238" t="str">
            <v>NOD</v>
          </cell>
        </row>
        <row r="2239">
          <cell r="C2239" t="str">
            <v>USSHTC0046H</v>
          </cell>
          <cell r="D2239" t="str">
            <v>CORE</v>
          </cell>
          <cell r="E2239" t="str">
            <v>CO25</v>
          </cell>
          <cell r="F2239">
            <v>2499</v>
          </cell>
          <cell r="G2239" t="str">
            <v>US</v>
          </cell>
          <cell r="H2239" t="str">
            <v>USPUSMSHT</v>
          </cell>
          <cell r="I2239" t="str">
            <v>USSHTC0046H006</v>
          </cell>
          <cell r="J2239" t="str">
            <v>S</v>
          </cell>
          <cell r="K2239" t="str">
            <v>SHIRT</v>
          </cell>
          <cell r="L2239" t="str">
            <v>NOD</v>
          </cell>
        </row>
        <row r="2240">
          <cell r="C2240" t="str">
            <v>USSHTC0046H</v>
          </cell>
          <cell r="D2240" t="str">
            <v>CORE</v>
          </cell>
          <cell r="E2240" t="str">
            <v>CO25</v>
          </cell>
          <cell r="F2240">
            <v>2499</v>
          </cell>
          <cell r="G2240" t="str">
            <v>US</v>
          </cell>
          <cell r="H2240" t="str">
            <v>USPUSMSHT</v>
          </cell>
          <cell r="I2240" t="str">
            <v>USSHTC0046H007</v>
          </cell>
          <cell r="J2240" t="str">
            <v>XL</v>
          </cell>
          <cell r="K2240" t="str">
            <v>SHIRT</v>
          </cell>
          <cell r="L2240" t="str">
            <v>NOD</v>
          </cell>
        </row>
        <row r="2241">
          <cell r="C2241" t="str">
            <v>USSHTC0046H</v>
          </cell>
          <cell r="D2241" t="str">
            <v>CORE</v>
          </cell>
          <cell r="E2241" t="str">
            <v>CO25</v>
          </cell>
          <cell r="F2241">
            <v>2499</v>
          </cell>
          <cell r="G2241" t="str">
            <v>US</v>
          </cell>
          <cell r="H2241" t="str">
            <v>USPUSMSHT</v>
          </cell>
          <cell r="I2241" t="str">
            <v>USSHTC0046H008</v>
          </cell>
          <cell r="J2241" t="str">
            <v>XXL</v>
          </cell>
          <cell r="K2241" t="str">
            <v>SHIRT</v>
          </cell>
          <cell r="L2241" t="str">
            <v>NOD</v>
          </cell>
        </row>
        <row r="2242">
          <cell r="C2242" t="str">
            <v>USSHTC0047</v>
          </cell>
          <cell r="D2242" t="str">
            <v>CORE</v>
          </cell>
          <cell r="E2242" t="str">
            <v>CO25</v>
          </cell>
          <cell r="F2242">
            <v>2699</v>
          </cell>
          <cell r="G2242" t="str">
            <v>US</v>
          </cell>
          <cell r="H2242" t="str">
            <v>USPUSMSHT</v>
          </cell>
          <cell r="I2242" t="str">
            <v>USSHTC0047001</v>
          </cell>
          <cell r="J2242" t="str">
            <v>3XL</v>
          </cell>
          <cell r="K2242" t="str">
            <v>SHIRT</v>
          </cell>
          <cell r="L2242" t="str">
            <v>NOD</v>
          </cell>
        </row>
        <row r="2243">
          <cell r="C2243" t="str">
            <v>USSHTC0047</v>
          </cell>
          <cell r="D2243" t="str">
            <v>CORE</v>
          </cell>
          <cell r="E2243" t="str">
            <v>CO25</v>
          </cell>
          <cell r="F2243">
            <v>2699</v>
          </cell>
          <cell r="G2243" t="str">
            <v>US</v>
          </cell>
          <cell r="H2243" t="str">
            <v>USPUSMSHT</v>
          </cell>
          <cell r="I2243" t="str">
            <v>USSHTC0047002</v>
          </cell>
          <cell r="J2243" t="str">
            <v>4XL</v>
          </cell>
          <cell r="K2243" t="str">
            <v>SHIRT</v>
          </cell>
          <cell r="L2243" t="str">
            <v>NOD</v>
          </cell>
        </row>
        <row r="2244">
          <cell r="C2244" t="str">
            <v>USSHTC0047</v>
          </cell>
          <cell r="D2244" t="str">
            <v>CORE</v>
          </cell>
          <cell r="E2244" t="str">
            <v>CO25</v>
          </cell>
          <cell r="F2244">
            <v>2699</v>
          </cell>
          <cell r="G2244" t="str">
            <v>US</v>
          </cell>
          <cell r="H2244" t="str">
            <v>USPUSMSHT</v>
          </cell>
          <cell r="I2244" t="str">
            <v>USSHTC0047003</v>
          </cell>
          <cell r="J2244" t="str">
            <v>5XL</v>
          </cell>
          <cell r="K2244" t="str">
            <v>SHIRT</v>
          </cell>
          <cell r="L2244" t="str">
            <v>NOD</v>
          </cell>
        </row>
        <row r="2245">
          <cell r="C2245" t="str">
            <v>USSHTC0047</v>
          </cell>
          <cell r="D2245" t="str">
            <v>CORE</v>
          </cell>
          <cell r="E2245" t="str">
            <v>CO25</v>
          </cell>
          <cell r="F2245">
            <v>2499</v>
          </cell>
          <cell r="G2245" t="str">
            <v>US</v>
          </cell>
          <cell r="H2245" t="str">
            <v>USPUSMSHT</v>
          </cell>
          <cell r="I2245" t="str">
            <v>USSHTC0047004</v>
          </cell>
          <cell r="J2245" t="str">
            <v>L</v>
          </cell>
          <cell r="K2245" t="str">
            <v>SHIRT</v>
          </cell>
          <cell r="L2245" t="str">
            <v>NOD</v>
          </cell>
        </row>
        <row r="2246">
          <cell r="C2246" t="str">
            <v>USSHTC0047</v>
          </cell>
          <cell r="D2246" t="str">
            <v>CORE</v>
          </cell>
          <cell r="E2246" t="str">
            <v>CO25</v>
          </cell>
          <cell r="F2246">
            <v>2499</v>
          </cell>
          <cell r="G2246" t="str">
            <v>US</v>
          </cell>
          <cell r="H2246" t="str">
            <v>USPUSMSHT</v>
          </cell>
          <cell r="I2246" t="str">
            <v>USSHTC0047005</v>
          </cell>
          <cell r="J2246" t="str">
            <v>M</v>
          </cell>
          <cell r="K2246" t="str">
            <v>SHIRT</v>
          </cell>
          <cell r="L2246" t="str">
            <v>NOD</v>
          </cell>
        </row>
        <row r="2247">
          <cell r="C2247" t="str">
            <v>USSHTC0047</v>
          </cell>
          <cell r="D2247" t="str">
            <v>CORE</v>
          </cell>
          <cell r="E2247" t="str">
            <v>CO25</v>
          </cell>
          <cell r="F2247">
            <v>2499</v>
          </cell>
          <cell r="G2247" t="str">
            <v>US</v>
          </cell>
          <cell r="H2247" t="str">
            <v>USPUSMSHT</v>
          </cell>
          <cell r="I2247" t="str">
            <v>USSHTC0047006</v>
          </cell>
          <cell r="J2247" t="str">
            <v>S</v>
          </cell>
          <cell r="K2247" t="str">
            <v>SHIRT</v>
          </cell>
          <cell r="L2247" t="str">
            <v>NOD</v>
          </cell>
        </row>
        <row r="2248">
          <cell r="C2248" t="str">
            <v>USSHTC0047</v>
          </cell>
          <cell r="D2248" t="str">
            <v>CORE</v>
          </cell>
          <cell r="E2248" t="str">
            <v>CO25</v>
          </cell>
          <cell r="F2248">
            <v>2499</v>
          </cell>
          <cell r="G2248" t="str">
            <v>US</v>
          </cell>
          <cell r="H2248" t="str">
            <v>USPUSMSHT</v>
          </cell>
          <cell r="I2248" t="str">
            <v>USSHTC0047007</v>
          </cell>
          <cell r="J2248" t="str">
            <v>XL</v>
          </cell>
          <cell r="K2248" t="str">
            <v>SHIRT</v>
          </cell>
          <cell r="L2248" t="str">
            <v>NOD</v>
          </cell>
        </row>
        <row r="2249">
          <cell r="C2249" t="str">
            <v>USSHTC0047</v>
          </cell>
          <cell r="D2249" t="str">
            <v>CORE</v>
          </cell>
          <cell r="E2249" t="str">
            <v>CO25</v>
          </cell>
          <cell r="F2249">
            <v>2499</v>
          </cell>
          <cell r="G2249" t="str">
            <v>US</v>
          </cell>
          <cell r="H2249" t="str">
            <v>USPUSMSHT</v>
          </cell>
          <cell r="I2249" t="str">
            <v>USSHTC0047008</v>
          </cell>
          <cell r="J2249" t="str">
            <v>XXL</v>
          </cell>
          <cell r="K2249" t="str">
            <v>SHIRT</v>
          </cell>
          <cell r="L2249" t="str">
            <v>NOD</v>
          </cell>
        </row>
        <row r="2250">
          <cell r="C2250" t="str">
            <v>USSHTC0059</v>
          </cell>
          <cell r="D2250" t="str">
            <v>CORE</v>
          </cell>
          <cell r="E2250" t="str">
            <v>CO25</v>
          </cell>
          <cell r="F2250">
            <v>2399</v>
          </cell>
          <cell r="G2250" t="str">
            <v>US</v>
          </cell>
          <cell r="H2250" t="str">
            <v>USPUSMSHT</v>
          </cell>
          <cell r="I2250" t="str">
            <v>USSHTC0059001</v>
          </cell>
          <cell r="J2250" t="str">
            <v>3XL</v>
          </cell>
          <cell r="K2250" t="str">
            <v>SHIRT</v>
          </cell>
          <cell r="L2250" t="str">
            <v>NOD</v>
          </cell>
        </row>
        <row r="2251">
          <cell r="C2251" t="str">
            <v>USSHTC0059</v>
          </cell>
          <cell r="D2251" t="str">
            <v>CORE</v>
          </cell>
          <cell r="E2251" t="str">
            <v>CO25</v>
          </cell>
          <cell r="F2251">
            <v>2399</v>
          </cell>
          <cell r="G2251" t="str">
            <v>US</v>
          </cell>
          <cell r="H2251" t="str">
            <v>USPUSMSHT</v>
          </cell>
          <cell r="I2251" t="str">
            <v>USSHTC0059002</v>
          </cell>
          <cell r="J2251" t="str">
            <v>4XL</v>
          </cell>
          <cell r="K2251" t="str">
            <v>SHIRT</v>
          </cell>
          <cell r="L2251" t="str">
            <v>NOD</v>
          </cell>
        </row>
        <row r="2252">
          <cell r="C2252" t="str">
            <v>USSHTC0059</v>
          </cell>
          <cell r="D2252" t="str">
            <v>CORE</v>
          </cell>
          <cell r="E2252" t="str">
            <v>CO25</v>
          </cell>
          <cell r="F2252">
            <v>2399</v>
          </cell>
          <cell r="G2252" t="str">
            <v>US</v>
          </cell>
          <cell r="H2252" t="str">
            <v>USPUSMSHT</v>
          </cell>
          <cell r="I2252" t="str">
            <v>USSHTC0059003</v>
          </cell>
          <cell r="J2252" t="str">
            <v>5XL</v>
          </cell>
          <cell r="K2252" t="str">
            <v>SHIRT</v>
          </cell>
          <cell r="L2252" t="str">
            <v>NOD</v>
          </cell>
        </row>
        <row r="2253">
          <cell r="C2253" t="str">
            <v>USSHTC0059</v>
          </cell>
          <cell r="D2253" t="str">
            <v>CORE</v>
          </cell>
          <cell r="E2253" t="str">
            <v>CO25</v>
          </cell>
          <cell r="F2253">
            <v>2199</v>
          </cell>
          <cell r="G2253" t="str">
            <v>US</v>
          </cell>
          <cell r="H2253" t="str">
            <v>USPUSMSHT</v>
          </cell>
          <cell r="I2253" t="str">
            <v>USSHTC0059004</v>
          </cell>
          <cell r="J2253" t="str">
            <v>L</v>
          </cell>
          <cell r="K2253" t="str">
            <v>SHIRT</v>
          </cell>
          <cell r="L2253" t="str">
            <v>NOD</v>
          </cell>
        </row>
        <row r="2254">
          <cell r="C2254" t="str">
            <v>USSHTC0059</v>
          </cell>
          <cell r="D2254" t="str">
            <v>CORE</v>
          </cell>
          <cell r="E2254" t="str">
            <v>CO25</v>
          </cell>
          <cell r="F2254">
            <v>2199</v>
          </cell>
          <cell r="G2254" t="str">
            <v>US</v>
          </cell>
          <cell r="H2254" t="str">
            <v>USPUSMSHT</v>
          </cell>
          <cell r="I2254" t="str">
            <v>USSHTC0059005</v>
          </cell>
          <cell r="J2254" t="str">
            <v>M</v>
          </cell>
          <cell r="K2254" t="str">
            <v>SHIRT</v>
          </cell>
          <cell r="L2254" t="str">
            <v>NOD</v>
          </cell>
        </row>
        <row r="2255">
          <cell r="C2255" t="str">
            <v>USSHTC0059</v>
          </cell>
          <cell r="D2255" t="str">
            <v>CORE</v>
          </cell>
          <cell r="E2255" t="str">
            <v>CO25</v>
          </cell>
          <cell r="F2255">
            <v>2199</v>
          </cell>
          <cell r="G2255" t="str">
            <v>US</v>
          </cell>
          <cell r="H2255" t="str">
            <v>USPUSMSHT</v>
          </cell>
          <cell r="I2255" t="str">
            <v>USSHTC0059006</v>
          </cell>
          <cell r="J2255" t="str">
            <v>S</v>
          </cell>
          <cell r="K2255" t="str">
            <v>SHIRT</v>
          </cell>
          <cell r="L2255" t="str">
            <v>NOD</v>
          </cell>
        </row>
        <row r="2256">
          <cell r="C2256" t="str">
            <v>USSHTC0059</v>
          </cell>
          <cell r="D2256" t="str">
            <v>CORE</v>
          </cell>
          <cell r="E2256" t="str">
            <v>CO25</v>
          </cell>
          <cell r="F2256">
            <v>2199</v>
          </cell>
          <cell r="G2256" t="str">
            <v>US</v>
          </cell>
          <cell r="H2256" t="str">
            <v>USPUSMSHT</v>
          </cell>
          <cell r="I2256" t="str">
            <v>USSHTC0059007</v>
          </cell>
          <cell r="J2256" t="str">
            <v>XL</v>
          </cell>
          <cell r="K2256" t="str">
            <v>SHIRT</v>
          </cell>
          <cell r="L2256" t="str">
            <v>NOD</v>
          </cell>
        </row>
        <row r="2257">
          <cell r="C2257" t="str">
            <v>USSHTC0059</v>
          </cell>
          <cell r="D2257" t="str">
            <v>CORE</v>
          </cell>
          <cell r="E2257" t="str">
            <v>CO25</v>
          </cell>
          <cell r="F2257">
            <v>2199</v>
          </cell>
          <cell r="G2257" t="str">
            <v>US</v>
          </cell>
          <cell r="H2257" t="str">
            <v>USPUSMSHT</v>
          </cell>
          <cell r="I2257" t="str">
            <v>USSHTC0059008</v>
          </cell>
          <cell r="J2257" t="str">
            <v>XXL</v>
          </cell>
          <cell r="K2257" t="str">
            <v>SHIRT</v>
          </cell>
          <cell r="L2257" t="str">
            <v>NOD</v>
          </cell>
        </row>
        <row r="2258">
          <cell r="C2258" t="str">
            <v>USSHTC0059H</v>
          </cell>
          <cell r="D2258" t="str">
            <v>CORE</v>
          </cell>
          <cell r="E2258" t="str">
            <v>CO25</v>
          </cell>
          <cell r="F2258">
            <v>2399</v>
          </cell>
          <cell r="G2258" t="str">
            <v>US</v>
          </cell>
          <cell r="H2258" t="str">
            <v>USPUSMSHT</v>
          </cell>
          <cell r="I2258" t="str">
            <v>USSHTC0059H001</v>
          </cell>
          <cell r="J2258" t="str">
            <v>3XL</v>
          </cell>
          <cell r="K2258" t="str">
            <v>SHIRT</v>
          </cell>
          <cell r="L2258" t="str">
            <v>NOD</v>
          </cell>
        </row>
        <row r="2259">
          <cell r="C2259" t="str">
            <v>USSHTC0059H</v>
          </cell>
          <cell r="D2259" t="str">
            <v>CORE</v>
          </cell>
          <cell r="E2259" t="str">
            <v>CO25</v>
          </cell>
          <cell r="F2259">
            <v>2399</v>
          </cell>
          <cell r="G2259" t="str">
            <v>US</v>
          </cell>
          <cell r="H2259" t="str">
            <v>USPUSMSHT</v>
          </cell>
          <cell r="I2259" t="str">
            <v>USSHTC0059H002</v>
          </cell>
          <cell r="J2259" t="str">
            <v>4XL</v>
          </cell>
          <cell r="K2259" t="str">
            <v>SHIRT</v>
          </cell>
          <cell r="L2259" t="str">
            <v>NOD</v>
          </cell>
        </row>
        <row r="2260">
          <cell r="C2260" t="str">
            <v>USSHTC0059H</v>
          </cell>
          <cell r="D2260" t="str">
            <v>CORE</v>
          </cell>
          <cell r="E2260" t="str">
            <v>CO25</v>
          </cell>
          <cell r="F2260">
            <v>2399</v>
          </cell>
          <cell r="G2260" t="str">
            <v>US</v>
          </cell>
          <cell r="H2260" t="str">
            <v>USPUSMSHT</v>
          </cell>
          <cell r="I2260" t="str">
            <v>USSHTC0059H003</v>
          </cell>
          <cell r="J2260" t="str">
            <v>5XL</v>
          </cell>
          <cell r="K2260" t="str">
            <v>SHIRT</v>
          </cell>
          <cell r="L2260" t="str">
            <v>NOD</v>
          </cell>
        </row>
        <row r="2261">
          <cell r="C2261" t="str">
            <v>USSHTC0059H</v>
          </cell>
          <cell r="D2261" t="str">
            <v>CORE</v>
          </cell>
          <cell r="E2261" t="str">
            <v>CO25</v>
          </cell>
          <cell r="F2261">
            <v>2199</v>
          </cell>
          <cell r="G2261" t="str">
            <v>US</v>
          </cell>
          <cell r="H2261" t="str">
            <v>USPUSMSHT</v>
          </cell>
          <cell r="I2261" t="str">
            <v>USSHTC0059H004</v>
          </cell>
          <cell r="J2261" t="str">
            <v>L</v>
          </cell>
          <cell r="K2261" t="str">
            <v>SHIRT</v>
          </cell>
          <cell r="L2261" t="str">
            <v>NOD</v>
          </cell>
        </row>
        <row r="2262">
          <cell r="C2262" t="str">
            <v>USSHTC0059H</v>
          </cell>
          <cell r="D2262" t="str">
            <v>CORE</v>
          </cell>
          <cell r="E2262" t="str">
            <v>CO25</v>
          </cell>
          <cell r="F2262">
            <v>2199</v>
          </cell>
          <cell r="G2262" t="str">
            <v>US</v>
          </cell>
          <cell r="H2262" t="str">
            <v>USPUSMSHT</v>
          </cell>
          <cell r="I2262" t="str">
            <v>USSHTC0059H005</v>
          </cell>
          <cell r="J2262" t="str">
            <v>M</v>
          </cell>
          <cell r="K2262" t="str">
            <v>SHIRT</v>
          </cell>
          <cell r="L2262" t="str">
            <v>NOD</v>
          </cell>
        </row>
        <row r="2263">
          <cell r="C2263" t="str">
            <v>USSHTC0059H</v>
          </cell>
          <cell r="D2263" t="str">
            <v>CORE</v>
          </cell>
          <cell r="E2263" t="str">
            <v>CO25</v>
          </cell>
          <cell r="F2263">
            <v>2199</v>
          </cell>
          <cell r="G2263" t="str">
            <v>US</v>
          </cell>
          <cell r="H2263" t="str">
            <v>USPUSMSHT</v>
          </cell>
          <cell r="I2263" t="str">
            <v>USSHTC0059H006</v>
          </cell>
          <cell r="J2263" t="str">
            <v>S</v>
          </cell>
          <cell r="K2263" t="str">
            <v>SHIRT</v>
          </cell>
          <cell r="L2263" t="str">
            <v>NOD</v>
          </cell>
        </row>
        <row r="2264">
          <cell r="C2264" t="str">
            <v>USSHTC0059H</v>
          </cell>
          <cell r="D2264" t="str">
            <v>CORE</v>
          </cell>
          <cell r="E2264" t="str">
            <v>CO25</v>
          </cell>
          <cell r="F2264">
            <v>2199</v>
          </cell>
          <cell r="G2264" t="str">
            <v>US</v>
          </cell>
          <cell r="H2264" t="str">
            <v>USPUSMSHT</v>
          </cell>
          <cell r="I2264" t="str">
            <v>USSHTC0059H007</v>
          </cell>
          <cell r="J2264" t="str">
            <v>XL</v>
          </cell>
          <cell r="K2264" t="str">
            <v>SHIRT</v>
          </cell>
          <cell r="L2264" t="str">
            <v>NOD</v>
          </cell>
        </row>
        <row r="2265">
          <cell r="C2265" t="str">
            <v>USSHTC0059H</v>
          </cell>
          <cell r="D2265" t="str">
            <v>CORE</v>
          </cell>
          <cell r="E2265" t="str">
            <v>CO25</v>
          </cell>
          <cell r="F2265">
            <v>2199</v>
          </cell>
          <cell r="G2265" t="str">
            <v>US</v>
          </cell>
          <cell r="H2265" t="str">
            <v>USPUSMSHT</v>
          </cell>
          <cell r="I2265" t="str">
            <v>USSHTC0059H008</v>
          </cell>
          <cell r="J2265" t="str">
            <v>XXL</v>
          </cell>
          <cell r="K2265" t="str">
            <v>SHIRT</v>
          </cell>
          <cell r="L2265" t="str">
            <v>NOD</v>
          </cell>
        </row>
        <row r="2266">
          <cell r="C2266" t="str">
            <v>USSHTC0061</v>
          </cell>
          <cell r="D2266" t="str">
            <v>CORE</v>
          </cell>
          <cell r="E2266" t="str">
            <v>CO25</v>
          </cell>
          <cell r="F2266">
            <v>2399</v>
          </cell>
          <cell r="G2266" t="str">
            <v>US</v>
          </cell>
          <cell r="H2266" t="str">
            <v>USPUSMSHT</v>
          </cell>
          <cell r="I2266" t="str">
            <v>USSHTC0061001</v>
          </cell>
          <cell r="J2266" t="str">
            <v>3XL</v>
          </cell>
          <cell r="K2266" t="str">
            <v>SHIRT</v>
          </cell>
          <cell r="L2266" t="str">
            <v>NOD</v>
          </cell>
        </row>
        <row r="2267">
          <cell r="C2267" t="str">
            <v>USSHTC0061</v>
          </cell>
          <cell r="D2267" t="str">
            <v>CORE</v>
          </cell>
          <cell r="E2267" t="str">
            <v>CO25</v>
          </cell>
          <cell r="F2267">
            <v>2399</v>
          </cell>
          <cell r="G2267" t="str">
            <v>US</v>
          </cell>
          <cell r="H2267" t="str">
            <v>USPUSMSHT</v>
          </cell>
          <cell r="I2267" t="str">
            <v>USSHTC0061002</v>
          </cell>
          <cell r="J2267" t="str">
            <v>4XL</v>
          </cell>
          <cell r="K2267" t="str">
            <v>SHIRT</v>
          </cell>
          <cell r="L2267" t="str">
            <v>NOD</v>
          </cell>
        </row>
        <row r="2268">
          <cell r="C2268" t="str">
            <v>USSHTC0061</v>
          </cell>
          <cell r="D2268" t="str">
            <v>CORE</v>
          </cell>
          <cell r="E2268" t="str">
            <v>CO25</v>
          </cell>
          <cell r="F2268">
            <v>2399</v>
          </cell>
          <cell r="G2268" t="str">
            <v>US</v>
          </cell>
          <cell r="H2268" t="str">
            <v>USPUSMSHT</v>
          </cell>
          <cell r="I2268" t="str">
            <v>USSHTC0061003</v>
          </cell>
          <cell r="J2268" t="str">
            <v>5XL</v>
          </cell>
          <cell r="K2268" t="str">
            <v>SHIRT</v>
          </cell>
          <cell r="L2268" t="str">
            <v>NOD</v>
          </cell>
        </row>
        <row r="2269">
          <cell r="C2269" t="str">
            <v>USSHTC0061</v>
          </cell>
          <cell r="D2269" t="str">
            <v>CORE</v>
          </cell>
          <cell r="E2269" t="str">
            <v>CO25</v>
          </cell>
          <cell r="F2269">
            <v>2199</v>
          </cell>
          <cell r="G2269" t="str">
            <v>US</v>
          </cell>
          <cell r="H2269" t="str">
            <v>USPUSMSHT</v>
          </cell>
          <cell r="I2269" t="str">
            <v>USSHTC0061004</v>
          </cell>
          <cell r="J2269" t="str">
            <v>L</v>
          </cell>
          <cell r="K2269" t="str">
            <v>SHIRT</v>
          </cell>
          <cell r="L2269" t="str">
            <v>NOD</v>
          </cell>
        </row>
        <row r="2270">
          <cell r="C2270" t="str">
            <v>USSHTC0061</v>
          </cell>
          <cell r="D2270" t="str">
            <v>CORE</v>
          </cell>
          <cell r="E2270" t="str">
            <v>CO25</v>
          </cell>
          <cell r="F2270">
            <v>2199</v>
          </cell>
          <cell r="G2270" t="str">
            <v>US</v>
          </cell>
          <cell r="H2270" t="str">
            <v>USPUSMSHT</v>
          </cell>
          <cell r="I2270" t="str">
            <v>USSHTC0061005</v>
          </cell>
          <cell r="J2270" t="str">
            <v>M</v>
          </cell>
          <cell r="K2270" t="str">
            <v>SHIRT</v>
          </cell>
          <cell r="L2270" t="str">
            <v>NOD</v>
          </cell>
        </row>
        <row r="2271">
          <cell r="C2271" t="str">
            <v>USSHTC0061</v>
          </cell>
          <cell r="D2271" t="str">
            <v>CORE</v>
          </cell>
          <cell r="E2271" t="str">
            <v>CO25</v>
          </cell>
          <cell r="F2271">
            <v>2199</v>
          </cell>
          <cell r="G2271" t="str">
            <v>US</v>
          </cell>
          <cell r="H2271" t="str">
            <v>USPUSMSHT</v>
          </cell>
          <cell r="I2271" t="str">
            <v>USSHTC0061006</v>
          </cell>
          <cell r="J2271" t="str">
            <v>S</v>
          </cell>
          <cell r="K2271" t="str">
            <v>SHIRT</v>
          </cell>
          <cell r="L2271" t="str">
            <v>NOD</v>
          </cell>
        </row>
        <row r="2272">
          <cell r="C2272" t="str">
            <v>USSHTC0061</v>
          </cell>
          <cell r="D2272" t="str">
            <v>CORE</v>
          </cell>
          <cell r="E2272" t="str">
            <v>CO25</v>
          </cell>
          <cell r="F2272">
            <v>2199</v>
          </cell>
          <cell r="G2272" t="str">
            <v>US</v>
          </cell>
          <cell r="H2272" t="str">
            <v>USPUSMSHT</v>
          </cell>
          <cell r="I2272" t="str">
            <v>USSHTC0061007</v>
          </cell>
          <cell r="J2272" t="str">
            <v>XL</v>
          </cell>
          <cell r="K2272" t="str">
            <v>SHIRT</v>
          </cell>
          <cell r="L2272" t="str">
            <v>NOD</v>
          </cell>
        </row>
        <row r="2273">
          <cell r="C2273" t="str">
            <v>USSHTC0061</v>
          </cell>
          <cell r="D2273" t="str">
            <v>CORE</v>
          </cell>
          <cell r="E2273" t="str">
            <v>CO25</v>
          </cell>
          <cell r="F2273">
            <v>2199</v>
          </cell>
          <cell r="G2273" t="str">
            <v>US</v>
          </cell>
          <cell r="H2273" t="str">
            <v>USPUSMSHT</v>
          </cell>
          <cell r="I2273" t="str">
            <v>USSHTC0061008</v>
          </cell>
          <cell r="J2273" t="str">
            <v>XXL</v>
          </cell>
          <cell r="K2273" t="str">
            <v>SHIRT</v>
          </cell>
          <cell r="L2273" t="str">
            <v>NOD</v>
          </cell>
        </row>
        <row r="2274">
          <cell r="C2274" t="str">
            <v>USSHTC0063</v>
          </cell>
          <cell r="D2274" t="str">
            <v>CORE</v>
          </cell>
          <cell r="E2274" t="str">
            <v>CO25</v>
          </cell>
          <cell r="F2274">
            <v>2399</v>
          </cell>
          <cell r="G2274" t="str">
            <v>US</v>
          </cell>
          <cell r="H2274" t="str">
            <v>USPUSMSHT</v>
          </cell>
          <cell r="I2274" t="str">
            <v>USSHTC0063001</v>
          </cell>
          <cell r="J2274" t="str">
            <v>3XL</v>
          </cell>
          <cell r="K2274" t="str">
            <v>SHIRT</v>
          </cell>
          <cell r="L2274" t="str">
            <v>NOD</v>
          </cell>
        </row>
        <row r="2275">
          <cell r="C2275" t="str">
            <v>USSHTC0063</v>
          </cell>
          <cell r="D2275" t="str">
            <v>CORE</v>
          </cell>
          <cell r="E2275" t="str">
            <v>CO25</v>
          </cell>
          <cell r="F2275">
            <v>2399</v>
          </cell>
          <cell r="G2275" t="str">
            <v>US</v>
          </cell>
          <cell r="H2275" t="str">
            <v>USPUSMSHT</v>
          </cell>
          <cell r="I2275" t="str">
            <v>USSHTC0063002</v>
          </cell>
          <cell r="J2275" t="str">
            <v>4XL</v>
          </cell>
          <cell r="K2275" t="str">
            <v>SHIRT</v>
          </cell>
          <cell r="L2275" t="str">
            <v>NOD</v>
          </cell>
        </row>
        <row r="2276">
          <cell r="C2276" t="str">
            <v>USSHTC0063</v>
          </cell>
          <cell r="D2276" t="str">
            <v>CORE</v>
          </cell>
          <cell r="E2276" t="str">
            <v>CO25</v>
          </cell>
          <cell r="F2276">
            <v>2399</v>
          </cell>
          <cell r="G2276" t="str">
            <v>US</v>
          </cell>
          <cell r="H2276" t="str">
            <v>USPUSMSHT</v>
          </cell>
          <cell r="I2276" t="str">
            <v>USSHTC0063003</v>
          </cell>
          <cell r="J2276" t="str">
            <v>5XL</v>
          </cell>
          <cell r="K2276" t="str">
            <v>SHIRT</v>
          </cell>
          <cell r="L2276" t="str">
            <v>NOD</v>
          </cell>
        </row>
        <row r="2277">
          <cell r="C2277" t="str">
            <v>USSHTC0063</v>
          </cell>
          <cell r="D2277" t="str">
            <v>CORE</v>
          </cell>
          <cell r="E2277" t="str">
            <v>CO25</v>
          </cell>
          <cell r="F2277">
            <v>2199</v>
          </cell>
          <cell r="G2277" t="str">
            <v>US</v>
          </cell>
          <cell r="H2277" t="str">
            <v>USPUSMSHT</v>
          </cell>
          <cell r="I2277" t="str">
            <v>USSHTC0063004</v>
          </cell>
          <cell r="J2277" t="str">
            <v>L</v>
          </cell>
          <cell r="K2277" t="str">
            <v>SHIRT</v>
          </cell>
          <cell r="L2277" t="str">
            <v>NOD</v>
          </cell>
        </row>
        <row r="2278">
          <cell r="C2278" t="str">
            <v>USSHTC0063</v>
          </cell>
          <cell r="D2278" t="str">
            <v>CORE</v>
          </cell>
          <cell r="E2278" t="str">
            <v>CO25</v>
          </cell>
          <cell r="F2278">
            <v>2199</v>
          </cell>
          <cell r="G2278" t="str">
            <v>US</v>
          </cell>
          <cell r="H2278" t="str">
            <v>USPUSMSHT</v>
          </cell>
          <cell r="I2278" t="str">
            <v>USSHTC0063005</v>
          </cell>
          <cell r="J2278" t="str">
            <v>M</v>
          </cell>
          <cell r="K2278" t="str">
            <v>SHIRT</v>
          </cell>
          <cell r="L2278" t="str">
            <v>NOD</v>
          </cell>
        </row>
        <row r="2279">
          <cell r="C2279" t="str">
            <v>USSHTC0063</v>
          </cell>
          <cell r="D2279" t="str">
            <v>CORE</v>
          </cell>
          <cell r="E2279" t="str">
            <v>CO25</v>
          </cell>
          <cell r="F2279">
            <v>2199</v>
          </cell>
          <cell r="G2279" t="str">
            <v>US</v>
          </cell>
          <cell r="H2279" t="str">
            <v>USPUSMSHT</v>
          </cell>
          <cell r="I2279" t="str">
            <v>USSHTC0063006</v>
          </cell>
          <cell r="J2279" t="str">
            <v>S</v>
          </cell>
          <cell r="K2279" t="str">
            <v>SHIRT</v>
          </cell>
          <cell r="L2279" t="str">
            <v>NOD</v>
          </cell>
        </row>
        <row r="2280">
          <cell r="C2280" t="str">
            <v>USSHTC0063</v>
          </cell>
          <cell r="D2280" t="str">
            <v>CORE</v>
          </cell>
          <cell r="E2280" t="str">
            <v>CO25</v>
          </cell>
          <cell r="F2280">
            <v>2199</v>
          </cell>
          <cell r="G2280" t="str">
            <v>US</v>
          </cell>
          <cell r="H2280" t="str">
            <v>USPUSMSHT</v>
          </cell>
          <cell r="I2280" t="str">
            <v>USSHTC0063007</v>
          </cell>
          <cell r="J2280" t="str">
            <v>XL</v>
          </cell>
          <cell r="K2280" t="str">
            <v>SHIRT</v>
          </cell>
          <cell r="L2280" t="str">
            <v>NOD</v>
          </cell>
        </row>
        <row r="2281">
          <cell r="C2281" t="str">
            <v>USSHTC0063</v>
          </cell>
          <cell r="D2281" t="str">
            <v>CORE</v>
          </cell>
          <cell r="E2281" t="str">
            <v>CO25</v>
          </cell>
          <cell r="F2281">
            <v>2199</v>
          </cell>
          <cell r="G2281" t="str">
            <v>US</v>
          </cell>
          <cell r="H2281" t="str">
            <v>USPUSMSHT</v>
          </cell>
          <cell r="I2281" t="str">
            <v>USSHTC0063008</v>
          </cell>
          <cell r="J2281" t="str">
            <v>XXL</v>
          </cell>
          <cell r="K2281" t="str">
            <v>SHIRT</v>
          </cell>
          <cell r="L2281" t="str">
            <v>NOD</v>
          </cell>
        </row>
        <row r="2282">
          <cell r="C2282" t="str">
            <v>USSHTC0064</v>
          </cell>
          <cell r="D2282" t="str">
            <v>CORE</v>
          </cell>
          <cell r="E2282" t="str">
            <v>CO24</v>
          </cell>
          <cell r="F2282">
            <v>2399</v>
          </cell>
          <cell r="G2282" t="str">
            <v>US</v>
          </cell>
          <cell r="H2282" t="str">
            <v>USPUSMSHT</v>
          </cell>
          <cell r="I2282" t="str">
            <v>USSHTC0064001</v>
          </cell>
          <cell r="J2282" t="str">
            <v>3XL</v>
          </cell>
          <cell r="K2282" t="str">
            <v>SHIRT</v>
          </cell>
          <cell r="L2282" t="str">
            <v>NOD</v>
          </cell>
        </row>
        <row r="2283">
          <cell r="C2283" t="str">
            <v>USSHTC0064</v>
          </cell>
          <cell r="D2283" t="str">
            <v>CORE</v>
          </cell>
          <cell r="E2283" t="str">
            <v>CO24</v>
          </cell>
          <cell r="F2283">
            <v>2399</v>
          </cell>
          <cell r="G2283" t="str">
            <v>US</v>
          </cell>
          <cell r="H2283" t="str">
            <v>USPUSMSHT</v>
          </cell>
          <cell r="I2283" t="str">
            <v>USSHTC0064002</v>
          </cell>
          <cell r="J2283" t="str">
            <v>4XL</v>
          </cell>
          <cell r="K2283" t="str">
            <v>SHIRT</v>
          </cell>
          <cell r="L2283" t="str">
            <v>NOD</v>
          </cell>
        </row>
        <row r="2284">
          <cell r="C2284" t="str">
            <v>USSHTC0064</v>
          </cell>
          <cell r="D2284" t="str">
            <v>CORE</v>
          </cell>
          <cell r="E2284" t="str">
            <v>CO24</v>
          </cell>
          <cell r="F2284">
            <v>2399</v>
          </cell>
          <cell r="G2284" t="str">
            <v>US</v>
          </cell>
          <cell r="H2284" t="str">
            <v>USPUSMSHT</v>
          </cell>
          <cell r="I2284" t="str">
            <v>USSHTC0064003</v>
          </cell>
          <cell r="J2284" t="str">
            <v>5XL</v>
          </cell>
          <cell r="K2284" t="str">
            <v>SHIRT</v>
          </cell>
          <cell r="L2284" t="str">
            <v>NOD</v>
          </cell>
        </row>
        <row r="2285">
          <cell r="C2285" t="str">
            <v>USSHTC0064</v>
          </cell>
          <cell r="D2285" t="str">
            <v>CORE</v>
          </cell>
          <cell r="E2285" t="str">
            <v>CO24</v>
          </cell>
          <cell r="F2285">
            <v>2199</v>
          </cell>
          <cell r="G2285" t="str">
            <v>US</v>
          </cell>
          <cell r="H2285" t="str">
            <v>USPUSMSHT</v>
          </cell>
          <cell r="I2285" t="str">
            <v>USSHTC0064004</v>
          </cell>
          <cell r="J2285" t="str">
            <v>L</v>
          </cell>
          <cell r="K2285" t="str">
            <v>SHIRT</v>
          </cell>
          <cell r="L2285" t="str">
            <v>NOD</v>
          </cell>
        </row>
        <row r="2286">
          <cell r="C2286" t="str">
            <v>USSHTC0064</v>
          </cell>
          <cell r="D2286" t="str">
            <v>CORE</v>
          </cell>
          <cell r="E2286" t="str">
            <v>CO24</v>
          </cell>
          <cell r="F2286">
            <v>2199</v>
          </cell>
          <cell r="G2286" t="str">
            <v>US</v>
          </cell>
          <cell r="H2286" t="str">
            <v>USPUSMSHT</v>
          </cell>
          <cell r="I2286" t="str">
            <v>USSHTC0064005</v>
          </cell>
          <cell r="J2286" t="str">
            <v>M</v>
          </cell>
          <cell r="K2286" t="str">
            <v>SHIRT</v>
          </cell>
          <cell r="L2286" t="str">
            <v>NOD</v>
          </cell>
        </row>
        <row r="2287">
          <cell r="C2287" t="str">
            <v>USSHTC0064</v>
          </cell>
          <cell r="D2287" t="str">
            <v>CORE</v>
          </cell>
          <cell r="E2287" t="str">
            <v>CO24</v>
          </cell>
          <cell r="F2287">
            <v>2199</v>
          </cell>
          <cell r="G2287" t="str">
            <v>US</v>
          </cell>
          <cell r="H2287" t="str">
            <v>USPUSMSHT</v>
          </cell>
          <cell r="I2287" t="str">
            <v>USSHTC0064006</v>
          </cell>
          <cell r="J2287" t="str">
            <v>S</v>
          </cell>
          <cell r="K2287" t="str">
            <v>SHIRT</v>
          </cell>
          <cell r="L2287" t="str">
            <v>NOD</v>
          </cell>
        </row>
        <row r="2288">
          <cell r="C2288" t="str">
            <v>USSHTC0064</v>
          </cell>
          <cell r="D2288" t="str">
            <v>CORE</v>
          </cell>
          <cell r="E2288" t="str">
            <v>CO24</v>
          </cell>
          <cell r="F2288">
            <v>2199</v>
          </cell>
          <cell r="G2288" t="str">
            <v>US</v>
          </cell>
          <cell r="H2288" t="str">
            <v>USPUSMSHT</v>
          </cell>
          <cell r="I2288" t="str">
            <v>USSHTC0064007</v>
          </cell>
          <cell r="J2288" t="str">
            <v>XL</v>
          </cell>
          <cell r="K2288" t="str">
            <v>SHIRT</v>
          </cell>
          <cell r="L2288" t="str">
            <v>NOD</v>
          </cell>
        </row>
        <row r="2289">
          <cell r="C2289" t="str">
            <v>USSHTC0064</v>
          </cell>
          <cell r="D2289" t="str">
            <v>CORE</v>
          </cell>
          <cell r="E2289" t="str">
            <v>CO24</v>
          </cell>
          <cell r="F2289">
            <v>2199</v>
          </cell>
          <cell r="G2289" t="str">
            <v>US</v>
          </cell>
          <cell r="H2289" t="str">
            <v>USPUSMSHT</v>
          </cell>
          <cell r="I2289" t="str">
            <v>USSHTC0064008</v>
          </cell>
          <cell r="J2289" t="str">
            <v>XXL</v>
          </cell>
          <cell r="K2289" t="str">
            <v>SHIRT</v>
          </cell>
          <cell r="L2289" t="str">
            <v>NOD</v>
          </cell>
        </row>
        <row r="2290">
          <cell r="C2290" t="str">
            <v>USSHTC0065</v>
          </cell>
          <cell r="D2290" t="str">
            <v>CORE</v>
          </cell>
          <cell r="E2290" t="str">
            <v>CO25</v>
          </cell>
          <cell r="F2290">
            <v>2399</v>
          </cell>
          <cell r="G2290" t="str">
            <v>US</v>
          </cell>
          <cell r="H2290" t="str">
            <v>USPUSMSHT</v>
          </cell>
          <cell r="I2290" t="str">
            <v>USSHTC0065001</v>
          </cell>
          <cell r="J2290" t="str">
            <v>3XL</v>
          </cell>
          <cell r="K2290" t="str">
            <v>SHIRT</v>
          </cell>
          <cell r="L2290" t="str">
            <v>NOD</v>
          </cell>
        </row>
        <row r="2291">
          <cell r="C2291" t="str">
            <v>USSHTC0065</v>
          </cell>
          <cell r="D2291" t="str">
            <v>CORE</v>
          </cell>
          <cell r="E2291" t="str">
            <v>CO25</v>
          </cell>
          <cell r="F2291">
            <v>2399</v>
          </cell>
          <cell r="G2291" t="str">
            <v>US</v>
          </cell>
          <cell r="H2291" t="str">
            <v>USPUSMSHT</v>
          </cell>
          <cell r="I2291" t="str">
            <v>USSHTC0065002</v>
          </cell>
          <cell r="J2291" t="str">
            <v>4XL</v>
          </cell>
          <cell r="K2291" t="str">
            <v>SHIRT</v>
          </cell>
          <cell r="L2291" t="str">
            <v>NOD</v>
          </cell>
        </row>
        <row r="2292">
          <cell r="C2292" t="str">
            <v>USSHTC0065</v>
          </cell>
          <cell r="D2292" t="str">
            <v>CORE</v>
          </cell>
          <cell r="E2292" t="str">
            <v>CO25</v>
          </cell>
          <cell r="F2292">
            <v>2399</v>
          </cell>
          <cell r="G2292" t="str">
            <v>US</v>
          </cell>
          <cell r="H2292" t="str">
            <v>USPUSMSHT</v>
          </cell>
          <cell r="I2292" t="str">
            <v>USSHTC0065003</v>
          </cell>
          <cell r="J2292" t="str">
            <v>5XL</v>
          </cell>
          <cell r="K2292" t="str">
            <v>SHIRT</v>
          </cell>
          <cell r="L2292" t="str">
            <v>NOD</v>
          </cell>
        </row>
        <row r="2293">
          <cell r="C2293" t="str">
            <v>USSHTC0065</v>
          </cell>
          <cell r="D2293" t="str">
            <v>CORE</v>
          </cell>
          <cell r="E2293" t="str">
            <v>CO25</v>
          </cell>
          <cell r="F2293">
            <v>2199</v>
          </cell>
          <cell r="G2293" t="str">
            <v>US</v>
          </cell>
          <cell r="H2293" t="str">
            <v>USPUSMSHT</v>
          </cell>
          <cell r="I2293" t="str">
            <v>USSHTC0065004</v>
          </cell>
          <cell r="J2293" t="str">
            <v>L</v>
          </cell>
          <cell r="K2293" t="str">
            <v>SHIRT</v>
          </cell>
          <cell r="L2293" t="str">
            <v>NOD</v>
          </cell>
        </row>
        <row r="2294">
          <cell r="C2294" t="str">
            <v>USSHTC0065</v>
          </cell>
          <cell r="D2294" t="str">
            <v>CORE</v>
          </cell>
          <cell r="E2294" t="str">
            <v>CO25</v>
          </cell>
          <cell r="F2294">
            <v>2199</v>
          </cell>
          <cell r="G2294" t="str">
            <v>US</v>
          </cell>
          <cell r="H2294" t="str">
            <v>USPUSMSHT</v>
          </cell>
          <cell r="I2294" t="str">
            <v>USSHTC0065005</v>
          </cell>
          <cell r="J2294" t="str">
            <v>M</v>
          </cell>
          <cell r="K2294" t="str">
            <v>SHIRT</v>
          </cell>
          <cell r="L2294" t="str">
            <v>NOD</v>
          </cell>
        </row>
        <row r="2295">
          <cell r="C2295" t="str">
            <v>USSHTC0065</v>
          </cell>
          <cell r="D2295" t="str">
            <v>CORE</v>
          </cell>
          <cell r="E2295" t="str">
            <v>CO25</v>
          </cell>
          <cell r="F2295">
            <v>2199</v>
          </cell>
          <cell r="G2295" t="str">
            <v>US</v>
          </cell>
          <cell r="H2295" t="str">
            <v>USPUSMSHT</v>
          </cell>
          <cell r="I2295" t="str">
            <v>USSHTC0065006</v>
          </cell>
          <cell r="J2295" t="str">
            <v>S</v>
          </cell>
          <cell r="K2295" t="str">
            <v>SHIRT</v>
          </cell>
          <cell r="L2295" t="str">
            <v>NOD</v>
          </cell>
        </row>
        <row r="2296">
          <cell r="C2296" t="str">
            <v>USSHTC0065</v>
          </cell>
          <cell r="D2296" t="str">
            <v>CORE</v>
          </cell>
          <cell r="E2296" t="str">
            <v>CO25</v>
          </cell>
          <cell r="F2296">
            <v>2199</v>
          </cell>
          <cell r="G2296" t="str">
            <v>US</v>
          </cell>
          <cell r="H2296" t="str">
            <v>USPUSMSHT</v>
          </cell>
          <cell r="I2296" t="str">
            <v>USSHTC0065007</v>
          </cell>
          <cell r="J2296" t="str">
            <v>XL</v>
          </cell>
          <cell r="K2296" t="str">
            <v>SHIRT</v>
          </cell>
          <cell r="L2296" t="str">
            <v>NOD</v>
          </cell>
        </row>
        <row r="2297">
          <cell r="C2297" t="str">
            <v>USSHTC0065</v>
          </cell>
          <cell r="D2297" t="str">
            <v>CORE</v>
          </cell>
          <cell r="E2297" t="str">
            <v>CO25</v>
          </cell>
          <cell r="F2297">
            <v>2199</v>
          </cell>
          <cell r="G2297" t="str">
            <v>US</v>
          </cell>
          <cell r="H2297" t="str">
            <v>USPUSMSHT</v>
          </cell>
          <cell r="I2297" t="str">
            <v>USSHTC0065008</v>
          </cell>
          <cell r="J2297" t="str">
            <v>XXL</v>
          </cell>
          <cell r="K2297" t="str">
            <v>SHIRT</v>
          </cell>
          <cell r="L2297" t="str">
            <v>NOD</v>
          </cell>
        </row>
        <row r="2298">
          <cell r="C2298" t="str">
            <v>USSHTC0066</v>
          </cell>
          <cell r="D2298" t="str">
            <v>CORE</v>
          </cell>
          <cell r="E2298" t="str">
            <v>CO25</v>
          </cell>
          <cell r="F2298">
            <v>2399</v>
          </cell>
          <cell r="G2298" t="str">
            <v>US</v>
          </cell>
          <cell r="H2298" t="str">
            <v>USPUSMSHT</v>
          </cell>
          <cell r="I2298" t="str">
            <v>USSHTC0066001</v>
          </cell>
          <cell r="J2298" t="str">
            <v>3XL</v>
          </cell>
          <cell r="K2298" t="str">
            <v>SHIRT</v>
          </cell>
          <cell r="L2298" t="str">
            <v>NOD</v>
          </cell>
        </row>
        <row r="2299">
          <cell r="C2299" t="str">
            <v>USSHTC0066</v>
          </cell>
          <cell r="D2299" t="str">
            <v>CORE</v>
          </cell>
          <cell r="E2299" t="str">
            <v>CO25</v>
          </cell>
          <cell r="F2299">
            <v>2399</v>
          </cell>
          <cell r="G2299" t="str">
            <v>US</v>
          </cell>
          <cell r="H2299" t="str">
            <v>USPUSMSHT</v>
          </cell>
          <cell r="I2299" t="str">
            <v>USSHTC0066002</v>
          </cell>
          <cell r="J2299" t="str">
            <v>4XL</v>
          </cell>
          <cell r="K2299" t="str">
            <v>SHIRT</v>
          </cell>
          <cell r="L2299" t="str">
            <v>NOD</v>
          </cell>
        </row>
        <row r="2300">
          <cell r="C2300" t="str">
            <v>USSHTC0066</v>
          </cell>
          <cell r="D2300" t="str">
            <v>CORE</v>
          </cell>
          <cell r="E2300" t="str">
            <v>CO25</v>
          </cell>
          <cell r="F2300">
            <v>2399</v>
          </cell>
          <cell r="G2300" t="str">
            <v>US</v>
          </cell>
          <cell r="H2300" t="str">
            <v>USPUSMSHT</v>
          </cell>
          <cell r="I2300" t="str">
            <v>USSHTC0066003</v>
          </cell>
          <cell r="J2300" t="str">
            <v>5XL</v>
          </cell>
          <cell r="K2300" t="str">
            <v>SHIRT</v>
          </cell>
          <cell r="L2300" t="str">
            <v>NOD</v>
          </cell>
        </row>
        <row r="2301">
          <cell r="C2301" t="str">
            <v>USSHTC0066</v>
          </cell>
          <cell r="D2301" t="str">
            <v>CORE</v>
          </cell>
          <cell r="E2301" t="str">
            <v>CO25</v>
          </cell>
          <cell r="F2301">
            <v>2199</v>
          </cell>
          <cell r="G2301" t="str">
            <v>US</v>
          </cell>
          <cell r="H2301" t="str">
            <v>USPUSMSHT</v>
          </cell>
          <cell r="I2301" t="str">
            <v>USSHTC0066004</v>
          </cell>
          <cell r="J2301" t="str">
            <v>L</v>
          </cell>
          <cell r="K2301" t="str">
            <v>SHIRT</v>
          </cell>
          <cell r="L2301" t="str">
            <v>NOD</v>
          </cell>
        </row>
        <row r="2302">
          <cell r="C2302" t="str">
            <v>USSHTC0066</v>
          </cell>
          <cell r="D2302" t="str">
            <v>CORE</v>
          </cell>
          <cell r="E2302" t="str">
            <v>CO25</v>
          </cell>
          <cell r="F2302">
            <v>2199</v>
          </cell>
          <cell r="G2302" t="str">
            <v>US</v>
          </cell>
          <cell r="H2302" t="str">
            <v>USPUSMSHT</v>
          </cell>
          <cell r="I2302" t="str">
            <v>USSHTC0066005</v>
          </cell>
          <cell r="J2302" t="str">
            <v>M</v>
          </cell>
          <cell r="K2302" t="str">
            <v>SHIRT</v>
          </cell>
          <cell r="L2302" t="str">
            <v>NOD</v>
          </cell>
        </row>
        <row r="2303">
          <cell r="C2303" t="str">
            <v>USSHTC0066</v>
          </cell>
          <cell r="D2303" t="str">
            <v>CORE</v>
          </cell>
          <cell r="E2303" t="str">
            <v>CO25</v>
          </cell>
          <cell r="F2303">
            <v>2199</v>
          </cell>
          <cell r="G2303" t="str">
            <v>US</v>
          </cell>
          <cell r="H2303" t="str">
            <v>USPUSMSHT</v>
          </cell>
          <cell r="I2303" t="str">
            <v>USSHTC0066006</v>
          </cell>
          <cell r="J2303" t="str">
            <v>S</v>
          </cell>
          <cell r="K2303" t="str">
            <v>SHIRT</v>
          </cell>
          <cell r="L2303" t="str">
            <v>NOD</v>
          </cell>
        </row>
        <row r="2304">
          <cell r="C2304" t="str">
            <v>USSHTC0066</v>
          </cell>
          <cell r="D2304" t="str">
            <v>CORE</v>
          </cell>
          <cell r="E2304" t="str">
            <v>CO25</v>
          </cell>
          <cell r="F2304">
            <v>2199</v>
          </cell>
          <cell r="G2304" t="str">
            <v>US</v>
          </cell>
          <cell r="H2304" t="str">
            <v>USPUSMSHT</v>
          </cell>
          <cell r="I2304" t="str">
            <v>USSHTC0066007</v>
          </cell>
          <cell r="J2304" t="str">
            <v>XL</v>
          </cell>
          <cell r="K2304" t="str">
            <v>SHIRT</v>
          </cell>
          <cell r="L2304" t="str">
            <v>NOD</v>
          </cell>
        </row>
        <row r="2305">
          <cell r="C2305" t="str">
            <v>USSHTC0066</v>
          </cell>
          <cell r="D2305" t="str">
            <v>CORE</v>
          </cell>
          <cell r="E2305" t="str">
            <v>CO25</v>
          </cell>
          <cell r="F2305">
            <v>2199</v>
          </cell>
          <cell r="G2305" t="str">
            <v>US</v>
          </cell>
          <cell r="H2305" t="str">
            <v>USPUSMSHT</v>
          </cell>
          <cell r="I2305" t="str">
            <v>USSHTC0066008</v>
          </cell>
          <cell r="J2305" t="str">
            <v>XXL</v>
          </cell>
          <cell r="K2305" t="str">
            <v>SHIRT</v>
          </cell>
          <cell r="L2305" t="str">
            <v>NOD</v>
          </cell>
        </row>
        <row r="2306">
          <cell r="C2306" t="str">
            <v>USSHTC0066H</v>
          </cell>
          <cell r="D2306" t="str">
            <v>CORE</v>
          </cell>
          <cell r="E2306" t="str">
            <v>CO25</v>
          </cell>
          <cell r="F2306">
            <v>2399</v>
          </cell>
          <cell r="G2306" t="str">
            <v>US</v>
          </cell>
          <cell r="H2306" t="str">
            <v>USPUSMSHT</v>
          </cell>
          <cell r="I2306" t="str">
            <v>USSHTC0066H001</v>
          </cell>
          <cell r="J2306" t="str">
            <v>3XL</v>
          </cell>
          <cell r="K2306" t="str">
            <v>SHIRT</v>
          </cell>
          <cell r="L2306" t="str">
            <v>NOD</v>
          </cell>
        </row>
        <row r="2307">
          <cell r="C2307" t="str">
            <v>USSHTC0066H</v>
          </cell>
          <cell r="D2307" t="str">
            <v>CORE</v>
          </cell>
          <cell r="E2307" t="str">
            <v>CO25</v>
          </cell>
          <cell r="F2307">
            <v>2399</v>
          </cell>
          <cell r="G2307" t="str">
            <v>US</v>
          </cell>
          <cell r="H2307" t="str">
            <v>USPUSMSHT</v>
          </cell>
          <cell r="I2307" t="str">
            <v>USSHTC0066H002</v>
          </cell>
          <cell r="J2307" t="str">
            <v>4XL</v>
          </cell>
          <cell r="K2307" t="str">
            <v>SHIRT</v>
          </cell>
          <cell r="L2307" t="str">
            <v>NOD</v>
          </cell>
        </row>
        <row r="2308">
          <cell r="C2308" t="str">
            <v>USSHTC0066H</v>
          </cell>
          <cell r="D2308" t="str">
            <v>CORE</v>
          </cell>
          <cell r="E2308" t="str">
            <v>CO25</v>
          </cell>
          <cell r="F2308">
            <v>2399</v>
          </cell>
          <cell r="G2308" t="str">
            <v>US</v>
          </cell>
          <cell r="H2308" t="str">
            <v>USPUSMSHT</v>
          </cell>
          <cell r="I2308" t="str">
            <v>USSHTC0066H003</v>
          </cell>
          <cell r="J2308" t="str">
            <v>5XL</v>
          </cell>
          <cell r="K2308" t="str">
            <v>SHIRT</v>
          </cell>
          <cell r="L2308" t="str">
            <v>NOD</v>
          </cell>
        </row>
        <row r="2309">
          <cell r="C2309" t="str">
            <v>USSHTC0066H</v>
          </cell>
          <cell r="D2309" t="str">
            <v>CORE</v>
          </cell>
          <cell r="E2309" t="str">
            <v>CO25</v>
          </cell>
          <cell r="F2309">
            <v>2199</v>
          </cell>
          <cell r="G2309" t="str">
            <v>US</v>
          </cell>
          <cell r="H2309" t="str">
            <v>USPUSMSHT</v>
          </cell>
          <cell r="I2309" t="str">
            <v>USSHTC0066H004</v>
          </cell>
          <cell r="J2309" t="str">
            <v>L</v>
          </cell>
          <cell r="K2309" t="str">
            <v>SHIRT</v>
          </cell>
          <cell r="L2309" t="str">
            <v>NOD</v>
          </cell>
        </row>
        <row r="2310">
          <cell r="C2310" t="str">
            <v>USSHTC0066H</v>
          </cell>
          <cell r="D2310" t="str">
            <v>CORE</v>
          </cell>
          <cell r="E2310" t="str">
            <v>CO25</v>
          </cell>
          <cell r="F2310">
            <v>2199</v>
          </cell>
          <cell r="G2310" t="str">
            <v>US</v>
          </cell>
          <cell r="H2310" t="str">
            <v>USPUSMSHT</v>
          </cell>
          <cell r="I2310" t="str">
            <v>USSHTC0066H005</v>
          </cell>
          <cell r="J2310" t="str">
            <v>M</v>
          </cell>
          <cell r="K2310" t="str">
            <v>SHIRT</v>
          </cell>
          <cell r="L2310" t="str">
            <v>NOD</v>
          </cell>
        </row>
        <row r="2311">
          <cell r="C2311" t="str">
            <v>USSHTC0066H</v>
          </cell>
          <cell r="D2311" t="str">
            <v>CORE</v>
          </cell>
          <cell r="E2311" t="str">
            <v>CO25</v>
          </cell>
          <cell r="F2311">
            <v>2199</v>
          </cell>
          <cell r="G2311" t="str">
            <v>US</v>
          </cell>
          <cell r="H2311" t="str">
            <v>USPUSMSHT</v>
          </cell>
          <cell r="I2311" t="str">
            <v>USSHTC0066H006</v>
          </cell>
          <cell r="J2311" t="str">
            <v>S</v>
          </cell>
          <cell r="K2311" t="str">
            <v>SHIRT</v>
          </cell>
          <cell r="L2311" t="str">
            <v>NOD</v>
          </cell>
        </row>
        <row r="2312">
          <cell r="C2312" t="str">
            <v>USSHTC0066H</v>
          </cell>
          <cell r="D2312" t="str">
            <v>CORE</v>
          </cell>
          <cell r="E2312" t="str">
            <v>CO25</v>
          </cell>
          <cell r="F2312">
            <v>2199</v>
          </cell>
          <cell r="G2312" t="str">
            <v>US</v>
          </cell>
          <cell r="H2312" t="str">
            <v>USPUSMSHT</v>
          </cell>
          <cell r="I2312" t="str">
            <v>USSHTC0066H007</v>
          </cell>
          <cell r="J2312" t="str">
            <v>XL</v>
          </cell>
          <cell r="K2312" t="str">
            <v>SHIRT</v>
          </cell>
          <cell r="L2312" t="str">
            <v>NOD</v>
          </cell>
        </row>
        <row r="2313">
          <cell r="C2313" t="str">
            <v>USSHTC0066H</v>
          </cell>
          <cell r="D2313" t="str">
            <v>CORE</v>
          </cell>
          <cell r="E2313" t="str">
            <v>CO25</v>
          </cell>
          <cell r="F2313">
            <v>2199</v>
          </cell>
          <cell r="G2313" t="str">
            <v>US</v>
          </cell>
          <cell r="H2313" t="str">
            <v>USPUSMSHT</v>
          </cell>
          <cell r="I2313" t="str">
            <v>USSHTC0066H008</v>
          </cell>
          <cell r="J2313" t="str">
            <v>XXL</v>
          </cell>
          <cell r="K2313" t="str">
            <v>SHIRT</v>
          </cell>
          <cell r="L2313" t="str">
            <v>NOD</v>
          </cell>
        </row>
        <row r="2314">
          <cell r="C2314" t="str">
            <v>USSHTC0085</v>
          </cell>
          <cell r="D2314" t="str">
            <v>CORE</v>
          </cell>
          <cell r="E2314" t="str">
            <v>CO25</v>
          </cell>
          <cell r="F2314">
            <v>4107</v>
          </cell>
          <cell r="G2314" t="str">
            <v>US</v>
          </cell>
          <cell r="H2314" t="str">
            <v>USPUSMSHT</v>
          </cell>
          <cell r="I2314" t="str">
            <v>USSHTC0085001</v>
          </cell>
          <cell r="J2314" t="str">
            <v>3XL</v>
          </cell>
          <cell r="K2314" t="str">
            <v>SHIRT</v>
          </cell>
          <cell r="L2314" t="str">
            <v>NOD</v>
          </cell>
        </row>
        <row r="2315">
          <cell r="C2315" t="str">
            <v>USSHTC0085</v>
          </cell>
          <cell r="D2315" t="str">
            <v>CORE</v>
          </cell>
          <cell r="E2315" t="str">
            <v>CO25</v>
          </cell>
          <cell r="F2315">
            <v>4107</v>
          </cell>
          <cell r="G2315" t="str">
            <v>US</v>
          </cell>
          <cell r="H2315" t="str">
            <v>USPUSMSHT</v>
          </cell>
          <cell r="I2315" t="str">
            <v>USSHTC0085002</v>
          </cell>
          <cell r="J2315" t="str">
            <v>4XL</v>
          </cell>
          <cell r="K2315" t="str">
            <v>SHIRT</v>
          </cell>
          <cell r="L2315" t="str">
            <v>NOD</v>
          </cell>
        </row>
        <row r="2316">
          <cell r="C2316" t="str">
            <v>USSHTC0085</v>
          </cell>
          <cell r="D2316" t="str">
            <v>CORE</v>
          </cell>
          <cell r="E2316" t="str">
            <v>CO25</v>
          </cell>
          <cell r="F2316">
            <v>4107</v>
          </cell>
          <cell r="G2316" t="str">
            <v>US</v>
          </cell>
          <cell r="H2316" t="str">
            <v>USPUSMSHT</v>
          </cell>
          <cell r="I2316" t="str">
            <v>USSHTC0085003</v>
          </cell>
          <cell r="J2316" t="str">
            <v>5XL</v>
          </cell>
          <cell r="K2316" t="str">
            <v>SHIRT</v>
          </cell>
          <cell r="L2316" t="str">
            <v>NOD</v>
          </cell>
        </row>
        <row r="2317">
          <cell r="C2317" t="str">
            <v>USSHTC0085</v>
          </cell>
          <cell r="D2317" t="str">
            <v>CORE</v>
          </cell>
          <cell r="E2317" t="str">
            <v>CO25</v>
          </cell>
          <cell r="F2317">
            <v>3897</v>
          </cell>
          <cell r="G2317" t="str">
            <v>US</v>
          </cell>
          <cell r="H2317" t="str">
            <v>USPUSMSHT</v>
          </cell>
          <cell r="I2317" t="str">
            <v>USSHTC0085004</v>
          </cell>
          <cell r="J2317" t="str">
            <v>L</v>
          </cell>
          <cell r="K2317" t="str">
            <v>SHIRT</v>
          </cell>
          <cell r="L2317" t="str">
            <v>NOD</v>
          </cell>
        </row>
        <row r="2318">
          <cell r="C2318" t="str">
            <v>USSHTC0085</v>
          </cell>
          <cell r="D2318" t="str">
            <v>CORE</v>
          </cell>
          <cell r="E2318" t="str">
            <v>CO25</v>
          </cell>
          <cell r="F2318">
            <v>3897</v>
          </cell>
          <cell r="G2318" t="str">
            <v>US</v>
          </cell>
          <cell r="H2318" t="str">
            <v>USPUSMSHT</v>
          </cell>
          <cell r="I2318" t="str">
            <v>USSHTC0085005</v>
          </cell>
          <cell r="J2318" t="str">
            <v>M</v>
          </cell>
          <cell r="K2318" t="str">
            <v>SHIRT</v>
          </cell>
          <cell r="L2318" t="str">
            <v>NOD</v>
          </cell>
        </row>
        <row r="2319">
          <cell r="C2319" t="str">
            <v>USSHTC0085</v>
          </cell>
          <cell r="D2319" t="str">
            <v>CORE</v>
          </cell>
          <cell r="E2319" t="str">
            <v>CO25</v>
          </cell>
          <cell r="F2319">
            <v>3897</v>
          </cell>
          <cell r="G2319" t="str">
            <v>US</v>
          </cell>
          <cell r="H2319" t="str">
            <v>USPUSMSHT</v>
          </cell>
          <cell r="I2319" t="str">
            <v>USSHTC0085006</v>
          </cell>
          <cell r="J2319" t="str">
            <v>S</v>
          </cell>
          <cell r="K2319" t="str">
            <v>SHIRT</v>
          </cell>
          <cell r="L2319" t="str">
            <v>NOD</v>
          </cell>
        </row>
        <row r="2320">
          <cell r="C2320" t="str">
            <v>USSHTC0085</v>
          </cell>
          <cell r="D2320" t="str">
            <v>CORE</v>
          </cell>
          <cell r="E2320" t="str">
            <v>CO25</v>
          </cell>
          <cell r="F2320">
            <v>3897</v>
          </cell>
          <cell r="G2320" t="str">
            <v>US</v>
          </cell>
          <cell r="H2320" t="str">
            <v>USPUSMSHT</v>
          </cell>
          <cell r="I2320" t="str">
            <v>USSHTC0085007</v>
          </cell>
          <cell r="J2320" t="str">
            <v>XL</v>
          </cell>
          <cell r="K2320" t="str">
            <v>SHIRT</v>
          </cell>
          <cell r="L2320" t="str">
            <v>NOD</v>
          </cell>
        </row>
        <row r="2321">
          <cell r="C2321" t="str">
            <v>USSHTC0085</v>
          </cell>
          <cell r="D2321" t="str">
            <v>CORE</v>
          </cell>
          <cell r="E2321" t="str">
            <v>CO25</v>
          </cell>
          <cell r="F2321">
            <v>3897</v>
          </cell>
          <cell r="G2321" t="str">
            <v>US</v>
          </cell>
          <cell r="H2321" t="str">
            <v>USPUSMSHT</v>
          </cell>
          <cell r="I2321" t="str">
            <v>USSHTC0085008</v>
          </cell>
          <cell r="J2321" t="str">
            <v>XXL</v>
          </cell>
          <cell r="K2321" t="str">
            <v>SHIRT</v>
          </cell>
          <cell r="L2321" t="str">
            <v>NOD</v>
          </cell>
        </row>
        <row r="2322">
          <cell r="C2322" t="str">
            <v>USSHTC0085H</v>
          </cell>
          <cell r="D2322" t="str">
            <v>CORE</v>
          </cell>
          <cell r="E2322" t="str">
            <v>CO25</v>
          </cell>
          <cell r="F2322">
            <v>4107</v>
          </cell>
          <cell r="G2322" t="str">
            <v>US</v>
          </cell>
          <cell r="H2322" t="str">
            <v>USPUSMSHT</v>
          </cell>
          <cell r="I2322" t="str">
            <v>USSHTC0085H001</v>
          </cell>
          <cell r="J2322" t="str">
            <v>3XL</v>
          </cell>
          <cell r="K2322" t="str">
            <v>SHIRT</v>
          </cell>
          <cell r="L2322" t="str">
            <v>NOD</v>
          </cell>
        </row>
        <row r="2323">
          <cell r="C2323" t="str">
            <v>USSHTC0085H</v>
          </cell>
          <cell r="D2323" t="str">
            <v>CORE</v>
          </cell>
          <cell r="E2323" t="str">
            <v>CO25</v>
          </cell>
          <cell r="F2323">
            <v>4107</v>
          </cell>
          <cell r="G2323" t="str">
            <v>US</v>
          </cell>
          <cell r="H2323" t="str">
            <v>USPUSMSHT</v>
          </cell>
          <cell r="I2323" t="str">
            <v>USSHTC0085H002</v>
          </cell>
          <cell r="J2323" t="str">
            <v>4XL</v>
          </cell>
          <cell r="K2323" t="str">
            <v>SHIRT</v>
          </cell>
          <cell r="L2323" t="str">
            <v>NOD</v>
          </cell>
        </row>
        <row r="2324">
          <cell r="C2324" t="str">
            <v>USSHTC0085H</v>
          </cell>
          <cell r="D2324" t="str">
            <v>CORE</v>
          </cell>
          <cell r="E2324" t="str">
            <v>CO25</v>
          </cell>
          <cell r="F2324">
            <v>4107</v>
          </cell>
          <cell r="G2324" t="str">
            <v>US</v>
          </cell>
          <cell r="H2324" t="str">
            <v>USPUSMSHT</v>
          </cell>
          <cell r="I2324" t="str">
            <v>USSHTC0085H003</v>
          </cell>
          <cell r="J2324" t="str">
            <v>5XL</v>
          </cell>
          <cell r="K2324" t="str">
            <v>SHIRT</v>
          </cell>
          <cell r="L2324" t="str">
            <v>NOD</v>
          </cell>
        </row>
        <row r="2325">
          <cell r="C2325" t="str">
            <v>USSHTC0085H</v>
          </cell>
          <cell r="D2325" t="str">
            <v>CORE</v>
          </cell>
          <cell r="E2325" t="str">
            <v>CO25</v>
          </cell>
          <cell r="F2325">
            <v>3897</v>
          </cell>
          <cell r="G2325" t="str">
            <v>US</v>
          </cell>
          <cell r="H2325" t="str">
            <v>USPUSMSHT</v>
          </cell>
          <cell r="I2325" t="str">
            <v>USSHTC0085H004</v>
          </cell>
          <cell r="J2325" t="str">
            <v>L</v>
          </cell>
          <cell r="K2325" t="str">
            <v>SHIRT</v>
          </cell>
          <cell r="L2325" t="str">
            <v>NOD</v>
          </cell>
        </row>
        <row r="2326">
          <cell r="C2326" t="str">
            <v>USSHTC0085H</v>
          </cell>
          <cell r="D2326" t="str">
            <v>CORE</v>
          </cell>
          <cell r="E2326" t="str">
            <v>CO25</v>
          </cell>
          <cell r="F2326">
            <v>3897</v>
          </cell>
          <cell r="G2326" t="str">
            <v>US</v>
          </cell>
          <cell r="H2326" t="str">
            <v>USPUSMSHT</v>
          </cell>
          <cell r="I2326" t="str">
            <v>USSHTC0085H005</v>
          </cell>
          <cell r="J2326" t="str">
            <v>M</v>
          </cell>
          <cell r="K2326" t="str">
            <v>SHIRT</v>
          </cell>
          <cell r="L2326" t="str">
            <v>NOD</v>
          </cell>
        </row>
        <row r="2327">
          <cell r="C2327" t="str">
            <v>USSHTC0085H</v>
          </cell>
          <cell r="D2327" t="str">
            <v>CORE</v>
          </cell>
          <cell r="E2327" t="str">
            <v>CO25</v>
          </cell>
          <cell r="F2327">
            <v>3897</v>
          </cell>
          <cell r="G2327" t="str">
            <v>US</v>
          </cell>
          <cell r="H2327" t="str">
            <v>USPUSMSHT</v>
          </cell>
          <cell r="I2327" t="str">
            <v>USSHTC0085H006</v>
          </cell>
          <cell r="J2327" t="str">
            <v>S</v>
          </cell>
          <cell r="K2327" t="str">
            <v>SHIRT</v>
          </cell>
          <cell r="L2327" t="str">
            <v>NOD</v>
          </cell>
        </row>
        <row r="2328">
          <cell r="C2328" t="str">
            <v>USSHTC0085H</v>
          </cell>
          <cell r="D2328" t="str">
            <v>CORE</v>
          </cell>
          <cell r="E2328" t="str">
            <v>CO25</v>
          </cell>
          <cell r="F2328">
            <v>3897</v>
          </cell>
          <cell r="G2328" t="str">
            <v>US</v>
          </cell>
          <cell r="H2328" t="str">
            <v>USPUSMSHT</v>
          </cell>
          <cell r="I2328" t="str">
            <v>USSHTC0085H007</v>
          </cell>
          <cell r="J2328" t="str">
            <v>XL</v>
          </cell>
          <cell r="K2328" t="str">
            <v>SHIRT</v>
          </cell>
          <cell r="L2328" t="str">
            <v>NOD</v>
          </cell>
        </row>
        <row r="2329">
          <cell r="C2329" t="str">
            <v>USSHTC0085H</v>
          </cell>
          <cell r="D2329" t="str">
            <v>CORE</v>
          </cell>
          <cell r="E2329" t="str">
            <v>CO25</v>
          </cell>
          <cell r="F2329">
            <v>3897</v>
          </cell>
          <cell r="G2329" t="str">
            <v>US</v>
          </cell>
          <cell r="H2329" t="str">
            <v>USPUSMSHT</v>
          </cell>
          <cell r="I2329" t="str">
            <v>USSHTC0085H008</v>
          </cell>
          <cell r="J2329" t="str">
            <v>XXL</v>
          </cell>
          <cell r="K2329" t="str">
            <v>SHIRT</v>
          </cell>
          <cell r="L2329" t="str">
            <v>NOD</v>
          </cell>
        </row>
        <row r="2330">
          <cell r="C2330" t="str">
            <v>USSHTC0086</v>
          </cell>
          <cell r="D2330" t="str">
            <v>CORE</v>
          </cell>
          <cell r="E2330" t="str">
            <v>CO25</v>
          </cell>
          <cell r="F2330">
            <v>4107</v>
          </cell>
          <cell r="G2330" t="str">
            <v>US</v>
          </cell>
          <cell r="H2330" t="str">
            <v>USPUSMSHT</v>
          </cell>
          <cell r="I2330" t="str">
            <v>USSHTC0086001</v>
          </cell>
          <cell r="J2330" t="str">
            <v>3XL</v>
          </cell>
          <cell r="K2330" t="str">
            <v>SHIRT</v>
          </cell>
          <cell r="L2330" t="str">
            <v>NOD</v>
          </cell>
        </row>
        <row r="2331">
          <cell r="C2331" t="str">
            <v>USSHTC0086</v>
          </cell>
          <cell r="D2331" t="str">
            <v>CORE</v>
          </cell>
          <cell r="E2331" t="str">
            <v>CO25</v>
          </cell>
          <cell r="F2331">
            <v>4107</v>
          </cell>
          <cell r="G2331" t="str">
            <v>US</v>
          </cell>
          <cell r="H2331" t="str">
            <v>USPUSMSHT</v>
          </cell>
          <cell r="I2331" t="str">
            <v>USSHTC0086002</v>
          </cell>
          <cell r="J2331" t="str">
            <v>4XL</v>
          </cell>
          <cell r="K2331" t="str">
            <v>SHIRT</v>
          </cell>
          <cell r="L2331" t="str">
            <v>NOD</v>
          </cell>
        </row>
        <row r="2332">
          <cell r="C2332" t="str">
            <v>USSHTC0086</v>
          </cell>
          <cell r="D2332" t="str">
            <v>CORE</v>
          </cell>
          <cell r="E2332" t="str">
            <v>CO25</v>
          </cell>
          <cell r="F2332">
            <v>4107</v>
          </cell>
          <cell r="G2332" t="str">
            <v>US</v>
          </cell>
          <cell r="H2332" t="str">
            <v>USPUSMSHT</v>
          </cell>
          <cell r="I2332" t="str">
            <v>USSHTC0086003</v>
          </cell>
          <cell r="J2332" t="str">
            <v>5XL</v>
          </cell>
          <cell r="K2332" t="str">
            <v>SHIRT</v>
          </cell>
          <cell r="L2332" t="str">
            <v>NOD</v>
          </cell>
        </row>
        <row r="2333">
          <cell r="C2333" t="str">
            <v>USSHTC0086</v>
          </cell>
          <cell r="D2333" t="str">
            <v>CORE</v>
          </cell>
          <cell r="E2333" t="str">
            <v>CO25</v>
          </cell>
          <cell r="F2333">
            <v>3897</v>
          </cell>
          <cell r="G2333" t="str">
            <v>US</v>
          </cell>
          <cell r="H2333" t="str">
            <v>USPUSMSHT</v>
          </cell>
          <cell r="I2333" t="str">
            <v>USSHTC0086004</v>
          </cell>
          <cell r="J2333" t="str">
            <v>L</v>
          </cell>
          <cell r="K2333" t="str">
            <v>SHIRT</v>
          </cell>
          <cell r="L2333" t="str">
            <v>NOD</v>
          </cell>
        </row>
        <row r="2334">
          <cell r="C2334" t="str">
            <v>USSHTC0086</v>
          </cell>
          <cell r="D2334" t="str">
            <v>CORE</v>
          </cell>
          <cell r="E2334" t="str">
            <v>CO25</v>
          </cell>
          <cell r="F2334">
            <v>3897</v>
          </cell>
          <cell r="G2334" t="str">
            <v>US</v>
          </cell>
          <cell r="H2334" t="str">
            <v>USPUSMSHT</v>
          </cell>
          <cell r="I2334" t="str">
            <v>USSHTC0086005</v>
          </cell>
          <cell r="J2334" t="str">
            <v>M</v>
          </cell>
          <cell r="K2334" t="str">
            <v>SHIRT</v>
          </cell>
          <cell r="L2334" t="str">
            <v>NOD</v>
          </cell>
        </row>
        <row r="2335">
          <cell r="C2335" t="str">
            <v>USSHTC0086</v>
          </cell>
          <cell r="D2335" t="str">
            <v>CORE</v>
          </cell>
          <cell r="E2335" t="str">
            <v>CO25</v>
          </cell>
          <cell r="F2335">
            <v>3897</v>
          </cell>
          <cell r="G2335" t="str">
            <v>US</v>
          </cell>
          <cell r="H2335" t="str">
            <v>USPUSMSHT</v>
          </cell>
          <cell r="I2335" t="str">
            <v>USSHTC0086006</v>
          </cell>
          <cell r="J2335" t="str">
            <v>S</v>
          </cell>
          <cell r="K2335" t="str">
            <v>SHIRT</v>
          </cell>
          <cell r="L2335" t="str">
            <v>NOD</v>
          </cell>
        </row>
        <row r="2336">
          <cell r="C2336" t="str">
            <v>USSHTC0086</v>
          </cell>
          <cell r="D2336" t="str">
            <v>CORE</v>
          </cell>
          <cell r="E2336" t="str">
            <v>CO25</v>
          </cell>
          <cell r="F2336">
            <v>3897</v>
          </cell>
          <cell r="G2336" t="str">
            <v>US</v>
          </cell>
          <cell r="H2336" t="str">
            <v>USPUSMSHT</v>
          </cell>
          <cell r="I2336" t="str">
            <v>USSHTC0086007</v>
          </cell>
          <cell r="J2336" t="str">
            <v>XL</v>
          </cell>
          <cell r="K2336" t="str">
            <v>SHIRT</v>
          </cell>
          <cell r="L2336" t="str">
            <v>NOD</v>
          </cell>
        </row>
        <row r="2337">
          <cell r="C2337" t="str">
            <v>USSHTC0086</v>
          </cell>
          <cell r="D2337" t="str">
            <v>CORE</v>
          </cell>
          <cell r="E2337" t="str">
            <v>CO25</v>
          </cell>
          <cell r="F2337">
            <v>3897</v>
          </cell>
          <cell r="G2337" t="str">
            <v>US</v>
          </cell>
          <cell r="H2337" t="str">
            <v>USPUSMSHT</v>
          </cell>
          <cell r="I2337" t="str">
            <v>USSHTC0086008</v>
          </cell>
          <cell r="J2337" t="str">
            <v>XXL</v>
          </cell>
          <cell r="K2337" t="str">
            <v>SHIRT</v>
          </cell>
          <cell r="L2337" t="str">
            <v>NOD</v>
          </cell>
        </row>
        <row r="2338">
          <cell r="C2338" t="str">
            <v>USSHTC0086H</v>
          </cell>
          <cell r="D2338" t="str">
            <v>CORE</v>
          </cell>
          <cell r="E2338" t="str">
            <v>CO25</v>
          </cell>
          <cell r="F2338">
            <v>4107</v>
          </cell>
          <cell r="G2338" t="str">
            <v>US</v>
          </cell>
          <cell r="H2338" t="str">
            <v>USPUSMSHT</v>
          </cell>
          <cell r="I2338" t="str">
            <v>USSHTC0086H001</v>
          </cell>
          <cell r="J2338" t="str">
            <v>3XL</v>
          </cell>
          <cell r="K2338" t="str">
            <v>SHIRT</v>
          </cell>
          <cell r="L2338" t="str">
            <v>NOD</v>
          </cell>
        </row>
        <row r="2339">
          <cell r="C2339" t="str">
            <v>USSHTC0086H</v>
          </cell>
          <cell r="D2339" t="str">
            <v>CORE</v>
          </cell>
          <cell r="E2339" t="str">
            <v>CO25</v>
          </cell>
          <cell r="F2339">
            <v>4107</v>
          </cell>
          <cell r="G2339" t="str">
            <v>US</v>
          </cell>
          <cell r="H2339" t="str">
            <v>USPUSMSHT</v>
          </cell>
          <cell r="I2339" t="str">
            <v>USSHTC0086H002</v>
          </cell>
          <cell r="J2339" t="str">
            <v>4XL</v>
          </cell>
          <cell r="K2339" t="str">
            <v>SHIRT</v>
          </cell>
          <cell r="L2339" t="str">
            <v>NOD</v>
          </cell>
        </row>
        <row r="2340">
          <cell r="C2340" t="str">
            <v>USSHTC0086H</v>
          </cell>
          <cell r="D2340" t="str">
            <v>CORE</v>
          </cell>
          <cell r="E2340" t="str">
            <v>CO25</v>
          </cell>
          <cell r="F2340">
            <v>4107</v>
          </cell>
          <cell r="G2340" t="str">
            <v>US</v>
          </cell>
          <cell r="H2340" t="str">
            <v>USPUSMSHT</v>
          </cell>
          <cell r="I2340" t="str">
            <v>USSHTC0086H003</v>
          </cell>
          <cell r="J2340" t="str">
            <v>5XL</v>
          </cell>
          <cell r="K2340" t="str">
            <v>SHIRT</v>
          </cell>
          <cell r="L2340" t="str">
            <v>NOD</v>
          </cell>
        </row>
        <row r="2341">
          <cell r="C2341" t="str">
            <v>USSHTC0086H</v>
          </cell>
          <cell r="D2341" t="str">
            <v>CORE</v>
          </cell>
          <cell r="E2341" t="str">
            <v>CO25</v>
          </cell>
          <cell r="F2341">
            <v>3897</v>
          </cell>
          <cell r="G2341" t="str">
            <v>US</v>
          </cell>
          <cell r="H2341" t="str">
            <v>USPUSMSHT</v>
          </cell>
          <cell r="I2341" t="str">
            <v>USSHTC0086H004</v>
          </cell>
          <cell r="J2341" t="str">
            <v>L</v>
          </cell>
          <cell r="K2341" t="str">
            <v>SHIRT</v>
          </cell>
          <cell r="L2341" t="str">
            <v>NOD</v>
          </cell>
        </row>
        <row r="2342">
          <cell r="C2342" t="str">
            <v>USSHTC0086H</v>
          </cell>
          <cell r="D2342" t="str">
            <v>CORE</v>
          </cell>
          <cell r="E2342" t="str">
            <v>CO25</v>
          </cell>
          <cell r="F2342">
            <v>3897</v>
          </cell>
          <cell r="G2342" t="str">
            <v>US</v>
          </cell>
          <cell r="H2342" t="str">
            <v>USPUSMSHT</v>
          </cell>
          <cell r="I2342" t="str">
            <v>USSHTC0086H005</v>
          </cell>
          <cell r="J2342" t="str">
            <v>M</v>
          </cell>
          <cell r="K2342" t="str">
            <v>SHIRT</v>
          </cell>
          <cell r="L2342" t="str">
            <v>NOD</v>
          </cell>
        </row>
        <row r="2343">
          <cell r="C2343" t="str">
            <v>USSHTC0086H</v>
          </cell>
          <cell r="D2343" t="str">
            <v>CORE</v>
          </cell>
          <cell r="E2343" t="str">
            <v>CO25</v>
          </cell>
          <cell r="F2343">
            <v>3897</v>
          </cell>
          <cell r="G2343" t="str">
            <v>US</v>
          </cell>
          <cell r="H2343" t="str">
            <v>USPUSMSHT</v>
          </cell>
          <cell r="I2343" t="str">
            <v>USSHTC0086H006</v>
          </cell>
          <cell r="J2343" t="str">
            <v>S</v>
          </cell>
          <cell r="K2343" t="str">
            <v>SHIRT</v>
          </cell>
          <cell r="L2343" t="str">
            <v>NOD</v>
          </cell>
        </row>
        <row r="2344">
          <cell r="C2344" t="str">
            <v>USSHTC0086H</v>
          </cell>
          <cell r="D2344" t="str">
            <v>CORE</v>
          </cell>
          <cell r="E2344" t="str">
            <v>CO25</v>
          </cell>
          <cell r="F2344">
            <v>3897</v>
          </cell>
          <cell r="G2344" t="str">
            <v>US</v>
          </cell>
          <cell r="H2344" t="str">
            <v>USPUSMSHT</v>
          </cell>
          <cell r="I2344" t="str">
            <v>USSHTC0086H007</v>
          </cell>
          <cell r="J2344" t="str">
            <v>XL</v>
          </cell>
          <cell r="K2344" t="str">
            <v>SHIRT</v>
          </cell>
          <cell r="L2344" t="str">
            <v>NOD</v>
          </cell>
        </row>
        <row r="2345">
          <cell r="C2345" t="str">
            <v>USSHTC0086H</v>
          </cell>
          <cell r="D2345" t="str">
            <v>CORE</v>
          </cell>
          <cell r="E2345" t="str">
            <v>CO25</v>
          </cell>
          <cell r="F2345">
            <v>3897</v>
          </cell>
          <cell r="G2345" t="str">
            <v>US</v>
          </cell>
          <cell r="H2345" t="str">
            <v>USPUSMSHT</v>
          </cell>
          <cell r="I2345" t="str">
            <v>USSHTC0086H008</v>
          </cell>
          <cell r="J2345" t="str">
            <v>XXL</v>
          </cell>
          <cell r="K2345" t="str">
            <v>SHIRT</v>
          </cell>
          <cell r="L2345" t="str">
            <v>NOD</v>
          </cell>
        </row>
        <row r="2346">
          <cell r="C2346" t="str">
            <v>USSHTC0089</v>
          </cell>
          <cell r="D2346" t="str">
            <v>CORE</v>
          </cell>
          <cell r="E2346" t="str">
            <v>CO25</v>
          </cell>
          <cell r="F2346">
            <v>3159</v>
          </cell>
          <cell r="G2346" t="str">
            <v>US</v>
          </cell>
          <cell r="H2346" t="str">
            <v>USPUSMSHT</v>
          </cell>
          <cell r="I2346" t="str">
            <v>USSHTC0089001</v>
          </cell>
          <cell r="J2346" t="str">
            <v>3XL</v>
          </cell>
          <cell r="K2346" t="str">
            <v>SHIRT</v>
          </cell>
          <cell r="L2346" t="str">
            <v>NOD</v>
          </cell>
        </row>
        <row r="2347">
          <cell r="C2347" t="str">
            <v>USSHTC0089</v>
          </cell>
          <cell r="D2347" t="str">
            <v>CORE</v>
          </cell>
          <cell r="E2347" t="str">
            <v>CO25</v>
          </cell>
          <cell r="F2347">
            <v>3159</v>
          </cell>
          <cell r="G2347" t="str">
            <v>US</v>
          </cell>
          <cell r="H2347" t="str">
            <v>USPUSMSHT</v>
          </cell>
          <cell r="I2347" t="str">
            <v>USSHTC0089002</v>
          </cell>
          <cell r="J2347" t="str">
            <v>4XL</v>
          </cell>
          <cell r="K2347" t="str">
            <v>SHIRT</v>
          </cell>
          <cell r="L2347" t="str">
            <v>NOD</v>
          </cell>
        </row>
        <row r="2348">
          <cell r="C2348" t="str">
            <v>USSHTC0089</v>
          </cell>
          <cell r="D2348" t="str">
            <v>CORE</v>
          </cell>
          <cell r="E2348" t="str">
            <v>CO25</v>
          </cell>
          <cell r="F2348">
            <v>3159</v>
          </cell>
          <cell r="G2348" t="str">
            <v>US</v>
          </cell>
          <cell r="H2348" t="str">
            <v>USPUSMSHT</v>
          </cell>
          <cell r="I2348" t="str">
            <v>USSHTC0089003</v>
          </cell>
          <cell r="J2348" t="str">
            <v>5XL</v>
          </cell>
          <cell r="K2348" t="str">
            <v>SHIRT</v>
          </cell>
          <cell r="L2348" t="str">
            <v>NOD</v>
          </cell>
        </row>
        <row r="2349">
          <cell r="C2349" t="str">
            <v>USSHTC0089</v>
          </cell>
          <cell r="D2349" t="str">
            <v>CORE</v>
          </cell>
          <cell r="E2349" t="str">
            <v>CO25</v>
          </cell>
          <cell r="F2349">
            <v>2799</v>
          </cell>
          <cell r="G2349" t="str">
            <v>US</v>
          </cell>
          <cell r="H2349" t="str">
            <v>USPUSMSHT</v>
          </cell>
          <cell r="I2349" t="str">
            <v>USSHTC0089004</v>
          </cell>
          <cell r="J2349" t="str">
            <v>L</v>
          </cell>
          <cell r="K2349" t="str">
            <v>SHIRT</v>
          </cell>
          <cell r="L2349" t="str">
            <v>NOD</v>
          </cell>
        </row>
        <row r="2350">
          <cell r="C2350" t="str">
            <v>USSHTC0089</v>
          </cell>
          <cell r="D2350" t="str">
            <v>CORE</v>
          </cell>
          <cell r="E2350" t="str">
            <v>CO25</v>
          </cell>
          <cell r="F2350">
            <v>2799</v>
          </cell>
          <cell r="G2350" t="str">
            <v>US</v>
          </cell>
          <cell r="H2350" t="str">
            <v>USPUSMSHT</v>
          </cell>
          <cell r="I2350" t="str">
            <v>USSHTC0089005</v>
          </cell>
          <cell r="J2350" t="str">
            <v>M</v>
          </cell>
          <cell r="K2350" t="str">
            <v>SHIRT</v>
          </cell>
          <cell r="L2350" t="str">
            <v>NOD</v>
          </cell>
        </row>
        <row r="2351">
          <cell r="C2351" t="str">
            <v>USSHTC0089</v>
          </cell>
          <cell r="D2351" t="str">
            <v>CORE</v>
          </cell>
          <cell r="E2351" t="str">
            <v>CO25</v>
          </cell>
          <cell r="F2351">
            <v>2799</v>
          </cell>
          <cell r="G2351" t="str">
            <v>US</v>
          </cell>
          <cell r="H2351" t="str">
            <v>USPUSMSHT</v>
          </cell>
          <cell r="I2351" t="str">
            <v>USSHTC0089006</v>
          </cell>
          <cell r="J2351" t="str">
            <v>S</v>
          </cell>
          <cell r="K2351" t="str">
            <v>SHIRT</v>
          </cell>
          <cell r="L2351" t="str">
            <v>NOD</v>
          </cell>
        </row>
        <row r="2352">
          <cell r="C2352" t="str">
            <v>USSHTC0089</v>
          </cell>
          <cell r="D2352" t="str">
            <v>CORE</v>
          </cell>
          <cell r="E2352" t="str">
            <v>CO25</v>
          </cell>
          <cell r="F2352">
            <v>2799</v>
          </cell>
          <cell r="G2352" t="str">
            <v>US</v>
          </cell>
          <cell r="H2352" t="str">
            <v>USPUSMSHT</v>
          </cell>
          <cell r="I2352" t="str">
            <v>USSHTC0089007</v>
          </cell>
          <cell r="J2352" t="str">
            <v>XL</v>
          </cell>
          <cell r="K2352" t="str">
            <v>SHIRT</v>
          </cell>
          <cell r="L2352" t="str">
            <v>NOD</v>
          </cell>
        </row>
        <row r="2353">
          <cell r="C2353" t="str">
            <v>USSHTC0089</v>
          </cell>
          <cell r="D2353" t="str">
            <v>CORE</v>
          </cell>
          <cell r="E2353" t="str">
            <v>CO25</v>
          </cell>
          <cell r="F2353">
            <v>2799</v>
          </cell>
          <cell r="G2353" t="str">
            <v>US</v>
          </cell>
          <cell r="H2353" t="str">
            <v>USPUSMSHT</v>
          </cell>
          <cell r="I2353" t="str">
            <v>USSHTC0089008</v>
          </cell>
          <cell r="J2353" t="str">
            <v>XXL</v>
          </cell>
          <cell r="K2353" t="str">
            <v>SHIRT</v>
          </cell>
          <cell r="L2353" t="str">
            <v>NOD</v>
          </cell>
        </row>
        <row r="2354">
          <cell r="C2354" t="str">
            <v>USSHTC0089H</v>
          </cell>
          <cell r="D2354" t="str">
            <v>CORE</v>
          </cell>
          <cell r="E2354" t="str">
            <v>CO25</v>
          </cell>
          <cell r="F2354">
            <v>3159</v>
          </cell>
          <cell r="G2354" t="str">
            <v>US</v>
          </cell>
          <cell r="H2354" t="str">
            <v>USPUSMSHT</v>
          </cell>
          <cell r="I2354" t="str">
            <v>USSHTC0089H001</v>
          </cell>
          <cell r="J2354" t="str">
            <v>3XL</v>
          </cell>
          <cell r="K2354" t="str">
            <v>SHIRT</v>
          </cell>
          <cell r="L2354" t="str">
            <v>NOD</v>
          </cell>
        </row>
        <row r="2355">
          <cell r="C2355" t="str">
            <v>USSHTC0089H</v>
          </cell>
          <cell r="D2355" t="str">
            <v>CORE</v>
          </cell>
          <cell r="E2355" t="str">
            <v>CO25</v>
          </cell>
          <cell r="F2355">
            <v>3159</v>
          </cell>
          <cell r="G2355" t="str">
            <v>US</v>
          </cell>
          <cell r="H2355" t="str">
            <v>USPUSMSHT</v>
          </cell>
          <cell r="I2355" t="str">
            <v>USSHTC0089H002</v>
          </cell>
          <cell r="J2355" t="str">
            <v>4XL</v>
          </cell>
          <cell r="K2355" t="str">
            <v>SHIRT</v>
          </cell>
          <cell r="L2355" t="str">
            <v>NOD</v>
          </cell>
        </row>
        <row r="2356">
          <cell r="C2356" t="str">
            <v>USSHTC0089H</v>
          </cell>
          <cell r="D2356" t="str">
            <v>CORE</v>
          </cell>
          <cell r="E2356" t="str">
            <v>CO25</v>
          </cell>
          <cell r="F2356">
            <v>3159</v>
          </cell>
          <cell r="G2356" t="str">
            <v>US</v>
          </cell>
          <cell r="H2356" t="str">
            <v>USPUSMSHT</v>
          </cell>
          <cell r="I2356" t="str">
            <v>USSHTC0089H003</v>
          </cell>
          <cell r="J2356" t="str">
            <v>5XL</v>
          </cell>
          <cell r="K2356" t="str">
            <v>SHIRT</v>
          </cell>
          <cell r="L2356" t="str">
            <v>NOD</v>
          </cell>
        </row>
        <row r="2357">
          <cell r="C2357" t="str">
            <v>USSHTC0089H</v>
          </cell>
          <cell r="D2357" t="str">
            <v>CORE</v>
          </cell>
          <cell r="E2357" t="str">
            <v>CO25</v>
          </cell>
          <cell r="F2357">
            <v>2799</v>
          </cell>
          <cell r="G2357" t="str">
            <v>US</v>
          </cell>
          <cell r="H2357" t="str">
            <v>USPUSMSHT</v>
          </cell>
          <cell r="I2357" t="str">
            <v>USSHTC0089H004</v>
          </cell>
          <cell r="J2357" t="str">
            <v>L</v>
          </cell>
          <cell r="K2357" t="str">
            <v>SHIRT</v>
          </cell>
          <cell r="L2357" t="str">
            <v>NOD</v>
          </cell>
        </row>
        <row r="2358">
          <cell r="C2358" t="str">
            <v>USSHTC0089H</v>
          </cell>
          <cell r="D2358" t="str">
            <v>CORE</v>
          </cell>
          <cell r="E2358" t="str">
            <v>CO25</v>
          </cell>
          <cell r="F2358">
            <v>2799</v>
          </cell>
          <cell r="G2358" t="str">
            <v>US</v>
          </cell>
          <cell r="H2358" t="str">
            <v>USPUSMSHT</v>
          </cell>
          <cell r="I2358" t="str">
            <v>USSHTC0089H005</v>
          </cell>
          <cell r="J2358" t="str">
            <v>M</v>
          </cell>
          <cell r="K2358" t="str">
            <v>SHIRT</v>
          </cell>
          <cell r="L2358" t="str">
            <v>NOD</v>
          </cell>
        </row>
        <row r="2359">
          <cell r="C2359" t="str">
            <v>USSHTC0089H</v>
          </cell>
          <cell r="D2359" t="str">
            <v>CORE</v>
          </cell>
          <cell r="E2359" t="str">
            <v>CO25</v>
          </cell>
          <cell r="F2359">
            <v>2799</v>
          </cell>
          <cell r="G2359" t="str">
            <v>US</v>
          </cell>
          <cell r="H2359" t="str">
            <v>USPUSMSHT</v>
          </cell>
          <cell r="I2359" t="str">
            <v>USSHTC0089H006</v>
          </cell>
          <cell r="J2359" t="str">
            <v>S</v>
          </cell>
          <cell r="K2359" t="str">
            <v>SHIRT</v>
          </cell>
          <cell r="L2359" t="str">
            <v>NOD</v>
          </cell>
        </row>
        <row r="2360">
          <cell r="C2360" t="str">
            <v>USSHTC0089H</v>
          </cell>
          <cell r="D2360" t="str">
            <v>CORE</v>
          </cell>
          <cell r="E2360" t="str">
            <v>CO25</v>
          </cell>
          <cell r="F2360">
            <v>2799</v>
          </cell>
          <cell r="G2360" t="str">
            <v>US</v>
          </cell>
          <cell r="H2360" t="str">
            <v>USPUSMSHT</v>
          </cell>
          <cell r="I2360" t="str">
            <v>USSHTC0089H007</v>
          </cell>
          <cell r="J2360" t="str">
            <v>XL</v>
          </cell>
          <cell r="K2360" t="str">
            <v>SHIRT</v>
          </cell>
          <cell r="L2360" t="str">
            <v>NOD</v>
          </cell>
        </row>
        <row r="2361">
          <cell r="C2361" t="str">
            <v>USSHTC0089H</v>
          </cell>
          <cell r="D2361" t="str">
            <v>CORE</v>
          </cell>
          <cell r="E2361" t="str">
            <v>CO25</v>
          </cell>
          <cell r="F2361">
            <v>2799</v>
          </cell>
          <cell r="G2361" t="str">
            <v>US</v>
          </cell>
          <cell r="H2361" t="str">
            <v>USPUSMSHT</v>
          </cell>
          <cell r="I2361" t="str">
            <v>USSHTC0089H008</v>
          </cell>
          <cell r="J2361" t="str">
            <v>XXL</v>
          </cell>
          <cell r="K2361" t="str">
            <v>SHIRT</v>
          </cell>
          <cell r="L2361" t="str">
            <v>NOD</v>
          </cell>
        </row>
        <row r="2362">
          <cell r="C2362" t="str">
            <v>USSHTC0090</v>
          </cell>
          <cell r="D2362" t="str">
            <v>CORE</v>
          </cell>
          <cell r="E2362" t="str">
            <v>CO25</v>
          </cell>
          <cell r="F2362">
            <v>3159.66</v>
          </cell>
          <cell r="G2362" t="str">
            <v>US</v>
          </cell>
          <cell r="H2362" t="str">
            <v>USPUSMSHT</v>
          </cell>
          <cell r="I2362" t="str">
            <v>USSHTC0090001</v>
          </cell>
          <cell r="J2362" t="str">
            <v>3XL</v>
          </cell>
          <cell r="K2362" t="str">
            <v>SHIRT</v>
          </cell>
          <cell r="L2362" t="str">
            <v>NOD</v>
          </cell>
        </row>
        <row r="2363">
          <cell r="C2363" t="str">
            <v>USSHTC0090</v>
          </cell>
          <cell r="D2363" t="str">
            <v>CORE</v>
          </cell>
          <cell r="E2363" t="str">
            <v>CO25</v>
          </cell>
          <cell r="F2363">
            <v>3159.66</v>
          </cell>
          <cell r="G2363" t="str">
            <v>US</v>
          </cell>
          <cell r="H2363" t="str">
            <v>USPUSMSHT</v>
          </cell>
          <cell r="I2363" t="str">
            <v>USSHTC0090002</v>
          </cell>
          <cell r="J2363" t="str">
            <v>4XL</v>
          </cell>
          <cell r="K2363" t="str">
            <v>SHIRT</v>
          </cell>
          <cell r="L2363" t="str">
            <v>NOD</v>
          </cell>
        </row>
        <row r="2364">
          <cell r="C2364" t="str">
            <v>USSHTC0090</v>
          </cell>
          <cell r="D2364" t="str">
            <v>CORE</v>
          </cell>
          <cell r="E2364" t="str">
            <v>CO25</v>
          </cell>
          <cell r="F2364">
            <v>3159.66</v>
          </cell>
          <cell r="G2364" t="str">
            <v>US</v>
          </cell>
          <cell r="H2364" t="str">
            <v>USPUSMSHT</v>
          </cell>
          <cell r="I2364" t="str">
            <v>USSHTC0090003</v>
          </cell>
          <cell r="J2364" t="str">
            <v>5XL</v>
          </cell>
          <cell r="K2364" t="str">
            <v>SHIRT</v>
          </cell>
          <cell r="L2364" t="str">
            <v>NOD</v>
          </cell>
        </row>
        <row r="2365">
          <cell r="C2365" t="str">
            <v>USSHTC0090</v>
          </cell>
          <cell r="D2365" t="str">
            <v>CORE</v>
          </cell>
          <cell r="E2365" t="str">
            <v>CO25</v>
          </cell>
          <cell r="F2365">
            <v>2799</v>
          </cell>
          <cell r="G2365" t="str">
            <v>US</v>
          </cell>
          <cell r="H2365" t="str">
            <v>USPUSMSHT</v>
          </cell>
          <cell r="I2365" t="str">
            <v>USSHTC0090004</v>
          </cell>
          <cell r="J2365" t="str">
            <v>L</v>
          </cell>
          <cell r="K2365" t="str">
            <v>SHIRT</v>
          </cell>
          <cell r="L2365" t="str">
            <v>NOD</v>
          </cell>
        </row>
        <row r="2366">
          <cell r="C2366" t="str">
            <v>USSHTC0090</v>
          </cell>
          <cell r="D2366" t="str">
            <v>CORE</v>
          </cell>
          <cell r="E2366" t="str">
            <v>CO25</v>
          </cell>
          <cell r="F2366">
            <v>2799</v>
          </cell>
          <cell r="G2366" t="str">
            <v>US</v>
          </cell>
          <cell r="H2366" t="str">
            <v>USPUSMSHT</v>
          </cell>
          <cell r="I2366" t="str">
            <v>USSHTC0090005</v>
          </cell>
          <cell r="J2366" t="str">
            <v>M</v>
          </cell>
          <cell r="K2366" t="str">
            <v>SHIRT</v>
          </cell>
          <cell r="L2366" t="str">
            <v>NOD</v>
          </cell>
        </row>
        <row r="2367">
          <cell r="C2367" t="str">
            <v>USSHTC0090</v>
          </cell>
          <cell r="D2367" t="str">
            <v>CORE</v>
          </cell>
          <cell r="E2367" t="str">
            <v>CO25</v>
          </cell>
          <cell r="F2367">
            <v>2799</v>
          </cell>
          <cell r="G2367" t="str">
            <v>US</v>
          </cell>
          <cell r="H2367" t="str">
            <v>USPUSMSHT</v>
          </cell>
          <cell r="I2367" t="str">
            <v>USSHTC0090006</v>
          </cell>
          <cell r="J2367" t="str">
            <v>S</v>
          </cell>
          <cell r="K2367" t="str">
            <v>SHIRT</v>
          </cell>
          <cell r="L2367" t="str">
            <v>NOD</v>
          </cell>
        </row>
        <row r="2368">
          <cell r="C2368" t="str">
            <v>USSHTC0090</v>
          </cell>
          <cell r="D2368" t="str">
            <v>CORE</v>
          </cell>
          <cell r="E2368" t="str">
            <v>CO25</v>
          </cell>
          <cell r="F2368">
            <v>2799</v>
          </cell>
          <cell r="G2368" t="str">
            <v>US</v>
          </cell>
          <cell r="H2368" t="str">
            <v>USPUSMSHT</v>
          </cell>
          <cell r="I2368" t="str">
            <v>USSHTC0090007</v>
          </cell>
          <cell r="J2368" t="str">
            <v>XL</v>
          </cell>
          <cell r="K2368" t="str">
            <v>SHIRT</v>
          </cell>
          <cell r="L2368" t="str">
            <v>NOD</v>
          </cell>
        </row>
        <row r="2369">
          <cell r="C2369" t="str">
            <v>USSHTC0090</v>
          </cell>
          <cell r="D2369" t="str">
            <v>CORE</v>
          </cell>
          <cell r="E2369" t="str">
            <v>CO25</v>
          </cell>
          <cell r="F2369">
            <v>2799</v>
          </cell>
          <cell r="G2369" t="str">
            <v>US</v>
          </cell>
          <cell r="H2369" t="str">
            <v>USPUSMSHT</v>
          </cell>
          <cell r="I2369" t="str">
            <v>USSHTC0090008</v>
          </cell>
          <cell r="J2369" t="str">
            <v>XXL</v>
          </cell>
          <cell r="K2369" t="str">
            <v>SHIRT</v>
          </cell>
          <cell r="L2369" t="str">
            <v>NOD</v>
          </cell>
        </row>
        <row r="2370">
          <cell r="C2370" t="str">
            <v>USSHTC0090H</v>
          </cell>
          <cell r="D2370" t="str">
            <v>CORE</v>
          </cell>
          <cell r="E2370" t="str">
            <v>CO25</v>
          </cell>
          <cell r="F2370">
            <v>3159</v>
          </cell>
          <cell r="G2370" t="str">
            <v>US</v>
          </cell>
          <cell r="H2370" t="str">
            <v>USPUSMSHT</v>
          </cell>
          <cell r="I2370" t="str">
            <v>USSHTC0090H001</v>
          </cell>
          <cell r="J2370" t="str">
            <v>3XL</v>
          </cell>
          <cell r="K2370" t="str">
            <v>SHIRT</v>
          </cell>
          <cell r="L2370" t="str">
            <v>NOD</v>
          </cell>
        </row>
        <row r="2371">
          <cell r="C2371" t="str">
            <v>USSHTC0090H</v>
          </cell>
          <cell r="D2371" t="str">
            <v>CORE</v>
          </cell>
          <cell r="E2371" t="str">
            <v>CO25</v>
          </cell>
          <cell r="F2371">
            <v>3159</v>
          </cell>
          <cell r="G2371" t="str">
            <v>US</v>
          </cell>
          <cell r="H2371" t="str">
            <v>USPUSMSHT</v>
          </cell>
          <cell r="I2371" t="str">
            <v>USSHTC0090H002</v>
          </cell>
          <cell r="J2371" t="str">
            <v>4XL</v>
          </cell>
          <cell r="K2371" t="str">
            <v>SHIRT</v>
          </cell>
          <cell r="L2371" t="str">
            <v>NOD</v>
          </cell>
        </row>
        <row r="2372">
          <cell r="C2372" t="str">
            <v>USSHTC0090H</v>
          </cell>
          <cell r="D2372" t="str">
            <v>CORE</v>
          </cell>
          <cell r="E2372" t="str">
            <v>CO25</v>
          </cell>
          <cell r="F2372">
            <v>3159</v>
          </cell>
          <cell r="G2372" t="str">
            <v>US</v>
          </cell>
          <cell r="H2372" t="str">
            <v>USPUSMSHT</v>
          </cell>
          <cell r="I2372" t="str">
            <v>USSHTC0090H003</v>
          </cell>
          <cell r="J2372" t="str">
            <v>5XL</v>
          </cell>
          <cell r="K2372" t="str">
            <v>SHIRT</v>
          </cell>
          <cell r="L2372" t="str">
            <v>NOD</v>
          </cell>
        </row>
        <row r="2373">
          <cell r="C2373" t="str">
            <v>USSHTC0090H</v>
          </cell>
          <cell r="D2373" t="str">
            <v>CORE</v>
          </cell>
          <cell r="E2373" t="str">
            <v>CO25</v>
          </cell>
          <cell r="F2373">
            <v>2799</v>
          </cell>
          <cell r="G2373" t="str">
            <v>US</v>
          </cell>
          <cell r="H2373" t="str">
            <v>USPUSMSHT</v>
          </cell>
          <cell r="I2373" t="str">
            <v>USSHTC0090H004</v>
          </cell>
          <cell r="J2373" t="str">
            <v>L</v>
          </cell>
          <cell r="K2373" t="str">
            <v>SHIRT</v>
          </cell>
          <cell r="L2373" t="str">
            <v>NOD</v>
          </cell>
        </row>
        <row r="2374">
          <cell r="C2374" t="str">
            <v>USSHTC0090H</v>
          </cell>
          <cell r="D2374" t="str">
            <v>CORE</v>
          </cell>
          <cell r="E2374" t="str">
            <v>CO25</v>
          </cell>
          <cell r="F2374">
            <v>2799</v>
          </cell>
          <cell r="G2374" t="str">
            <v>US</v>
          </cell>
          <cell r="H2374" t="str">
            <v>USPUSMSHT</v>
          </cell>
          <cell r="I2374" t="str">
            <v>USSHTC0090H005</v>
          </cell>
          <cell r="J2374" t="str">
            <v>M</v>
          </cell>
          <cell r="K2374" t="str">
            <v>SHIRT</v>
          </cell>
          <cell r="L2374" t="str">
            <v>NOD</v>
          </cell>
        </row>
        <row r="2375">
          <cell r="C2375" t="str">
            <v>USSHTC0090H</v>
          </cell>
          <cell r="D2375" t="str">
            <v>CORE</v>
          </cell>
          <cell r="E2375" t="str">
            <v>CO25</v>
          </cell>
          <cell r="F2375">
            <v>2799</v>
          </cell>
          <cell r="G2375" t="str">
            <v>US</v>
          </cell>
          <cell r="H2375" t="str">
            <v>USPUSMSHT</v>
          </cell>
          <cell r="I2375" t="str">
            <v>USSHTC0090H006</v>
          </cell>
          <cell r="J2375" t="str">
            <v>S</v>
          </cell>
          <cell r="K2375" t="str">
            <v>SHIRT</v>
          </cell>
          <cell r="L2375" t="str">
            <v>NOD</v>
          </cell>
        </row>
        <row r="2376">
          <cell r="C2376" t="str">
            <v>USSHTC0090H</v>
          </cell>
          <cell r="D2376" t="str">
            <v>CORE</v>
          </cell>
          <cell r="E2376" t="str">
            <v>CO25</v>
          </cell>
          <cell r="F2376">
            <v>2799</v>
          </cell>
          <cell r="G2376" t="str">
            <v>US</v>
          </cell>
          <cell r="H2376" t="str">
            <v>USPUSMSHT</v>
          </cell>
          <cell r="I2376" t="str">
            <v>USSHTC0090H007</v>
          </cell>
          <cell r="J2376" t="str">
            <v>XL</v>
          </cell>
          <cell r="K2376" t="str">
            <v>SHIRT</v>
          </cell>
          <cell r="L2376" t="str">
            <v>NOD</v>
          </cell>
        </row>
        <row r="2377">
          <cell r="C2377" t="str">
            <v>USSHTC0090H</v>
          </cell>
          <cell r="D2377" t="str">
            <v>CORE</v>
          </cell>
          <cell r="E2377" t="str">
            <v>CO25</v>
          </cell>
          <cell r="F2377">
            <v>2799</v>
          </cell>
          <cell r="G2377" t="str">
            <v>US</v>
          </cell>
          <cell r="H2377" t="str">
            <v>USPUSMSHT</v>
          </cell>
          <cell r="I2377" t="str">
            <v>USSHTC0090H008</v>
          </cell>
          <cell r="J2377" t="str">
            <v>XXL</v>
          </cell>
          <cell r="K2377" t="str">
            <v>SHIRT</v>
          </cell>
          <cell r="L2377" t="str">
            <v>NOD</v>
          </cell>
        </row>
        <row r="2378">
          <cell r="C2378" t="str">
            <v>USSHTC0091</v>
          </cell>
          <cell r="D2378" t="str">
            <v>CORE</v>
          </cell>
          <cell r="E2378" t="str">
            <v>CO25</v>
          </cell>
          <cell r="F2378">
            <v>3159.66</v>
          </cell>
          <cell r="G2378" t="str">
            <v>US</v>
          </cell>
          <cell r="H2378" t="str">
            <v>USPUSMSHT</v>
          </cell>
          <cell r="I2378" t="str">
            <v>USSHTC0091001</v>
          </cell>
          <cell r="J2378" t="str">
            <v>3XL</v>
          </cell>
          <cell r="K2378" t="str">
            <v>SHIRT</v>
          </cell>
          <cell r="L2378" t="str">
            <v>NOD</v>
          </cell>
        </row>
        <row r="2379">
          <cell r="C2379" t="str">
            <v>USSHTC0091</v>
          </cell>
          <cell r="D2379" t="str">
            <v>CORE</v>
          </cell>
          <cell r="E2379" t="str">
            <v>CO25</v>
          </cell>
          <cell r="F2379">
            <v>3159.66</v>
          </cell>
          <cell r="G2379" t="str">
            <v>US</v>
          </cell>
          <cell r="H2379" t="str">
            <v>USPUSMSHT</v>
          </cell>
          <cell r="I2379" t="str">
            <v>USSHTC0091002</v>
          </cell>
          <cell r="J2379" t="str">
            <v>4XL</v>
          </cell>
          <cell r="K2379" t="str">
            <v>SHIRT</v>
          </cell>
          <cell r="L2379" t="str">
            <v>NOD</v>
          </cell>
        </row>
        <row r="2380">
          <cell r="C2380" t="str">
            <v>USSHTC0091</v>
          </cell>
          <cell r="D2380" t="str">
            <v>CORE</v>
          </cell>
          <cell r="E2380" t="str">
            <v>CO25</v>
          </cell>
          <cell r="F2380">
            <v>3159.66</v>
          </cell>
          <cell r="G2380" t="str">
            <v>US</v>
          </cell>
          <cell r="H2380" t="str">
            <v>USPUSMSHT</v>
          </cell>
          <cell r="I2380" t="str">
            <v>USSHTC0091003</v>
          </cell>
          <cell r="J2380" t="str">
            <v>5XL</v>
          </cell>
          <cell r="K2380" t="str">
            <v>SHIRT</v>
          </cell>
          <cell r="L2380" t="str">
            <v>NOD</v>
          </cell>
        </row>
        <row r="2381">
          <cell r="C2381" t="str">
            <v>USSHTC0091</v>
          </cell>
          <cell r="D2381" t="str">
            <v>CORE</v>
          </cell>
          <cell r="E2381" t="str">
            <v>CO25</v>
          </cell>
          <cell r="F2381">
            <v>2799</v>
          </cell>
          <cell r="G2381" t="str">
            <v>US</v>
          </cell>
          <cell r="H2381" t="str">
            <v>USPUSMSHT</v>
          </cell>
          <cell r="I2381" t="str">
            <v>USSHTC0091004</v>
          </cell>
          <cell r="J2381" t="str">
            <v>L</v>
          </cell>
          <cell r="K2381" t="str">
            <v>SHIRT</v>
          </cell>
          <cell r="L2381" t="str">
            <v>NOD</v>
          </cell>
        </row>
        <row r="2382">
          <cell r="C2382" t="str">
            <v>USSHTC0091</v>
          </cell>
          <cell r="D2382" t="str">
            <v>CORE</v>
          </cell>
          <cell r="E2382" t="str">
            <v>CO25</v>
          </cell>
          <cell r="F2382">
            <v>2799</v>
          </cell>
          <cell r="G2382" t="str">
            <v>US</v>
          </cell>
          <cell r="H2382" t="str">
            <v>USPUSMSHT</v>
          </cell>
          <cell r="I2382" t="str">
            <v>USSHTC0091005</v>
          </cell>
          <cell r="J2382" t="str">
            <v>M</v>
          </cell>
          <cell r="K2382" t="str">
            <v>SHIRT</v>
          </cell>
          <cell r="L2382" t="str">
            <v>NOD</v>
          </cell>
        </row>
        <row r="2383">
          <cell r="C2383" t="str">
            <v>USSHTC0091</v>
          </cell>
          <cell r="D2383" t="str">
            <v>CORE</v>
          </cell>
          <cell r="E2383" t="str">
            <v>CO25</v>
          </cell>
          <cell r="F2383">
            <v>2799</v>
          </cell>
          <cell r="G2383" t="str">
            <v>US</v>
          </cell>
          <cell r="H2383" t="str">
            <v>USPUSMSHT</v>
          </cell>
          <cell r="I2383" t="str">
            <v>USSHTC0091006</v>
          </cell>
          <cell r="J2383" t="str">
            <v>S</v>
          </cell>
          <cell r="K2383" t="str">
            <v>SHIRT</v>
          </cell>
          <cell r="L2383" t="str">
            <v>NOD</v>
          </cell>
        </row>
        <row r="2384">
          <cell r="C2384" t="str">
            <v>USSHTC0091</v>
          </cell>
          <cell r="D2384" t="str">
            <v>CORE</v>
          </cell>
          <cell r="E2384" t="str">
            <v>CO25</v>
          </cell>
          <cell r="F2384">
            <v>2799</v>
          </cell>
          <cell r="G2384" t="str">
            <v>US</v>
          </cell>
          <cell r="H2384" t="str">
            <v>USPUSMSHT</v>
          </cell>
          <cell r="I2384" t="str">
            <v>USSHTC0091007</v>
          </cell>
          <cell r="J2384" t="str">
            <v>XL</v>
          </cell>
          <cell r="K2384" t="str">
            <v>SHIRT</v>
          </cell>
          <cell r="L2384" t="str">
            <v>NOD</v>
          </cell>
        </row>
        <row r="2385">
          <cell r="C2385" t="str">
            <v>USSHTC0091</v>
          </cell>
          <cell r="D2385" t="str">
            <v>CORE</v>
          </cell>
          <cell r="E2385" t="str">
            <v>CO25</v>
          </cell>
          <cell r="F2385">
            <v>2799</v>
          </cell>
          <cell r="G2385" t="str">
            <v>US</v>
          </cell>
          <cell r="H2385" t="str">
            <v>USPUSMSHT</v>
          </cell>
          <cell r="I2385" t="str">
            <v>USSHTC0091008</v>
          </cell>
          <cell r="J2385" t="str">
            <v>XXL</v>
          </cell>
          <cell r="K2385" t="str">
            <v>SHIRT</v>
          </cell>
          <cell r="L2385" t="str">
            <v>NOD</v>
          </cell>
        </row>
        <row r="2386">
          <cell r="C2386" t="str">
            <v>USSHTC0091H</v>
          </cell>
          <cell r="D2386" t="str">
            <v>CORE</v>
          </cell>
          <cell r="E2386" t="str">
            <v>CO25</v>
          </cell>
          <cell r="F2386">
            <v>3159.66</v>
          </cell>
          <cell r="G2386" t="str">
            <v>US</v>
          </cell>
          <cell r="H2386" t="str">
            <v>USPUSMSHT</v>
          </cell>
          <cell r="I2386" t="str">
            <v>USSHTC0091H001</v>
          </cell>
          <cell r="J2386" t="str">
            <v>3XL</v>
          </cell>
          <cell r="K2386" t="str">
            <v>SHIRT</v>
          </cell>
          <cell r="L2386" t="str">
            <v>NOD</v>
          </cell>
        </row>
        <row r="2387">
          <cell r="C2387" t="str">
            <v>USSHTC0091H</v>
          </cell>
          <cell r="D2387" t="str">
            <v>CORE</v>
          </cell>
          <cell r="E2387" t="str">
            <v>CO25</v>
          </cell>
          <cell r="F2387">
            <v>3159.66</v>
          </cell>
          <cell r="G2387" t="str">
            <v>US</v>
          </cell>
          <cell r="H2387" t="str">
            <v>USPUSMSHT</v>
          </cell>
          <cell r="I2387" t="str">
            <v>USSHTC0091H002</v>
          </cell>
          <cell r="J2387" t="str">
            <v>4XL</v>
          </cell>
          <cell r="K2387" t="str">
            <v>SHIRT</v>
          </cell>
          <cell r="L2387" t="str">
            <v>NOD</v>
          </cell>
        </row>
        <row r="2388">
          <cell r="C2388" t="str">
            <v>USSHTC0091H</v>
          </cell>
          <cell r="D2388" t="str">
            <v>CORE</v>
          </cell>
          <cell r="E2388" t="str">
            <v>CO25</v>
          </cell>
          <cell r="F2388">
            <v>3159.66</v>
          </cell>
          <cell r="G2388" t="str">
            <v>US</v>
          </cell>
          <cell r="H2388" t="str">
            <v>USPUSMSHT</v>
          </cell>
          <cell r="I2388" t="str">
            <v>USSHTC0091H003</v>
          </cell>
          <cell r="J2388" t="str">
            <v>5XL</v>
          </cell>
          <cell r="K2388" t="str">
            <v>SHIRT</v>
          </cell>
          <cell r="L2388" t="str">
            <v>NOD</v>
          </cell>
        </row>
        <row r="2389">
          <cell r="C2389" t="str">
            <v>USSHTC0091H</v>
          </cell>
          <cell r="D2389" t="str">
            <v>CORE</v>
          </cell>
          <cell r="E2389" t="str">
            <v>CO25</v>
          </cell>
          <cell r="F2389">
            <v>2799</v>
          </cell>
          <cell r="G2389" t="str">
            <v>US</v>
          </cell>
          <cell r="H2389" t="str">
            <v>USPUSMSHT</v>
          </cell>
          <cell r="I2389" t="str">
            <v>USSHTC0091H004</v>
          </cell>
          <cell r="J2389" t="str">
            <v>L</v>
          </cell>
          <cell r="K2389" t="str">
            <v>SHIRT</v>
          </cell>
          <cell r="L2389" t="str">
            <v>NOD</v>
          </cell>
        </row>
        <row r="2390">
          <cell r="C2390" t="str">
            <v>USSHTC0091H</v>
          </cell>
          <cell r="D2390" t="str">
            <v>CORE</v>
          </cell>
          <cell r="E2390" t="str">
            <v>CO25</v>
          </cell>
          <cell r="F2390">
            <v>2799</v>
          </cell>
          <cell r="G2390" t="str">
            <v>US</v>
          </cell>
          <cell r="H2390" t="str">
            <v>USPUSMSHT</v>
          </cell>
          <cell r="I2390" t="str">
            <v>USSHTC0091H005</v>
          </cell>
          <cell r="J2390" t="str">
            <v>M</v>
          </cell>
          <cell r="K2390" t="str">
            <v>SHIRT</v>
          </cell>
          <cell r="L2390" t="str">
            <v>NOD</v>
          </cell>
        </row>
        <row r="2391">
          <cell r="C2391" t="str">
            <v>USSHTC0091H</v>
          </cell>
          <cell r="D2391" t="str">
            <v>CORE</v>
          </cell>
          <cell r="E2391" t="str">
            <v>CO25</v>
          </cell>
          <cell r="F2391">
            <v>2799</v>
          </cell>
          <cell r="G2391" t="str">
            <v>US</v>
          </cell>
          <cell r="H2391" t="str">
            <v>USPUSMSHT</v>
          </cell>
          <cell r="I2391" t="str">
            <v>USSHTC0091H006</v>
          </cell>
          <cell r="J2391" t="str">
            <v>S</v>
          </cell>
          <cell r="K2391" t="str">
            <v>SHIRT</v>
          </cell>
          <cell r="L2391" t="str">
            <v>NOD</v>
          </cell>
        </row>
        <row r="2392">
          <cell r="C2392" t="str">
            <v>USSHTC0091H</v>
          </cell>
          <cell r="D2392" t="str">
            <v>CORE</v>
          </cell>
          <cell r="E2392" t="str">
            <v>CO25</v>
          </cell>
          <cell r="F2392">
            <v>2799</v>
          </cell>
          <cell r="G2392" t="str">
            <v>US</v>
          </cell>
          <cell r="H2392" t="str">
            <v>USPUSMSHT</v>
          </cell>
          <cell r="I2392" t="str">
            <v>USSHTC0091H007</v>
          </cell>
          <cell r="J2392" t="str">
            <v>XL</v>
          </cell>
          <cell r="K2392" t="str">
            <v>SHIRT</v>
          </cell>
          <cell r="L2392" t="str">
            <v>NOD</v>
          </cell>
        </row>
        <row r="2393">
          <cell r="C2393" t="str">
            <v>USSHTC0091H</v>
          </cell>
          <cell r="D2393" t="str">
            <v>CORE</v>
          </cell>
          <cell r="E2393" t="str">
            <v>CO25</v>
          </cell>
          <cell r="F2393">
            <v>2799</v>
          </cell>
          <cell r="G2393" t="str">
            <v>US</v>
          </cell>
          <cell r="H2393" t="str">
            <v>USPUSMSHT</v>
          </cell>
          <cell r="I2393" t="str">
            <v>USSHTC0091H008</v>
          </cell>
          <cell r="J2393" t="str">
            <v>XXL</v>
          </cell>
          <cell r="K2393" t="str">
            <v>SHIRT</v>
          </cell>
          <cell r="L2393" t="str">
            <v>NOD</v>
          </cell>
        </row>
        <row r="2394">
          <cell r="C2394" t="str">
            <v>USTR01874A</v>
          </cell>
          <cell r="D2394" t="str">
            <v>CORE</v>
          </cell>
          <cell r="E2394" t="str">
            <v>CO26</v>
          </cell>
          <cell r="F2394">
            <v>3475</v>
          </cell>
          <cell r="G2394" t="str">
            <v>US</v>
          </cell>
          <cell r="H2394" t="str">
            <v>USPUSMTRO</v>
          </cell>
          <cell r="I2394" t="str">
            <v>USTR01874A001</v>
          </cell>
          <cell r="J2394" t="str">
            <v>28</v>
          </cell>
          <cell r="K2394" t="str">
            <v>TROUSER</v>
          </cell>
          <cell r="L2394" t="str">
            <v>NOD</v>
          </cell>
        </row>
        <row r="2395">
          <cell r="C2395" t="str">
            <v>USTR01874A</v>
          </cell>
          <cell r="D2395" t="str">
            <v>CORE</v>
          </cell>
          <cell r="E2395" t="str">
            <v>CO26</v>
          </cell>
          <cell r="F2395">
            <v>3475</v>
          </cell>
          <cell r="G2395" t="str">
            <v>US</v>
          </cell>
          <cell r="H2395" t="str">
            <v>USPUSMTRO</v>
          </cell>
          <cell r="I2395" t="str">
            <v>USTR01874A002</v>
          </cell>
          <cell r="J2395" t="str">
            <v>30</v>
          </cell>
          <cell r="K2395" t="str">
            <v>TROUSER</v>
          </cell>
          <cell r="L2395" t="str">
            <v>NOD</v>
          </cell>
        </row>
        <row r="2396">
          <cell r="C2396" t="str">
            <v>USTR01874A</v>
          </cell>
          <cell r="D2396" t="str">
            <v>CORE</v>
          </cell>
          <cell r="E2396" t="str">
            <v>CO26</v>
          </cell>
          <cell r="F2396">
            <v>3475</v>
          </cell>
          <cell r="G2396" t="str">
            <v>US</v>
          </cell>
          <cell r="H2396" t="str">
            <v>USPUSMTRO</v>
          </cell>
          <cell r="I2396" t="str">
            <v>USTR01874A003</v>
          </cell>
          <cell r="J2396" t="str">
            <v>32</v>
          </cell>
          <cell r="K2396" t="str">
            <v>TROUSER</v>
          </cell>
          <cell r="L2396" t="str">
            <v>NOD</v>
          </cell>
        </row>
        <row r="2397">
          <cell r="C2397" t="str">
            <v>USTR01874A</v>
          </cell>
          <cell r="D2397" t="str">
            <v>CORE</v>
          </cell>
          <cell r="E2397" t="str">
            <v>CO26</v>
          </cell>
          <cell r="F2397">
            <v>3475</v>
          </cell>
          <cell r="G2397" t="str">
            <v>US</v>
          </cell>
          <cell r="H2397" t="str">
            <v>USPUSMTRO</v>
          </cell>
          <cell r="I2397" t="str">
            <v>USTR01874A004</v>
          </cell>
          <cell r="J2397" t="str">
            <v>34</v>
          </cell>
          <cell r="K2397" t="str">
            <v>TROUSER</v>
          </cell>
          <cell r="L2397" t="str">
            <v>NOD</v>
          </cell>
        </row>
        <row r="2398">
          <cell r="C2398" t="str">
            <v>USTR01874A</v>
          </cell>
          <cell r="D2398" t="str">
            <v>CORE</v>
          </cell>
          <cell r="E2398" t="str">
            <v>CO26</v>
          </cell>
          <cell r="F2398">
            <v>3475</v>
          </cell>
          <cell r="G2398" t="str">
            <v>US</v>
          </cell>
          <cell r="H2398" t="str">
            <v>USPUSMTRO</v>
          </cell>
          <cell r="I2398" t="str">
            <v>USTR01874A005</v>
          </cell>
          <cell r="J2398" t="str">
            <v>36</v>
          </cell>
          <cell r="K2398" t="str">
            <v>TROUSER</v>
          </cell>
          <cell r="L2398" t="str">
            <v>NOD</v>
          </cell>
        </row>
        <row r="2399">
          <cell r="C2399" t="str">
            <v>USTR01874A</v>
          </cell>
          <cell r="D2399" t="str">
            <v>CORE</v>
          </cell>
          <cell r="E2399" t="str">
            <v>CO26</v>
          </cell>
          <cell r="F2399">
            <v>3475</v>
          </cell>
          <cell r="G2399" t="str">
            <v>US</v>
          </cell>
          <cell r="H2399" t="str">
            <v>USPUSMTRO</v>
          </cell>
          <cell r="I2399" t="str">
            <v>USTR01874A006</v>
          </cell>
          <cell r="J2399" t="str">
            <v>38</v>
          </cell>
          <cell r="K2399" t="str">
            <v>TROUSER</v>
          </cell>
          <cell r="L2399" t="str">
            <v>NOD</v>
          </cell>
        </row>
        <row r="2400">
          <cell r="C2400" t="str">
            <v>USTR01874A</v>
          </cell>
          <cell r="D2400" t="str">
            <v>CORE</v>
          </cell>
          <cell r="E2400" t="str">
            <v>CO26</v>
          </cell>
          <cell r="F2400">
            <v>3475</v>
          </cell>
          <cell r="G2400" t="str">
            <v>US</v>
          </cell>
          <cell r="H2400" t="str">
            <v>USPUSMTRO</v>
          </cell>
          <cell r="I2400" t="str">
            <v>USTR01874A007</v>
          </cell>
          <cell r="J2400" t="str">
            <v>40</v>
          </cell>
          <cell r="K2400" t="str">
            <v>TROUSER</v>
          </cell>
          <cell r="L2400" t="str">
            <v>NOD</v>
          </cell>
        </row>
        <row r="2401">
          <cell r="C2401" t="str">
            <v>USTR01874A</v>
          </cell>
          <cell r="D2401" t="str">
            <v>CORE</v>
          </cell>
          <cell r="E2401" t="str">
            <v>CO26</v>
          </cell>
          <cell r="F2401">
            <v>3475</v>
          </cell>
          <cell r="G2401" t="str">
            <v>US</v>
          </cell>
          <cell r="H2401" t="str">
            <v>USPUSMTRO</v>
          </cell>
          <cell r="I2401" t="str">
            <v>USTR01874A008</v>
          </cell>
          <cell r="J2401" t="str">
            <v>42</v>
          </cell>
          <cell r="K2401" t="str">
            <v>TROUSER</v>
          </cell>
          <cell r="L2401" t="str">
            <v>NOD</v>
          </cell>
        </row>
        <row r="2402">
          <cell r="C2402" t="str">
            <v>USTR01874A</v>
          </cell>
          <cell r="D2402" t="str">
            <v>CORE</v>
          </cell>
          <cell r="E2402" t="str">
            <v>CO26</v>
          </cell>
          <cell r="F2402">
            <v>3686</v>
          </cell>
          <cell r="G2402" t="str">
            <v>US</v>
          </cell>
          <cell r="H2402" t="str">
            <v>USPUSMTRO</v>
          </cell>
          <cell r="I2402" t="str">
            <v>USTR01874A009</v>
          </cell>
          <cell r="J2402" t="str">
            <v>44</v>
          </cell>
          <cell r="K2402" t="str">
            <v>TROUSER</v>
          </cell>
          <cell r="L2402" t="str">
            <v>NOD</v>
          </cell>
        </row>
        <row r="2403">
          <cell r="C2403" t="str">
            <v>USTR01874A</v>
          </cell>
          <cell r="D2403" t="str">
            <v>CORE</v>
          </cell>
          <cell r="E2403" t="str">
            <v>CO26</v>
          </cell>
          <cell r="F2403">
            <v>3686</v>
          </cell>
          <cell r="G2403" t="str">
            <v>US</v>
          </cell>
          <cell r="H2403" t="str">
            <v>USPUSMTRO</v>
          </cell>
          <cell r="I2403" t="str">
            <v>USTR01874A010</v>
          </cell>
          <cell r="J2403" t="str">
            <v>46</v>
          </cell>
          <cell r="K2403" t="str">
            <v>TROUSER</v>
          </cell>
          <cell r="L2403" t="str">
            <v>NOD</v>
          </cell>
        </row>
        <row r="2404">
          <cell r="C2404" t="str">
            <v>USTR01874A</v>
          </cell>
          <cell r="D2404" t="str">
            <v>CORE</v>
          </cell>
          <cell r="E2404" t="str">
            <v>CO26</v>
          </cell>
          <cell r="F2404">
            <v>3686</v>
          </cell>
          <cell r="G2404" t="str">
            <v>US</v>
          </cell>
          <cell r="H2404" t="str">
            <v>USPUSMTRO</v>
          </cell>
          <cell r="I2404" t="str">
            <v>USTR01874A011</v>
          </cell>
          <cell r="J2404" t="str">
            <v>48</v>
          </cell>
          <cell r="K2404" t="str">
            <v>TROUSER</v>
          </cell>
          <cell r="L2404" t="str">
            <v>NOD</v>
          </cell>
        </row>
        <row r="2405">
          <cell r="C2405" t="str">
            <v>USTR01876A</v>
          </cell>
          <cell r="D2405" t="str">
            <v>CORE</v>
          </cell>
          <cell r="E2405" t="str">
            <v>CO26</v>
          </cell>
          <cell r="F2405">
            <v>3475</v>
          </cell>
          <cell r="G2405" t="str">
            <v>US</v>
          </cell>
          <cell r="H2405" t="str">
            <v>USPUSMTRO</v>
          </cell>
          <cell r="I2405" t="str">
            <v>USTR01876A001</v>
          </cell>
          <cell r="J2405" t="str">
            <v>28</v>
          </cell>
          <cell r="K2405" t="str">
            <v>TROUSER</v>
          </cell>
          <cell r="L2405" t="str">
            <v>NOD</v>
          </cell>
        </row>
        <row r="2406">
          <cell r="C2406" t="str">
            <v>USTR01876A</v>
          </cell>
          <cell r="D2406" t="str">
            <v>CORE</v>
          </cell>
          <cell r="E2406" t="str">
            <v>CO26</v>
          </cell>
          <cell r="F2406">
            <v>3475</v>
          </cell>
          <cell r="G2406" t="str">
            <v>US</v>
          </cell>
          <cell r="H2406" t="str">
            <v>USPUSMTRO</v>
          </cell>
          <cell r="I2406" t="str">
            <v>USTR01876A002</v>
          </cell>
          <cell r="J2406" t="str">
            <v>30</v>
          </cell>
          <cell r="K2406" t="str">
            <v>TROUSER</v>
          </cell>
          <cell r="L2406" t="str">
            <v>NOD</v>
          </cell>
        </row>
        <row r="2407">
          <cell r="C2407" t="str">
            <v>USTR01876A</v>
          </cell>
          <cell r="D2407" t="str">
            <v>CORE</v>
          </cell>
          <cell r="E2407" t="str">
            <v>CO26</v>
          </cell>
          <cell r="F2407">
            <v>3475</v>
          </cell>
          <cell r="G2407" t="str">
            <v>US</v>
          </cell>
          <cell r="H2407" t="str">
            <v>USPUSMTRO</v>
          </cell>
          <cell r="I2407" t="str">
            <v>USTR01876A003</v>
          </cell>
          <cell r="J2407" t="str">
            <v>32</v>
          </cell>
          <cell r="K2407" t="str">
            <v>TROUSER</v>
          </cell>
          <cell r="L2407" t="str">
            <v>NOD</v>
          </cell>
        </row>
        <row r="2408">
          <cell r="C2408" t="str">
            <v>USTR01876A</v>
          </cell>
          <cell r="D2408" t="str">
            <v>CORE</v>
          </cell>
          <cell r="E2408" t="str">
            <v>CO26</v>
          </cell>
          <cell r="F2408">
            <v>3475</v>
          </cell>
          <cell r="G2408" t="str">
            <v>US</v>
          </cell>
          <cell r="H2408" t="str">
            <v>USPUSMTRO</v>
          </cell>
          <cell r="I2408" t="str">
            <v>USTR01876A004</v>
          </cell>
          <cell r="J2408" t="str">
            <v>34</v>
          </cell>
          <cell r="K2408" t="str">
            <v>TROUSER</v>
          </cell>
          <cell r="L2408" t="str">
            <v>NOD</v>
          </cell>
        </row>
        <row r="2409">
          <cell r="C2409" t="str">
            <v>USTR01876A</v>
          </cell>
          <cell r="D2409" t="str">
            <v>CORE</v>
          </cell>
          <cell r="E2409" t="str">
            <v>CO26</v>
          </cell>
          <cell r="F2409">
            <v>3475</v>
          </cell>
          <cell r="G2409" t="str">
            <v>US</v>
          </cell>
          <cell r="H2409" t="str">
            <v>USPUSMTRO</v>
          </cell>
          <cell r="I2409" t="str">
            <v>USTR01876A005</v>
          </cell>
          <cell r="J2409" t="str">
            <v>36</v>
          </cell>
          <cell r="K2409" t="str">
            <v>TROUSER</v>
          </cell>
          <cell r="L2409" t="str">
            <v>NOD</v>
          </cell>
        </row>
        <row r="2410">
          <cell r="C2410" t="str">
            <v>USTR01876A</v>
          </cell>
          <cell r="D2410" t="str">
            <v>CORE</v>
          </cell>
          <cell r="E2410" t="str">
            <v>CO26</v>
          </cell>
          <cell r="F2410">
            <v>3475</v>
          </cell>
          <cell r="G2410" t="str">
            <v>US</v>
          </cell>
          <cell r="H2410" t="str">
            <v>USPUSMTRO</v>
          </cell>
          <cell r="I2410" t="str">
            <v>USTR01876A006</v>
          </cell>
          <cell r="J2410" t="str">
            <v>38</v>
          </cell>
          <cell r="K2410" t="str">
            <v>TROUSER</v>
          </cell>
          <cell r="L2410" t="str">
            <v>NOD</v>
          </cell>
        </row>
        <row r="2411">
          <cell r="C2411" t="str">
            <v>USTR01876A</v>
          </cell>
          <cell r="D2411" t="str">
            <v>CORE</v>
          </cell>
          <cell r="E2411" t="str">
            <v>CO26</v>
          </cell>
          <cell r="F2411">
            <v>3475</v>
          </cell>
          <cell r="G2411" t="str">
            <v>US</v>
          </cell>
          <cell r="H2411" t="str">
            <v>USPUSMTRO</v>
          </cell>
          <cell r="I2411" t="str">
            <v>USTR01876A007</v>
          </cell>
          <cell r="J2411" t="str">
            <v>40</v>
          </cell>
          <cell r="K2411" t="str">
            <v>TROUSER</v>
          </cell>
          <cell r="L2411" t="str">
            <v>NOD</v>
          </cell>
        </row>
        <row r="2412">
          <cell r="C2412" t="str">
            <v>USTR01876A</v>
          </cell>
          <cell r="D2412" t="str">
            <v>CORE</v>
          </cell>
          <cell r="E2412" t="str">
            <v>CO26</v>
          </cell>
          <cell r="F2412">
            <v>3475</v>
          </cell>
          <cell r="G2412" t="str">
            <v>US</v>
          </cell>
          <cell r="H2412" t="str">
            <v>USPUSMTRO</v>
          </cell>
          <cell r="I2412" t="str">
            <v>USTR01876A008</v>
          </cell>
          <cell r="J2412" t="str">
            <v>42</v>
          </cell>
          <cell r="K2412" t="str">
            <v>TROUSER</v>
          </cell>
          <cell r="L2412" t="str">
            <v>NOD</v>
          </cell>
        </row>
        <row r="2413">
          <cell r="C2413" t="str">
            <v>USTR01876A</v>
          </cell>
          <cell r="D2413" t="str">
            <v>CORE</v>
          </cell>
          <cell r="E2413" t="str">
            <v>CO26</v>
          </cell>
          <cell r="F2413">
            <v>3686</v>
          </cell>
          <cell r="G2413" t="str">
            <v>US</v>
          </cell>
          <cell r="H2413" t="str">
            <v>USPUSMTRO</v>
          </cell>
          <cell r="I2413" t="str">
            <v>USTR01876A009</v>
          </cell>
          <cell r="J2413" t="str">
            <v>44</v>
          </cell>
          <cell r="K2413" t="str">
            <v>TROUSER</v>
          </cell>
          <cell r="L2413" t="str">
            <v>NOD</v>
          </cell>
        </row>
        <row r="2414">
          <cell r="C2414" t="str">
            <v>USTR01876A</v>
          </cell>
          <cell r="D2414" t="str">
            <v>CORE</v>
          </cell>
          <cell r="E2414" t="str">
            <v>CO26</v>
          </cell>
          <cell r="F2414">
            <v>3686</v>
          </cell>
          <cell r="G2414" t="str">
            <v>US</v>
          </cell>
          <cell r="H2414" t="str">
            <v>USPUSMTRO</v>
          </cell>
          <cell r="I2414" t="str">
            <v>USTR01876A010</v>
          </cell>
          <cell r="J2414" t="str">
            <v>46</v>
          </cell>
          <cell r="K2414" t="str">
            <v>TROUSER</v>
          </cell>
          <cell r="L2414" t="str">
            <v>NOD</v>
          </cell>
        </row>
        <row r="2415">
          <cell r="C2415" t="str">
            <v>USTR01876A</v>
          </cell>
          <cell r="D2415" t="str">
            <v>CORE</v>
          </cell>
          <cell r="E2415" t="str">
            <v>CO26</v>
          </cell>
          <cell r="F2415">
            <v>3686</v>
          </cell>
          <cell r="G2415" t="str">
            <v>US</v>
          </cell>
          <cell r="H2415" t="str">
            <v>USPUSMTRO</v>
          </cell>
          <cell r="I2415" t="str">
            <v>USTR01876A011</v>
          </cell>
          <cell r="J2415" t="str">
            <v>48</v>
          </cell>
          <cell r="K2415" t="str">
            <v>TROUSER</v>
          </cell>
          <cell r="L2415" t="str">
            <v>NOD</v>
          </cell>
        </row>
        <row r="2416">
          <cell r="C2416" t="str">
            <v>USTRO0513</v>
          </cell>
          <cell r="D2416" t="str">
            <v>CORE</v>
          </cell>
          <cell r="E2416" t="str">
            <v>CO26</v>
          </cell>
          <cell r="F2416">
            <v>2799</v>
          </cell>
          <cell r="G2416" t="str">
            <v>US</v>
          </cell>
          <cell r="H2416" t="str">
            <v>USPUSMTRO</v>
          </cell>
          <cell r="I2416" t="str">
            <v>USTRO0513001</v>
          </cell>
          <cell r="J2416" t="str">
            <v>28</v>
          </cell>
          <cell r="K2416" t="str">
            <v>TROUSER</v>
          </cell>
          <cell r="L2416" t="str">
            <v>NOD</v>
          </cell>
        </row>
        <row r="2417">
          <cell r="C2417" t="str">
            <v>USTRO0513</v>
          </cell>
          <cell r="D2417" t="str">
            <v>CORE</v>
          </cell>
          <cell r="E2417" t="str">
            <v>CO26</v>
          </cell>
          <cell r="F2417">
            <v>2799</v>
          </cell>
          <cell r="G2417" t="str">
            <v>US</v>
          </cell>
          <cell r="H2417" t="str">
            <v>USPUSMTRO</v>
          </cell>
          <cell r="I2417" t="str">
            <v>USTRO0513002</v>
          </cell>
          <cell r="J2417" t="str">
            <v>30</v>
          </cell>
          <cell r="K2417" t="str">
            <v>TROUSER</v>
          </cell>
          <cell r="L2417" t="str">
            <v>NOD</v>
          </cell>
        </row>
        <row r="2418">
          <cell r="C2418" t="str">
            <v>USTRO0513</v>
          </cell>
          <cell r="D2418" t="str">
            <v>CORE</v>
          </cell>
          <cell r="E2418" t="str">
            <v>CO26</v>
          </cell>
          <cell r="F2418">
            <v>2799</v>
          </cell>
          <cell r="G2418" t="str">
            <v>US</v>
          </cell>
          <cell r="H2418" t="str">
            <v>USPUSMTRO</v>
          </cell>
          <cell r="I2418" t="str">
            <v>USTRO0513003</v>
          </cell>
          <cell r="J2418" t="str">
            <v>32</v>
          </cell>
          <cell r="K2418" t="str">
            <v>TROUSER</v>
          </cell>
          <cell r="L2418" t="str">
            <v>NOD</v>
          </cell>
        </row>
        <row r="2419">
          <cell r="C2419" t="str">
            <v>USTRO0513</v>
          </cell>
          <cell r="D2419" t="str">
            <v>CORE</v>
          </cell>
          <cell r="E2419" t="str">
            <v>CO26</v>
          </cell>
          <cell r="F2419">
            <v>2799</v>
          </cell>
          <cell r="G2419" t="str">
            <v>US</v>
          </cell>
          <cell r="H2419" t="str">
            <v>USPUSMTRO</v>
          </cell>
          <cell r="I2419" t="str">
            <v>USTRO0513004</v>
          </cell>
          <cell r="J2419" t="str">
            <v>34</v>
          </cell>
          <cell r="K2419" t="str">
            <v>TROUSER</v>
          </cell>
          <cell r="L2419" t="str">
            <v>NOD</v>
          </cell>
        </row>
        <row r="2420">
          <cell r="C2420" t="str">
            <v>USTRO0513</v>
          </cell>
          <cell r="D2420" t="str">
            <v>CORE</v>
          </cell>
          <cell r="E2420" t="str">
            <v>CO26</v>
          </cell>
          <cell r="F2420">
            <v>2799</v>
          </cell>
          <cell r="G2420" t="str">
            <v>US</v>
          </cell>
          <cell r="H2420" t="str">
            <v>USPUSMTRO</v>
          </cell>
          <cell r="I2420" t="str">
            <v>USTRO0513005</v>
          </cell>
          <cell r="J2420" t="str">
            <v>36</v>
          </cell>
          <cell r="K2420" t="str">
            <v>TROUSER</v>
          </cell>
          <cell r="L2420" t="str">
            <v>NOD</v>
          </cell>
        </row>
        <row r="2421">
          <cell r="C2421" t="str">
            <v>USTRO0513</v>
          </cell>
          <cell r="D2421" t="str">
            <v>CORE</v>
          </cell>
          <cell r="E2421" t="str">
            <v>CO26</v>
          </cell>
          <cell r="F2421">
            <v>2799</v>
          </cell>
          <cell r="G2421" t="str">
            <v>US</v>
          </cell>
          <cell r="H2421" t="str">
            <v>USPUSMTRO</v>
          </cell>
          <cell r="I2421" t="str">
            <v>USTRO0513006</v>
          </cell>
          <cell r="J2421" t="str">
            <v>38</v>
          </cell>
          <cell r="K2421" t="str">
            <v>TROUSER</v>
          </cell>
          <cell r="L2421" t="str">
            <v>NOD</v>
          </cell>
        </row>
        <row r="2422">
          <cell r="C2422" t="str">
            <v>USTRO0513</v>
          </cell>
          <cell r="D2422" t="str">
            <v>CORE</v>
          </cell>
          <cell r="E2422" t="str">
            <v>CO26</v>
          </cell>
          <cell r="F2422">
            <v>2799</v>
          </cell>
          <cell r="G2422" t="str">
            <v>US</v>
          </cell>
          <cell r="H2422" t="str">
            <v>USPUSMTRO</v>
          </cell>
          <cell r="I2422" t="str">
            <v>USTRO0513007</v>
          </cell>
          <cell r="J2422" t="str">
            <v>40</v>
          </cell>
          <cell r="K2422" t="str">
            <v>TROUSER</v>
          </cell>
          <cell r="L2422" t="str">
            <v>NOD</v>
          </cell>
        </row>
        <row r="2423">
          <cell r="C2423" t="str">
            <v>USTRO0513</v>
          </cell>
          <cell r="D2423" t="str">
            <v>CORE</v>
          </cell>
          <cell r="E2423" t="str">
            <v>CO26</v>
          </cell>
          <cell r="F2423">
            <v>2799</v>
          </cell>
          <cell r="G2423" t="str">
            <v>US</v>
          </cell>
          <cell r="H2423" t="str">
            <v>USPUSMTRO</v>
          </cell>
          <cell r="I2423" t="str">
            <v>USTRO0513008</v>
          </cell>
          <cell r="J2423" t="str">
            <v>42</v>
          </cell>
          <cell r="K2423" t="str">
            <v>TROUSER</v>
          </cell>
          <cell r="L2423" t="str">
            <v>NOD</v>
          </cell>
        </row>
        <row r="2424">
          <cell r="C2424" t="str">
            <v>USTRO0513</v>
          </cell>
          <cell r="D2424" t="str">
            <v>CORE</v>
          </cell>
          <cell r="E2424" t="str">
            <v>CO26</v>
          </cell>
          <cell r="F2424">
            <v>2799</v>
          </cell>
          <cell r="G2424" t="str">
            <v>US</v>
          </cell>
          <cell r="H2424" t="str">
            <v>USPUSMTRO</v>
          </cell>
          <cell r="I2424" t="str">
            <v>USTRO0513009</v>
          </cell>
          <cell r="J2424" t="str">
            <v>44</v>
          </cell>
          <cell r="K2424" t="str">
            <v>TROUSER</v>
          </cell>
          <cell r="L2424" t="str">
            <v>NOD</v>
          </cell>
        </row>
        <row r="2425">
          <cell r="C2425" t="str">
            <v>USTRO0513</v>
          </cell>
          <cell r="D2425" t="str">
            <v>CORE</v>
          </cell>
          <cell r="E2425" t="str">
            <v>CO26</v>
          </cell>
          <cell r="F2425">
            <v>3159</v>
          </cell>
          <cell r="G2425" t="str">
            <v>US</v>
          </cell>
          <cell r="H2425" t="str">
            <v>USPUSMTRO</v>
          </cell>
          <cell r="I2425" t="str">
            <v>USTRO0513010</v>
          </cell>
          <cell r="J2425" t="str">
            <v>46</v>
          </cell>
          <cell r="K2425" t="str">
            <v>TROUSER</v>
          </cell>
          <cell r="L2425" t="str">
            <v>NOD</v>
          </cell>
        </row>
        <row r="2426">
          <cell r="C2426" t="str">
            <v>USTRO0513</v>
          </cell>
          <cell r="D2426" t="str">
            <v>CORE</v>
          </cell>
          <cell r="E2426" t="str">
            <v>CO26</v>
          </cell>
          <cell r="F2426">
            <v>3159</v>
          </cell>
          <cell r="G2426" t="str">
            <v>US</v>
          </cell>
          <cell r="H2426" t="str">
            <v>USPUSMTRO</v>
          </cell>
          <cell r="I2426" t="str">
            <v>USTRO0513011</v>
          </cell>
          <cell r="J2426" t="str">
            <v>48</v>
          </cell>
          <cell r="K2426" t="str">
            <v>TROUSER</v>
          </cell>
          <cell r="L2426" t="str">
            <v>NOD</v>
          </cell>
        </row>
        <row r="2427">
          <cell r="C2427" t="str">
            <v>USTRO0513D</v>
          </cell>
          <cell r="D2427" t="str">
            <v>CORE</v>
          </cell>
          <cell r="E2427" t="str">
            <v>CO26</v>
          </cell>
          <cell r="F2427">
            <v>2799</v>
          </cell>
          <cell r="G2427" t="str">
            <v>US</v>
          </cell>
          <cell r="H2427" t="str">
            <v>USPUSMTRO</v>
          </cell>
          <cell r="I2427" t="str">
            <v>USTRO0513D001</v>
          </cell>
          <cell r="J2427" t="str">
            <v>28</v>
          </cell>
          <cell r="K2427" t="str">
            <v>TROUSER</v>
          </cell>
          <cell r="L2427" t="str">
            <v>NOD</v>
          </cell>
        </row>
        <row r="2428">
          <cell r="C2428" t="str">
            <v>USTRO0513D</v>
          </cell>
          <cell r="D2428" t="str">
            <v>CORE</v>
          </cell>
          <cell r="E2428" t="str">
            <v>CO26</v>
          </cell>
          <cell r="F2428">
            <v>2799</v>
          </cell>
          <cell r="G2428" t="str">
            <v>US</v>
          </cell>
          <cell r="H2428" t="str">
            <v>USPUSMTRO</v>
          </cell>
          <cell r="I2428" t="str">
            <v>USTRO0513D002</v>
          </cell>
          <cell r="J2428" t="str">
            <v>30</v>
          </cell>
          <cell r="K2428" t="str">
            <v>TROUSER</v>
          </cell>
          <cell r="L2428" t="str">
            <v>NOD</v>
          </cell>
        </row>
        <row r="2429">
          <cell r="C2429" t="str">
            <v>USTRO0513D</v>
          </cell>
          <cell r="D2429" t="str">
            <v>CORE</v>
          </cell>
          <cell r="E2429" t="str">
            <v>CO26</v>
          </cell>
          <cell r="F2429">
            <v>2799</v>
          </cell>
          <cell r="G2429" t="str">
            <v>US</v>
          </cell>
          <cell r="H2429" t="str">
            <v>USPUSMTRO</v>
          </cell>
          <cell r="I2429" t="str">
            <v>USTRO0513D003</v>
          </cell>
          <cell r="J2429" t="str">
            <v>32</v>
          </cell>
          <cell r="K2429" t="str">
            <v>TROUSER</v>
          </cell>
          <cell r="L2429" t="str">
            <v>NOD</v>
          </cell>
        </row>
        <row r="2430">
          <cell r="C2430" t="str">
            <v>USTRO0513D</v>
          </cell>
          <cell r="D2430" t="str">
            <v>CORE</v>
          </cell>
          <cell r="E2430" t="str">
            <v>CO26</v>
          </cell>
          <cell r="F2430">
            <v>2799</v>
          </cell>
          <cell r="G2430" t="str">
            <v>US</v>
          </cell>
          <cell r="H2430" t="str">
            <v>USPUSMTRO</v>
          </cell>
          <cell r="I2430" t="str">
            <v>USTRO0513D004</v>
          </cell>
          <cell r="J2430" t="str">
            <v>34</v>
          </cell>
          <cell r="K2430" t="str">
            <v>TROUSER</v>
          </cell>
          <cell r="L2430" t="str">
            <v>NOD</v>
          </cell>
        </row>
        <row r="2431">
          <cell r="C2431" t="str">
            <v>USTRO0513D</v>
          </cell>
          <cell r="D2431" t="str">
            <v>CORE</v>
          </cell>
          <cell r="E2431" t="str">
            <v>CO26</v>
          </cell>
          <cell r="F2431">
            <v>2799</v>
          </cell>
          <cell r="G2431" t="str">
            <v>US</v>
          </cell>
          <cell r="H2431" t="str">
            <v>USPUSMTRO</v>
          </cell>
          <cell r="I2431" t="str">
            <v>USTRO0513D005</v>
          </cell>
          <cell r="J2431" t="str">
            <v>36</v>
          </cell>
          <cell r="K2431" t="str">
            <v>TROUSER</v>
          </cell>
          <cell r="L2431" t="str">
            <v>NOD</v>
          </cell>
        </row>
        <row r="2432">
          <cell r="C2432" t="str">
            <v>USTRO0513D</v>
          </cell>
          <cell r="D2432" t="str">
            <v>CORE</v>
          </cell>
          <cell r="E2432" t="str">
            <v>CO26</v>
          </cell>
          <cell r="F2432">
            <v>2799</v>
          </cell>
          <cell r="G2432" t="str">
            <v>US</v>
          </cell>
          <cell r="H2432" t="str">
            <v>USPUSMTRO</v>
          </cell>
          <cell r="I2432" t="str">
            <v>USTRO0513D006</v>
          </cell>
          <cell r="J2432" t="str">
            <v>38</v>
          </cell>
          <cell r="K2432" t="str">
            <v>TROUSER</v>
          </cell>
          <cell r="L2432" t="str">
            <v>NOD</v>
          </cell>
        </row>
        <row r="2433">
          <cell r="C2433" t="str">
            <v>USTRO0513D</v>
          </cell>
          <cell r="D2433" t="str">
            <v>CORE</v>
          </cell>
          <cell r="E2433" t="str">
            <v>CO26</v>
          </cell>
          <cell r="F2433">
            <v>2799</v>
          </cell>
          <cell r="G2433" t="str">
            <v>US</v>
          </cell>
          <cell r="H2433" t="str">
            <v>USPUSMTRO</v>
          </cell>
          <cell r="I2433" t="str">
            <v>USTRO0513D007</v>
          </cell>
          <cell r="J2433" t="str">
            <v>40</v>
          </cell>
          <cell r="K2433" t="str">
            <v>TROUSER</v>
          </cell>
          <cell r="L2433" t="str">
            <v>NOD</v>
          </cell>
        </row>
        <row r="2434">
          <cell r="C2434" t="str">
            <v>USTRO0513D</v>
          </cell>
          <cell r="D2434" t="str">
            <v>CORE</v>
          </cell>
          <cell r="E2434" t="str">
            <v>CO26</v>
          </cell>
          <cell r="F2434">
            <v>2799</v>
          </cell>
          <cell r="G2434" t="str">
            <v>US</v>
          </cell>
          <cell r="H2434" t="str">
            <v>USPUSMTRO</v>
          </cell>
          <cell r="I2434" t="str">
            <v>USTRO0513D008</v>
          </cell>
          <cell r="J2434" t="str">
            <v>42</v>
          </cell>
          <cell r="K2434" t="str">
            <v>TROUSER</v>
          </cell>
          <cell r="L2434" t="str">
            <v>NOD</v>
          </cell>
        </row>
        <row r="2435">
          <cell r="C2435" t="str">
            <v>USTRO0513D</v>
          </cell>
          <cell r="D2435" t="str">
            <v>CORE</v>
          </cell>
          <cell r="E2435" t="str">
            <v>CO26</v>
          </cell>
          <cell r="F2435">
            <v>2799</v>
          </cell>
          <cell r="G2435" t="str">
            <v>US</v>
          </cell>
          <cell r="H2435" t="str">
            <v>USPUSMTRO</v>
          </cell>
          <cell r="I2435" t="str">
            <v>USTRO0513D009</v>
          </cell>
          <cell r="J2435" t="str">
            <v>44</v>
          </cell>
          <cell r="K2435" t="str">
            <v>TROUSER</v>
          </cell>
          <cell r="L2435" t="str">
            <v>NOD</v>
          </cell>
        </row>
        <row r="2436">
          <cell r="C2436" t="str">
            <v>USTRO0513D</v>
          </cell>
          <cell r="D2436" t="str">
            <v>CORE</v>
          </cell>
          <cell r="E2436" t="str">
            <v>CO26</v>
          </cell>
          <cell r="F2436">
            <v>3159.66</v>
          </cell>
          <cell r="G2436" t="str">
            <v>US</v>
          </cell>
          <cell r="H2436" t="str">
            <v>USPUSMTRO</v>
          </cell>
          <cell r="I2436" t="str">
            <v>USTRO0513D010</v>
          </cell>
          <cell r="J2436" t="str">
            <v>46</v>
          </cell>
          <cell r="K2436" t="str">
            <v>TROUSER</v>
          </cell>
          <cell r="L2436" t="str">
            <v>NOD</v>
          </cell>
        </row>
        <row r="2437">
          <cell r="C2437" t="str">
            <v>USTRO0513D</v>
          </cell>
          <cell r="D2437" t="str">
            <v>CORE</v>
          </cell>
          <cell r="E2437" t="str">
            <v>CO26</v>
          </cell>
          <cell r="F2437">
            <v>3159.66</v>
          </cell>
          <cell r="G2437" t="str">
            <v>US</v>
          </cell>
          <cell r="H2437" t="str">
            <v>USPUSMTRO</v>
          </cell>
          <cell r="I2437" t="str">
            <v>USTRO0513D011</v>
          </cell>
          <cell r="J2437" t="str">
            <v>48</v>
          </cell>
          <cell r="K2437" t="str">
            <v>TROUSER</v>
          </cell>
          <cell r="L2437" t="str">
            <v>NOD</v>
          </cell>
        </row>
        <row r="2438">
          <cell r="C2438" t="str">
            <v>USTRO0513S</v>
          </cell>
          <cell r="D2438" t="str">
            <v>CORE</v>
          </cell>
          <cell r="E2438" t="str">
            <v>CO25</v>
          </cell>
          <cell r="F2438">
            <v>2799</v>
          </cell>
          <cell r="G2438" t="str">
            <v>US</v>
          </cell>
          <cell r="H2438" t="str">
            <v>USPUSMTRO</v>
          </cell>
          <cell r="I2438" t="str">
            <v>USTRO0513S001</v>
          </cell>
          <cell r="J2438" t="str">
            <v>28</v>
          </cell>
          <cell r="K2438" t="str">
            <v>TROUSER</v>
          </cell>
          <cell r="L2438" t="str">
            <v>NOD</v>
          </cell>
        </row>
        <row r="2439">
          <cell r="C2439" t="str">
            <v>USTRO0513S</v>
          </cell>
          <cell r="D2439" t="str">
            <v>CORE</v>
          </cell>
          <cell r="E2439" t="str">
            <v>CO25</v>
          </cell>
          <cell r="F2439">
            <v>2799</v>
          </cell>
          <cell r="G2439" t="str">
            <v>US</v>
          </cell>
          <cell r="H2439" t="str">
            <v>USPUSMTRO</v>
          </cell>
          <cell r="I2439" t="str">
            <v>USTRO0513S002</v>
          </cell>
          <cell r="J2439" t="str">
            <v>30</v>
          </cell>
          <cell r="K2439" t="str">
            <v>TROUSER</v>
          </cell>
          <cell r="L2439" t="str">
            <v>NOD</v>
          </cell>
        </row>
        <row r="2440">
          <cell r="C2440" t="str">
            <v>USTRO0513S</v>
          </cell>
          <cell r="D2440" t="str">
            <v>CORE</v>
          </cell>
          <cell r="E2440" t="str">
            <v>CO25</v>
          </cell>
          <cell r="F2440">
            <v>2799</v>
          </cell>
          <cell r="G2440" t="str">
            <v>US</v>
          </cell>
          <cell r="H2440" t="str">
            <v>USPUSMTRO</v>
          </cell>
          <cell r="I2440" t="str">
            <v>USTRO0513S003</v>
          </cell>
          <cell r="J2440" t="str">
            <v>32</v>
          </cell>
          <cell r="K2440" t="str">
            <v>TROUSER</v>
          </cell>
          <cell r="L2440" t="str">
            <v>NOD</v>
          </cell>
        </row>
        <row r="2441">
          <cell r="C2441" t="str">
            <v>USTRO0513S</v>
          </cell>
          <cell r="D2441" t="str">
            <v>CORE</v>
          </cell>
          <cell r="E2441" t="str">
            <v>CO25</v>
          </cell>
          <cell r="F2441">
            <v>2799</v>
          </cell>
          <cell r="G2441" t="str">
            <v>US</v>
          </cell>
          <cell r="H2441" t="str">
            <v>USPUSMTRO</v>
          </cell>
          <cell r="I2441" t="str">
            <v>USTRO0513S004</v>
          </cell>
          <cell r="J2441" t="str">
            <v>34</v>
          </cell>
          <cell r="K2441" t="str">
            <v>TROUSER</v>
          </cell>
          <cell r="L2441" t="str">
            <v>NOD</v>
          </cell>
        </row>
        <row r="2442">
          <cell r="C2442" t="str">
            <v>USTRO0513S</v>
          </cell>
          <cell r="D2442" t="str">
            <v>CORE</v>
          </cell>
          <cell r="E2442" t="str">
            <v>CO25</v>
          </cell>
          <cell r="F2442">
            <v>2799</v>
          </cell>
          <cell r="G2442" t="str">
            <v>US</v>
          </cell>
          <cell r="H2442" t="str">
            <v>USPUSMTRO</v>
          </cell>
          <cell r="I2442" t="str">
            <v>USTRO0513S005</v>
          </cell>
          <cell r="J2442" t="str">
            <v>36</v>
          </cell>
          <cell r="K2442" t="str">
            <v>TROUSER</v>
          </cell>
          <cell r="L2442" t="str">
            <v>NOD</v>
          </cell>
        </row>
        <row r="2443">
          <cell r="C2443" t="str">
            <v>USTRO0513S</v>
          </cell>
          <cell r="D2443" t="str">
            <v>CORE</v>
          </cell>
          <cell r="E2443" t="str">
            <v>CO25</v>
          </cell>
          <cell r="F2443">
            <v>2799</v>
          </cell>
          <cell r="G2443" t="str">
            <v>US</v>
          </cell>
          <cell r="H2443" t="str">
            <v>USPUSMTRO</v>
          </cell>
          <cell r="I2443" t="str">
            <v>USTRO0513S006</v>
          </cell>
          <cell r="J2443" t="str">
            <v>38</v>
          </cell>
          <cell r="K2443" t="str">
            <v>TROUSER</v>
          </cell>
          <cell r="L2443" t="str">
            <v>NOD</v>
          </cell>
        </row>
        <row r="2444">
          <cell r="C2444" t="str">
            <v>USTRO0513S</v>
          </cell>
          <cell r="D2444" t="str">
            <v>CORE</v>
          </cell>
          <cell r="E2444" t="str">
            <v>CO25</v>
          </cell>
          <cell r="F2444">
            <v>2799</v>
          </cell>
          <cell r="G2444" t="str">
            <v>US</v>
          </cell>
          <cell r="H2444" t="str">
            <v>USPUSMTRO</v>
          </cell>
          <cell r="I2444" t="str">
            <v>USTRO0513S007</v>
          </cell>
          <cell r="J2444" t="str">
            <v>40</v>
          </cell>
          <cell r="K2444" t="str">
            <v>TROUSER</v>
          </cell>
          <cell r="L2444" t="str">
            <v>NOD</v>
          </cell>
        </row>
        <row r="2445">
          <cell r="C2445" t="str">
            <v>USTRO0513S</v>
          </cell>
          <cell r="D2445" t="str">
            <v>CORE</v>
          </cell>
          <cell r="E2445" t="str">
            <v>CO25</v>
          </cell>
          <cell r="F2445">
            <v>2799</v>
          </cell>
          <cell r="G2445" t="str">
            <v>US</v>
          </cell>
          <cell r="H2445" t="str">
            <v>USPUSMTRO</v>
          </cell>
          <cell r="I2445" t="str">
            <v>USTRO0513S008</v>
          </cell>
          <cell r="J2445" t="str">
            <v>42</v>
          </cell>
          <cell r="K2445" t="str">
            <v>TROUSER</v>
          </cell>
          <cell r="L2445" t="str">
            <v>NOD</v>
          </cell>
        </row>
        <row r="2446">
          <cell r="C2446" t="str">
            <v>USTRO0513S</v>
          </cell>
          <cell r="D2446" t="str">
            <v>CORE</v>
          </cell>
          <cell r="E2446" t="str">
            <v>CO25</v>
          </cell>
          <cell r="F2446">
            <v>3159.66</v>
          </cell>
          <cell r="G2446" t="str">
            <v>US</v>
          </cell>
          <cell r="H2446" t="str">
            <v>USPUSMTRO</v>
          </cell>
          <cell r="I2446" t="str">
            <v>USTRO0513S009</v>
          </cell>
          <cell r="J2446" t="str">
            <v>44</v>
          </cell>
          <cell r="K2446" t="str">
            <v>TROUSER</v>
          </cell>
          <cell r="L2446" t="str">
            <v>NOD</v>
          </cell>
        </row>
        <row r="2447">
          <cell r="C2447" t="str">
            <v>USTRO0513S</v>
          </cell>
          <cell r="D2447" t="str">
            <v>CORE</v>
          </cell>
          <cell r="E2447" t="str">
            <v>CO25</v>
          </cell>
          <cell r="F2447">
            <v>3159.66</v>
          </cell>
          <cell r="G2447" t="str">
            <v>US</v>
          </cell>
          <cell r="H2447" t="str">
            <v>USPUSMTRO</v>
          </cell>
          <cell r="I2447" t="str">
            <v>USTRO0513S010</v>
          </cell>
          <cell r="J2447" t="str">
            <v>46</v>
          </cell>
          <cell r="K2447" t="str">
            <v>TROUSER</v>
          </cell>
          <cell r="L2447" t="str">
            <v>NOD</v>
          </cell>
        </row>
        <row r="2448">
          <cell r="C2448" t="str">
            <v>USTRO0513S</v>
          </cell>
          <cell r="D2448" t="str">
            <v>CORE</v>
          </cell>
          <cell r="E2448" t="str">
            <v>CO25</v>
          </cell>
          <cell r="F2448">
            <v>3159.66</v>
          </cell>
          <cell r="G2448" t="str">
            <v>US</v>
          </cell>
          <cell r="H2448" t="str">
            <v>USPUSMTRO</v>
          </cell>
          <cell r="I2448" t="str">
            <v>USTRO0513S011</v>
          </cell>
          <cell r="J2448" t="str">
            <v>48</v>
          </cell>
          <cell r="K2448" t="str">
            <v>TROUSER</v>
          </cell>
          <cell r="L2448" t="str">
            <v>NOD</v>
          </cell>
        </row>
        <row r="2449">
          <cell r="C2449" t="str">
            <v>USTRO0515</v>
          </cell>
          <cell r="D2449" t="str">
            <v>CORE</v>
          </cell>
          <cell r="E2449" t="str">
            <v>CO26</v>
          </cell>
          <cell r="F2449">
            <v>2799</v>
          </cell>
          <cell r="G2449" t="str">
            <v>US</v>
          </cell>
          <cell r="H2449" t="str">
            <v>USPUSMTRO</v>
          </cell>
          <cell r="I2449" t="str">
            <v>USTRO0515001</v>
          </cell>
          <cell r="J2449" t="str">
            <v>28</v>
          </cell>
          <cell r="K2449" t="str">
            <v>TROUSER</v>
          </cell>
          <cell r="L2449" t="str">
            <v>NOD</v>
          </cell>
        </row>
        <row r="2450">
          <cell r="C2450" t="str">
            <v>USTRO0515</v>
          </cell>
          <cell r="D2450" t="str">
            <v>CORE</v>
          </cell>
          <cell r="E2450" t="str">
            <v>CO26</v>
          </cell>
          <cell r="F2450">
            <v>2799</v>
          </cell>
          <cell r="G2450" t="str">
            <v>US</v>
          </cell>
          <cell r="H2450" t="str">
            <v>USPUSMTRO</v>
          </cell>
          <cell r="I2450" t="str">
            <v>USTRO0515002</v>
          </cell>
          <cell r="J2450" t="str">
            <v>30</v>
          </cell>
          <cell r="K2450" t="str">
            <v>TROUSER</v>
          </cell>
          <cell r="L2450" t="str">
            <v>NOD</v>
          </cell>
        </row>
        <row r="2451">
          <cell r="C2451" t="str">
            <v>USTRO0515</v>
          </cell>
          <cell r="D2451" t="str">
            <v>CORE</v>
          </cell>
          <cell r="E2451" t="str">
            <v>CO26</v>
          </cell>
          <cell r="F2451">
            <v>2799</v>
          </cell>
          <cell r="G2451" t="str">
            <v>US</v>
          </cell>
          <cell r="H2451" t="str">
            <v>USPUSMTRO</v>
          </cell>
          <cell r="I2451" t="str">
            <v>USTRO0515003</v>
          </cell>
          <cell r="J2451" t="str">
            <v>32</v>
          </cell>
          <cell r="K2451" t="str">
            <v>TROUSER</v>
          </cell>
          <cell r="L2451" t="str">
            <v>NOD</v>
          </cell>
        </row>
        <row r="2452">
          <cell r="C2452" t="str">
            <v>USTRO0515</v>
          </cell>
          <cell r="D2452" t="str">
            <v>CORE</v>
          </cell>
          <cell r="E2452" t="str">
            <v>CO26</v>
          </cell>
          <cell r="F2452">
            <v>2799</v>
          </cell>
          <cell r="G2452" t="str">
            <v>US</v>
          </cell>
          <cell r="H2452" t="str">
            <v>USPUSMTRO</v>
          </cell>
          <cell r="I2452" t="str">
            <v>USTRO0515004</v>
          </cell>
          <cell r="J2452" t="str">
            <v>34</v>
          </cell>
          <cell r="K2452" t="str">
            <v>TROUSER</v>
          </cell>
          <cell r="L2452" t="str">
            <v>NOD</v>
          </cell>
        </row>
        <row r="2453">
          <cell r="C2453" t="str">
            <v>USTRO0515</v>
          </cell>
          <cell r="D2453" t="str">
            <v>CORE</v>
          </cell>
          <cell r="E2453" t="str">
            <v>CO26</v>
          </cell>
          <cell r="F2453">
            <v>2799</v>
          </cell>
          <cell r="G2453" t="str">
            <v>US</v>
          </cell>
          <cell r="H2453" t="str">
            <v>USPUSMTRO</v>
          </cell>
          <cell r="I2453" t="str">
            <v>USTRO0515005</v>
          </cell>
          <cell r="J2453" t="str">
            <v>36</v>
          </cell>
          <cell r="K2453" t="str">
            <v>TROUSER</v>
          </cell>
          <cell r="L2453" t="str">
            <v>NOD</v>
          </cell>
        </row>
        <row r="2454">
          <cell r="C2454" t="str">
            <v>USTRO0515</v>
          </cell>
          <cell r="D2454" t="str">
            <v>CORE</v>
          </cell>
          <cell r="E2454" t="str">
            <v>CO26</v>
          </cell>
          <cell r="F2454">
            <v>2799</v>
          </cell>
          <cell r="G2454" t="str">
            <v>US</v>
          </cell>
          <cell r="H2454" t="str">
            <v>USPUSMTRO</v>
          </cell>
          <cell r="I2454" t="str">
            <v>USTRO0515006</v>
          </cell>
          <cell r="J2454" t="str">
            <v>38</v>
          </cell>
          <cell r="K2454" t="str">
            <v>TROUSER</v>
          </cell>
          <cell r="L2454" t="str">
            <v>NOD</v>
          </cell>
        </row>
        <row r="2455">
          <cell r="C2455" t="str">
            <v>USTRO0515</v>
          </cell>
          <cell r="D2455" t="str">
            <v>CORE</v>
          </cell>
          <cell r="E2455" t="str">
            <v>CO26</v>
          </cell>
          <cell r="F2455">
            <v>2799</v>
          </cell>
          <cell r="G2455" t="str">
            <v>US</v>
          </cell>
          <cell r="H2455" t="str">
            <v>USPUSMTRO</v>
          </cell>
          <cell r="I2455" t="str">
            <v>USTRO0515007</v>
          </cell>
          <cell r="J2455" t="str">
            <v>40</v>
          </cell>
          <cell r="K2455" t="str">
            <v>TROUSER</v>
          </cell>
          <cell r="L2455" t="str">
            <v>NOD</v>
          </cell>
        </row>
        <row r="2456">
          <cell r="C2456" t="str">
            <v>USTRO0515</v>
          </cell>
          <cell r="D2456" t="str">
            <v>CORE</v>
          </cell>
          <cell r="E2456" t="str">
            <v>CO26</v>
          </cell>
          <cell r="F2456">
            <v>2799</v>
          </cell>
          <cell r="G2456" t="str">
            <v>US</v>
          </cell>
          <cell r="H2456" t="str">
            <v>USPUSMTRO</v>
          </cell>
          <cell r="I2456" t="str">
            <v>USTRO0515008</v>
          </cell>
          <cell r="J2456" t="str">
            <v>42</v>
          </cell>
          <cell r="K2456" t="str">
            <v>TROUSER</v>
          </cell>
          <cell r="L2456" t="str">
            <v>NOD</v>
          </cell>
        </row>
        <row r="2457">
          <cell r="C2457" t="str">
            <v>USTRO0515</v>
          </cell>
          <cell r="D2457" t="str">
            <v>CORE</v>
          </cell>
          <cell r="E2457" t="str">
            <v>CO26</v>
          </cell>
          <cell r="F2457">
            <v>2799</v>
          </cell>
          <cell r="G2457" t="str">
            <v>US</v>
          </cell>
          <cell r="H2457" t="str">
            <v>USPUSMTRO</v>
          </cell>
          <cell r="I2457" t="str">
            <v>USTRO0515009</v>
          </cell>
          <cell r="J2457" t="str">
            <v>44</v>
          </cell>
          <cell r="K2457" t="str">
            <v>TROUSER</v>
          </cell>
          <cell r="L2457" t="str">
            <v>NOD</v>
          </cell>
        </row>
        <row r="2458">
          <cell r="C2458" t="str">
            <v>USTRO0515</v>
          </cell>
          <cell r="D2458" t="str">
            <v>CORE</v>
          </cell>
          <cell r="E2458" t="str">
            <v>CO26</v>
          </cell>
          <cell r="F2458">
            <v>3159.66</v>
          </cell>
          <cell r="G2458" t="str">
            <v>US</v>
          </cell>
          <cell r="H2458" t="str">
            <v>USPUSMTRO</v>
          </cell>
          <cell r="I2458" t="str">
            <v>USTRO0515010</v>
          </cell>
          <cell r="J2458" t="str">
            <v>46</v>
          </cell>
          <cell r="K2458" t="str">
            <v>TROUSER</v>
          </cell>
          <cell r="L2458" t="str">
            <v>NOD</v>
          </cell>
        </row>
        <row r="2459">
          <cell r="C2459" t="str">
            <v>USTRO0515</v>
          </cell>
          <cell r="D2459" t="str">
            <v>CORE</v>
          </cell>
          <cell r="E2459" t="str">
            <v>CO26</v>
          </cell>
          <cell r="F2459">
            <v>3159.66</v>
          </cell>
          <cell r="G2459" t="str">
            <v>US</v>
          </cell>
          <cell r="H2459" t="str">
            <v>USPUSMTRO</v>
          </cell>
          <cell r="I2459" t="str">
            <v>USTRO0515011</v>
          </cell>
          <cell r="J2459" t="str">
            <v>48</v>
          </cell>
          <cell r="K2459" t="str">
            <v>TROUSER</v>
          </cell>
          <cell r="L2459" t="str">
            <v>NOD</v>
          </cell>
        </row>
        <row r="2460">
          <cell r="C2460" t="str">
            <v>USTRO0515D</v>
          </cell>
          <cell r="D2460" t="str">
            <v>CORE</v>
          </cell>
          <cell r="E2460" t="str">
            <v>CO26</v>
          </cell>
          <cell r="F2460">
            <v>2799</v>
          </cell>
          <cell r="G2460" t="str">
            <v>US</v>
          </cell>
          <cell r="H2460" t="str">
            <v>USPUSMTRO</v>
          </cell>
          <cell r="I2460" t="str">
            <v>USTRO0515D001</v>
          </cell>
          <cell r="J2460" t="str">
            <v>28</v>
          </cell>
          <cell r="K2460" t="str">
            <v>TROUSER</v>
          </cell>
          <cell r="L2460" t="str">
            <v>NOD</v>
          </cell>
        </row>
        <row r="2461">
          <cell r="C2461" t="str">
            <v>USTRO0515D</v>
          </cell>
          <cell r="D2461" t="str">
            <v>CORE</v>
          </cell>
          <cell r="E2461" t="str">
            <v>CO26</v>
          </cell>
          <cell r="F2461">
            <v>2799</v>
          </cell>
          <cell r="G2461" t="str">
            <v>US</v>
          </cell>
          <cell r="H2461" t="str">
            <v>USPUSMTRO</v>
          </cell>
          <cell r="I2461" t="str">
            <v>USTRO0515D002</v>
          </cell>
          <cell r="J2461" t="str">
            <v>30</v>
          </cell>
          <cell r="K2461" t="str">
            <v>TROUSER</v>
          </cell>
          <cell r="L2461" t="str">
            <v>NOD</v>
          </cell>
        </row>
        <row r="2462">
          <cell r="C2462" t="str">
            <v>USTRO0515D</v>
          </cell>
          <cell r="D2462" t="str">
            <v>CORE</v>
          </cell>
          <cell r="E2462" t="str">
            <v>CO26</v>
          </cell>
          <cell r="F2462">
            <v>2799</v>
          </cell>
          <cell r="G2462" t="str">
            <v>US</v>
          </cell>
          <cell r="H2462" t="str">
            <v>USPUSMTRO</v>
          </cell>
          <cell r="I2462" t="str">
            <v>USTRO0515D003</v>
          </cell>
          <cell r="J2462" t="str">
            <v>32</v>
          </cell>
          <cell r="K2462" t="str">
            <v>TROUSER</v>
          </cell>
          <cell r="L2462" t="str">
            <v>NOD</v>
          </cell>
        </row>
        <row r="2463">
          <cell r="C2463" t="str">
            <v>USTRO0515D</v>
          </cell>
          <cell r="D2463" t="str">
            <v>CORE</v>
          </cell>
          <cell r="E2463" t="str">
            <v>CO26</v>
          </cell>
          <cell r="F2463">
            <v>2799</v>
          </cell>
          <cell r="G2463" t="str">
            <v>US</v>
          </cell>
          <cell r="H2463" t="str">
            <v>USPUSMTRO</v>
          </cell>
          <cell r="I2463" t="str">
            <v>USTRO0515D004</v>
          </cell>
          <cell r="J2463" t="str">
            <v>34</v>
          </cell>
          <cell r="K2463" t="str">
            <v>TROUSER</v>
          </cell>
          <cell r="L2463" t="str">
            <v>NOD</v>
          </cell>
        </row>
        <row r="2464">
          <cell r="C2464" t="str">
            <v>USTRO0515D</v>
          </cell>
          <cell r="D2464" t="str">
            <v>CORE</v>
          </cell>
          <cell r="E2464" t="str">
            <v>CO26</v>
          </cell>
          <cell r="F2464">
            <v>2799</v>
          </cell>
          <cell r="G2464" t="str">
            <v>US</v>
          </cell>
          <cell r="H2464" t="str">
            <v>USPUSMTRO</v>
          </cell>
          <cell r="I2464" t="str">
            <v>USTRO0515D005</v>
          </cell>
          <cell r="J2464" t="str">
            <v>36</v>
          </cell>
          <cell r="K2464" t="str">
            <v>TROUSER</v>
          </cell>
          <cell r="L2464" t="str">
            <v>NOD</v>
          </cell>
        </row>
        <row r="2465">
          <cell r="C2465" t="str">
            <v>USTRO0515D</v>
          </cell>
          <cell r="D2465" t="str">
            <v>CORE</v>
          </cell>
          <cell r="E2465" t="str">
            <v>CO26</v>
          </cell>
          <cell r="F2465">
            <v>2799</v>
          </cell>
          <cell r="G2465" t="str">
            <v>US</v>
          </cell>
          <cell r="H2465" t="str">
            <v>USPUSMTRO</v>
          </cell>
          <cell r="I2465" t="str">
            <v>USTRO0515D006</v>
          </cell>
          <cell r="J2465" t="str">
            <v>38</v>
          </cell>
          <cell r="K2465" t="str">
            <v>TROUSER</v>
          </cell>
          <cell r="L2465" t="str">
            <v>NOD</v>
          </cell>
        </row>
        <row r="2466">
          <cell r="C2466" t="str">
            <v>USTRO0515D</v>
          </cell>
          <cell r="D2466" t="str">
            <v>CORE</v>
          </cell>
          <cell r="E2466" t="str">
            <v>CO26</v>
          </cell>
          <cell r="F2466">
            <v>2799</v>
          </cell>
          <cell r="G2466" t="str">
            <v>US</v>
          </cell>
          <cell r="H2466" t="str">
            <v>USPUSMTRO</v>
          </cell>
          <cell r="I2466" t="str">
            <v>USTRO0515D007</v>
          </cell>
          <cell r="J2466" t="str">
            <v>40</v>
          </cell>
          <cell r="K2466" t="str">
            <v>TROUSER</v>
          </cell>
          <cell r="L2466" t="str">
            <v>NOD</v>
          </cell>
        </row>
        <row r="2467">
          <cell r="C2467" t="str">
            <v>USTRO0515D</v>
          </cell>
          <cell r="D2467" t="str">
            <v>CORE</v>
          </cell>
          <cell r="E2467" t="str">
            <v>CO26</v>
          </cell>
          <cell r="F2467">
            <v>2799</v>
          </cell>
          <cell r="G2467" t="str">
            <v>US</v>
          </cell>
          <cell r="H2467" t="str">
            <v>USPUSMTRO</v>
          </cell>
          <cell r="I2467" t="str">
            <v>USTRO0515D008</v>
          </cell>
          <cell r="J2467" t="str">
            <v>42</v>
          </cell>
          <cell r="K2467" t="str">
            <v>TROUSER</v>
          </cell>
          <cell r="L2467" t="str">
            <v>NOD</v>
          </cell>
        </row>
        <row r="2468">
          <cell r="C2468" t="str">
            <v>USTRO0515D</v>
          </cell>
          <cell r="D2468" t="str">
            <v>CORE</v>
          </cell>
          <cell r="E2468" t="str">
            <v>CO26</v>
          </cell>
          <cell r="F2468">
            <v>2799</v>
          </cell>
          <cell r="G2468" t="str">
            <v>US</v>
          </cell>
          <cell r="H2468" t="str">
            <v>USPUSMTRO</v>
          </cell>
          <cell r="I2468" t="str">
            <v>USTRO0515D009</v>
          </cell>
          <cell r="J2468" t="str">
            <v>44</v>
          </cell>
          <cell r="K2468" t="str">
            <v>TROUSER</v>
          </cell>
          <cell r="L2468" t="str">
            <v>NOD</v>
          </cell>
        </row>
        <row r="2469">
          <cell r="C2469" t="str">
            <v>USTRO0515D</v>
          </cell>
          <cell r="D2469" t="str">
            <v>CORE</v>
          </cell>
          <cell r="E2469" t="str">
            <v>CO26</v>
          </cell>
          <cell r="F2469">
            <v>3159.66</v>
          </cell>
          <cell r="G2469" t="str">
            <v>US</v>
          </cell>
          <cell r="H2469" t="str">
            <v>USPUSMTRO</v>
          </cell>
          <cell r="I2469" t="str">
            <v>USTRO0515D010</v>
          </cell>
          <cell r="J2469" t="str">
            <v>46</v>
          </cell>
          <cell r="K2469" t="str">
            <v>TROUSER</v>
          </cell>
          <cell r="L2469" t="str">
            <v>NOD</v>
          </cell>
        </row>
        <row r="2470">
          <cell r="C2470" t="str">
            <v>USTRO0515D</v>
          </cell>
          <cell r="D2470" t="str">
            <v>CORE</v>
          </cell>
          <cell r="E2470" t="str">
            <v>CO26</v>
          </cell>
          <cell r="F2470">
            <v>3159.66</v>
          </cell>
          <cell r="G2470" t="str">
            <v>US</v>
          </cell>
          <cell r="H2470" t="str">
            <v>USPUSMTRO</v>
          </cell>
          <cell r="I2470" t="str">
            <v>USTRO0515D011</v>
          </cell>
          <cell r="J2470" t="str">
            <v>48</v>
          </cell>
          <cell r="K2470" t="str">
            <v>TROUSER</v>
          </cell>
          <cell r="L2470" t="str">
            <v>NOD</v>
          </cell>
        </row>
        <row r="2471">
          <cell r="C2471" t="str">
            <v>USTRO0517</v>
          </cell>
          <cell r="D2471" t="str">
            <v>CORE</v>
          </cell>
          <cell r="E2471" t="str">
            <v>CO25</v>
          </cell>
          <cell r="F2471">
            <v>2799</v>
          </cell>
          <cell r="G2471" t="str">
            <v>US</v>
          </cell>
          <cell r="H2471" t="str">
            <v>USPUSMTRO</v>
          </cell>
          <cell r="I2471" t="str">
            <v>USTRO0517001</v>
          </cell>
          <cell r="J2471" t="str">
            <v>28</v>
          </cell>
          <cell r="K2471" t="str">
            <v>TROUSER</v>
          </cell>
          <cell r="L2471" t="str">
            <v>NOD</v>
          </cell>
        </row>
        <row r="2472">
          <cell r="C2472" t="str">
            <v>USTRO0517</v>
          </cell>
          <cell r="D2472" t="str">
            <v>CORE</v>
          </cell>
          <cell r="E2472" t="str">
            <v>CO25</v>
          </cell>
          <cell r="F2472">
            <v>2799</v>
          </cell>
          <cell r="G2472" t="str">
            <v>US</v>
          </cell>
          <cell r="H2472" t="str">
            <v>USPUSMTRO</v>
          </cell>
          <cell r="I2472" t="str">
            <v>USTRO0517002</v>
          </cell>
          <cell r="J2472" t="str">
            <v>30</v>
          </cell>
          <cell r="K2472" t="str">
            <v>TROUSER</v>
          </cell>
          <cell r="L2472" t="str">
            <v>NOD</v>
          </cell>
        </row>
        <row r="2473">
          <cell r="C2473" t="str">
            <v>USTRO0517</v>
          </cell>
          <cell r="D2473" t="str">
            <v>CORE</v>
          </cell>
          <cell r="E2473" t="str">
            <v>CO25</v>
          </cell>
          <cell r="F2473">
            <v>2799</v>
          </cell>
          <cell r="G2473" t="str">
            <v>US</v>
          </cell>
          <cell r="H2473" t="str">
            <v>USPUSMTRO</v>
          </cell>
          <cell r="I2473" t="str">
            <v>USTRO0517003</v>
          </cell>
          <cell r="J2473" t="str">
            <v>32</v>
          </cell>
          <cell r="K2473" t="str">
            <v>TROUSER</v>
          </cell>
          <cell r="L2473" t="str">
            <v>NOD</v>
          </cell>
        </row>
        <row r="2474">
          <cell r="C2474" t="str">
            <v>USTRO0517</v>
          </cell>
          <cell r="D2474" t="str">
            <v>CORE</v>
          </cell>
          <cell r="E2474" t="str">
            <v>CO25</v>
          </cell>
          <cell r="F2474">
            <v>2799</v>
          </cell>
          <cell r="G2474" t="str">
            <v>US</v>
          </cell>
          <cell r="H2474" t="str">
            <v>USPUSMTRO</v>
          </cell>
          <cell r="I2474" t="str">
            <v>USTRO0517004</v>
          </cell>
          <cell r="J2474" t="str">
            <v>34</v>
          </cell>
          <cell r="K2474" t="str">
            <v>TROUSER</v>
          </cell>
          <cell r="L2474" t="str">
            <v>NOD</v>
          </cell>
        </row>
        <row r="2475">
          <cell r="C2475" t="str">
            <v>USTRO0517</v>
          </cell>
          <cell r="D2475" t="str">
            <v>CORE</v>
          </cell>
          <cell r="E2475" t="str">
            <v>CO25</v>
          </cell>
          <cell r="F2475">
            <v>2799</v>
          </cell>
          <cell r="G2475" t="str">
            <v>US</v>
          </cell>
          <cell r="H2475" t="str">
            <v>USPUSMTRO</v>
          </cell>
          <cell r="I2475" t="str">
            <v>USTRO0517005</v>
          </cell>
          <cell r="J2475" t="str">
            <v>36</v>
          </cell>
          <cell r="K2475" t="str">
            <v>TROUSER</v>
          </cell>
          <cell r="L2475" t="str">
            <v>NOD</v>
          </cell>
        </row>
        <row r="2476">
          <cell r="C2476" t="str">
            <v>USTRO0517</v>
          </cell>
          <cell r="D2476" t="str">
            <v>CORE</v>
          </cell>
          <cell r="E2476" t="str">
            <v>CO25</v>
          </cell>
          <cell r="F2476">
            <v>2799</v>
          </cell>
          <cell r="G2476" t="str">
            <v>US</v>
          </cell>
          <cell r="H2476" t="str">
            <v>USPUSMTRO</v>
          </cell>
          <cell r="I2476" t="str">
            <v>USTRO0517006</v>
          </cell>
          <cell r="J2476" t="str">
            <v>38</v>
          </cell>
          <cell r="K2476" t="str">
            <v>TROUSER</v>
          </cell>
          <cell r="L2476" t="str">
            <v>NOD</v>
          </cell>
        </row>
        <row r="2477">
          <cell r="C2477" t="str">
            <v>USTRO0517</v>
          </cell>
          <cell r="D2477" t="str">
            <v>CORE</v>
          </cell>
          <cell r="E2477" t="str">
            <v>CO25</v>
          </cell>
          <cell r="F2477">
            <v>2799</v>
          </cell>
          <cell r="G2477" t="str">
            <v>US</v>
          </cell>
          <cell r="H2477" t="str">
            <v>USPUSMTRO</v>
          </cell>
          <cell r="I2477" t="str">
            <v>USTRO0517007</v>
          </cell>
          <cell r="J2477" t="str">
            <v>40</v>
          </cell>
          <cell r="K2477" t="str">
            <v>TROUSER</v>
          </cell>
          <cell r="L2477" t="str">
            <v>NOD</v>
          </cell>
        </row>
        <row r="2478">
          <cell r="C2478" t="str">
            <v>USTRO0517</v>
          </cell>
          <cell r="D2478" t="str">
            <v>CORE</v>
          </cell>
          <cell r="E2478" t="str">
            <v>CO25</v>
          </cell>
          <cell r="F2478">
            <v>2799</v>
          </cell>
          <cell r="G2478" t="str">
            <v>US</v>
          </cell>
          <cell r="H2478" t="str">
            <v>USPUSMTRO</v>
          </cell>
          <cell r="I2478" t="str">
            <v>USTRO0517008</v>
          </cell>
          <cell r="J2478" t="str">
            <v>42</v>
          </cell>
          <cell r="K2478" t="str">
            <v>TROUSER</v>
          </cell>
          <cell r="L2478" t="str">
            <v>NOD</v>
          </cell>
        </row>
        <row r="2479">
          <cell r="C2479" t="str">
            <v>USTRO0517</v>
          </cell>
          <cell r="D2479" t="str">
            <v>CORE</v>
          </cell>
          <cell r="E2479" t="str">
            <v>CO25</v>
          </cell>
          <cell r="F2479">
            <v>2799</v>
          </cell>
          <cell r="G2479" t="str">
            <v>US</v>
          </cell>
          <cell r="H2479" t="str">
            <v>USPUSMTRO</v>
          </cell>
          <cell r="I2479" t="str">
            <v>USTRO0517009</v>
          </cell>
          <cell r="J2479" t="str">
            <v>44</v>
          </cell>
          <cell r="K2479" t="str">
            <v>TROUSER</v>
          </cell>
          <cell r="L2479" t="str">
            <v>NOD</v>
          </cell>
        </row>
        <row r="2480">
          <cell r="C2480" t="str">
            <v>USTRO0517</v>
          </cell>
          <cell r="D2480" t="str">
            <v>CORE</v>
          </cell>
          <cell r="E2480" t="str">
            <v>CO25</v>
          </cell>
          <cell r="F2480">
            <v>3159.66</v>
          </cell>
          <cell r="G2480" t="str">
            <v>US</v>
          </cell>
          <cell r="H2480" t="str">
            <v>USPUSMTRO</v>
          </cell>
          <cell r="I2480" t="str">
            <v>USTRO0517010</v>
          </cell>
          <cell r="J2480" t="str">
            <v>46</v>
          </cell>
          <cell r="K2480" t="str">
            <v>TROUSER</v>
          </cell>
          <cell r="L2480" t="str">
            <v>NOD</v>
          </cell>
        </row>
        <row r="2481">
          <cell r="C2481" t="str">
            <v>USTRO0517</v>
          </cell>
          <cell r="D2481" t="str">
            <v>CORE</v>
          </cell>
          <cell r="E2481" t="str">
            <v>CO25</v>
          </cell>
          <cell r="F2481">
            <v>3159.66</v>
          </cell>
          <cell r="G2481" t="str">
            <v>US</v>
          </cell>
          <cell r="H2481" t="str">
            <v>USPUSMTRO</v>
          </cell>
          <cell r="I2481" t="str">
            <v>USTRO0517011</v>
          </cell>
          <cell r="J2481" t="str">
            <v>48</v>
          </cell>
          <cell r="K2481" t="str">
            <v>TROUSER</v>
          </cell>
          <cell r="L2481" t="str">
            <v>NOD</v>
          </cell>
        </row>
        <row r="2482">
          <cell r="C2482" t="str">
            <v>USTRO0517D</v>
          </cell>
          <cell r="D2482" t="str">
            <v>CORE</v>
          </cell>
          <cell r="E2482" t="str">
            <v>CO25</v>
          </cell>
          <cell r="F2482">
            <v>2799</v>
          </cell>
          <cell r="G2482" t="str">
            <v>US</v>
          </cell>
          <cell r="H2482" t="str">
            <v>USPUSMTRO</v>
          </cell>
          <cell r="I2482" t="str">
            <v>USTRO0517D001</v>
          </cell>
          <cell r="J2482" t="str">
            <v>28</v>
          </cell>
          <cell r="K2482" t="str">
            <v>TROUSER</v>
          </cell>
          <cell r="L2482" t="str">
            <v>NOD</v>
          </cell>
        </row>
        <row r="2483">
          <cell r="C2483" t="str">
            <v>USTRO0517D</v>
          </cell>
          <cell r="D2483" t="str">
            <v>CORE</v>
          </cell>
          <cell r="E2483" t="str">
            <v>CO25</v>
          </cell>
          <cell r="F2483">
            <v>2799</v>
          </cell>
          <cell r="G2483" t="str">
            <v>US</v>
          </cell>
          <cell r="H2483" t="str">
            <v>USPUSMTRO</v>
          </cell>
          <cell r="I2483" t="str">
            <v>USTRO0517D002</v>
          </cell>
          <cell r="J2483" t="str">
            <v>30</v>
          </cell>
          <cell r="K2483" t="str">
            <v>TROUSER</v>
          </cell>
          <cell r="L2483" t="str">
            <v>NOD</v>
          </cell>
        </row>
        <row r="2484">
          <cell r="C2484" t="str">
            <v>USTRO0517D</v>
          </cell>
          <cell r="D2484" t="str">
            <v>CORE</v>
          </cell>
          <cell r="E2484" t="str">
            <v>CO25</v>
          </cell>
          <cell r="F2484">
            <v>2799</v>
          </cell>
          <cell r="G2484" t="str">
            <v>US</v>
          </cell>
          <cell r="H2484" t="str">
            <v>USPUSMTRO</v>
          </cell>
          <cell r="I2484" t="str">
            <v>USTRO0517D003</v>
          </cell>
          <cell r="J2484" t="str">
            <v>32</v>
          </cell>
          <cell r="K2484" t="str">
            <v>TROUSER</v>
          </cell>
          <cell r="L2484" t="str">
            <v>NOD</v>
          </cell>
        </row>
        <row r="2485">
          <cell r="C2485" t="str">
            <v>USTRO0517D</v>
          </cell>
          <cell r="D2485" t="str">
            <v>CORE</v>
          </cell>
          <cell r="E2485" t="str">
            <v>CO25</v>
          </cell>
          <cell r="F2485">
            <v>2799</v>
          </cell>
          <cell r="G2485" t="str">
            <v>US</v>
          </cell>
          <cell r="H2485" t="str">
            <v>USPUSMTRO</v>
          </cell>
          <cell r="I2485" t="str">
            <v>USTRO0517D004</v>
          </cell>
          <cell r="J2485" t="str">
            <v>34</v>
          </cell>
          <cell r="K2485" t="str">
            <v>TROUSER</v>
          </cell>
          <cell r="L2485" t="str">
            <v>NOD</v>
          </cell>
        </row>
        <row r="2486">
          <cell r="C2486" t="str">
            <v>USTRO0517D</v>
          </cell>
          <cell r="D2486" t="str">
            <v>CORE</v>
          </cell>
          <cell r="E2486" t="str">
            <v>CO25</v>
          </cell>
          <cell r="F2486">
            <v>2799</v>
          </cell>
          <cell r="G2486" t="str">
            <v>US</v>
          </cell>
          <cell r="H2486" t="str">
            <v>USPUSMTRO</v>
          </cell>
          <cell r="I2486" t="str">
            <v>USTRO0517D005</v>
          </cell>
          <cell r="J2486" t="str">
            <v>36</v>
          </cell>
          <cell r="K2486" t="str">
            <v>TROUSER</v>
          </cell>
          <cell r="L2486" t="str">
            <v>NOD</v>
          </cell>
        </row>
        <row r="2487">
          <cell r="C2487" t="str">
            <v>USTRO0517D</v>
          </cell>
          <cell r="D2487" t="str">
            <v>CORE</v>
          </cell>
          <cell r="E2487" t="str">
            <v>CO25</v>
          </cell>
          <cell r="F2487">
            <v>2799</v>
          </cell>
          <cell r="G2487" t="str">
            <v>US</v>
          </cell>
          <cell r="H2487" t="str">
            <v>USPUSMTRO</v>
          </cell>
          <cell r="I2487" t="str">
            <v>USTRO0517D006</v>
          </cell>
          <cell r="J2487" t="str">
            <v>38</v>
          </cell>
          <cell r="K2487" t="str">
            <v>TROUSER</v>
          </cell>
          <cell r="L2487" t="str">
            <v>NOD</v>
          </cell>
        </row>
        <row r="2488">
          <cell r="C2488" t="str">
            <v>USTRO0517D</v>
          </cell>
          <cell r="D2488" t="str">
            <v>CORE</v>
          </cell>
          <cell r="E2488" t="str">
            <v>CO25</v>
          </cell>
          <cell r="F2488">
            <v>2799</v>
          </cell>
          <cell r="G2488" t="str">
            <v>US</v>
          </cell>
          <cell r="H2488" t="str">
            <v>USPUSMTRO</v>
          </cell>
          <cell r="I2488" t="str">
            <v>USTRO0517D007</v>
          </cell>
          <cell r="J2488" t="str">
            <v>40</v>
          </cell>
          <cell r="K2488" t="str">
            <v>TROUSER</v>
          </cell>
          <cell r="L2488" t="str">
            <v>NOD</v>
          </cell>
        </row>
        <row r="2489">
          <cell r="C2489" t="str">
            <v>USTRO0517D</v>
          </cell>
          <cell r="D2489" t="str">
            <v>CORE</v>
          </cell>
          <cell r="E2489" t="str">
            <v>CO25</v>
          </cell>
          <cell r="F2489">
            <v>2799</v>
          </cell>
          <cell r="G2489" t="str">
            <v>US</v>
          </cell>
          <cell r="H2489" t="str">
            <v>USPUSMTRO</v>
          </cell>
          <cell r="I2489" t="str">
            <v>USTRO0517D008</v>
          </cell>
          <cell r="J2489" t="str">
            <v>42</v>
          </cell>
          <cell r="K2489" t="str">
            <v>TROUSER</v>
          </cell>
          <cell r="L2489" t="str">
            <v>NOD</v>
          </cell>
        </row>
        <row r="2490">
          <cell r="C2490" t="str">
            <v>USTRO0517D</v>
          </cell>
          <cell r="D2490" t="str">
            <v>CORE</v>
          </cell>
          <cell r="E2490" t="str">
            <v>CO25</v>
          </cell>
          <cell r="F2490">
            <v>2799</v>
          </cell>
          <cell r="G2490" t="str">
            <v>US</v>
          </cell>
          <cell r="H2490" t="str">
            <v>USPUSMTRO</v>
          </cell>
          <cell r="I2490" t="str">
            <v>USTRO0517D009</v>
          </cell>
          <cell r="J2490" t="str">
            <v>44</v>
          </cell>
          <cell r="K2490" t="str">
            <v>TROUSER</v>
          </cell>
          <cell r="L2490" t="str">
            <v>NOD</v>
          </cell>
        </row>
        <row r="2491">
          <cell r="C2491" t="str">
            <v>USTRO0517D</v>
          </cell>
          <cell r="D2491" t="str">
            <v>CORE</v>
          </cell>
          <cell r="E2491" t="str">
            <v>CO25</v>
          </cell>
          <cell r="F2491">
            <v>3159.66</v>
          </cell>
          <cell r="G2491" t="str">
            <v>US</v>
          </cell>
          <cell r="H2491" t="str">
            <v>USPUSMTRO</v>
          </cell>
          <cell r="I2491" t="str">
            <v>USTRO0517D010</v>
          </cell>
          <cell r="J2491" t="str">
            <v>46</v>
          </cell>
          <cell r="K2491" t="str">
            <v>TROUSER</v>
          </cell>
          <cell r="L2491" t="str">
            <v>NOD</v>
          </cell>
        </row>
        <row r="2492">
          <cell r="C2492" t="str">
            <v>USTRO0517D</v>
          </cell>
          <cell r="D2492" t="str">
            <v>CORE</v>
          </cell>
          <cell r="E2492" t="str">
            <v>CO25</v>
          </cell>
          <cell r="F2492">
            <v>3159.66</v>
          </cell>
          <cell r="G2492" t="str">
            <v>US</v>
          </cell>
          <cell r="H2492" t="str">
            <v>USPUSMTRO</v>
          </cell>
          <cell r="I2492" t="str">
            <v>USTRO0517D011</v>
          </cell>
          <cell r="J2492" t="str">
            <v>48</v>
          </cell>
          <cell r="K2492" t="str">
            <v>TROUSER</v>
          </cell>
          <cell r="L2492" t="str">
            <v>NOD</v>
          </cell>
        </row>
        <row r="2493">
          <cell r="C2493" t="str">
            <v>USTRO0517S</v>
          </cell>
          <cell r="D2493" t="str">
            <v>CORE</v>
          </cell>
          <cell r="E2493" t="str">
            <v>CO25</v>
          </cell>
          <cell r="F2493">
            <v>2799</v>
          </cell>
          <cell r="G2493" t="str">
            <v>US</v>
          </cell>
          <cell r="H2493" t="str">
            <v>USPUSMTRO</v>
          </cell>
          <cell r="I2493" t="str">
            <v>USTRO0517S001</v>
          </cell>
          <cell r="J2493" t="str">
            <v>28</v>
          </cell>
          <cell r="K2493" t="str">
            <v>TROUSER</v>
          </cell>
          <cell r="L2493" t="str">
            <v>NOD</v>
          </cell>
        </row>
        <row r="2494">
          <cell r="C2494" t="str">
            <v>USTRO0517S</v>
          </cell>
          <cell r="D2494" t="str">
            <v>CORE</v>
          </cell>
          <cell r="E2494" t="str">
            <v>CO25</v>
          </cell>
          <cell r="F2494">
            <v>2799</v>
          </cell>
          <cell r="G2494" t="str">
            <v>US</v>
          </cell>
          <cell r="H2494" t="str">
            <v>USPUSMTRO</v>
          </cell>
          <cell r="I2494" t="str">
            <v>USTRO0517S002</v>
          </cell>
          <cell r="J2494" t="str">
            <v>30</v>
          </cell>
          <cell r="K2494" t="str">
            <v>TROUSER</v>
          </cell>
          <cell r="L2494" t="str">
            <v>NOD</v>
          </cell>
        </row>
        <row r="2495">
          <cell r="C2495" t="str">
            <v>USTRO0517S</v>
          </cell>
          <cell r="D2495" t="str">
            <v>CORE</v>
          </cell>
          <cell r="E2495" t="str">
            <v>CO25</v>
          </cell>
          <cell r="F2495">
            <v>2799</v>
          </cell>
          <cell r="G2495" t="str">
            <v>US</v>
          </cell>
          <cell r="H2495" t="str">
            <v>USPUSMTRO</v>
          </cell>
          <cell r="I2495" t="str">
            <v>USTRO0517S003</v>
          </cell>
          <cell r="J2495" t="str">
            <v>32</v>
          </cell>
          <cell r="K2495" t="str">
            <v>TROUSER</v>
          </cell>
          <cell r="L2495" t="str">
            <v>NOD</v>
          </cell>
        </row>
        <row r="2496">
          <cell r="C2496" t="str">
            <v>USTRO0517S</v>
          </cell>
          <cell r="D2496" t="str">
            <v>CORE</v>
          </cell>
          <cell r="E2496" t="str">
            <v>CO25</v>
          </cell>
          <cell r="F2496">
            <v>2799</v>
          </cell>
          <cell r="G2496" t="str">
            <v>US</v>
          </cell>
          <cell r="H2496" t="str">
            <v>USPUSMTRO</v>
          </cell>
          <cell r="I2496" t="str">
            <v>USTRO0517S004</v>
          </cell>
          <cell r="J2496" t="str">
            <v>34</v>
          </cell>
          <cell r="K2496" t="str">
            <v>TROUSER</v>
          </cell>
          <cell r="L2496" t="str">
            <v>NOD</v>
          </cell>
        </row>
        <row r="2497">
          <cell r="C2497" t="str">
            <v>USTRO0517S</v>
          </cell>
          <cell r="D2497" t="str">
            <v>CORE</v>
          </cell>
          <cell r="E2497" t="str">
            <v>CO25</v>
          </cell>
          <cell r="F2497">
            <v>2799</v>
          </cell>
          <cell r="G2497" t="str">
            <v>US</v>
          </cell>
          <cell r="H2497" t="str">
            <v>USPUSMTRO</v>
          </cell>
          <cell r="I2497" t="str">
            <v>USTRO0517S005</v>
          </cell>
          <cell r="J2497" t="str">
            <v>36</v>
          </cell>
          <cell r="K2497" t="str">
            <v>TROUSER</v>
          </cell>
          <cell r="L2497" t="str">
            <v>NOD</v>
          </cell>
        </row>
        <row r="2498">
          <cell r="C2498" t="str">
            <v>USTRO0517S</v>
          </cell>
          <cell r="D2498" t="str">
            <v>CORE</v>
          </cell>
          <cell r="E2498" t="str">
            <v>CO25</v>
          </cell>
          <cell r="F2498">
            <v>2799</v>
          </cell>
          <cell r="G2498" t="str">
            <v>US</v>
          </cell>
          <cell r="H2498" t="str">
            <v>USPUSMTRO</v>
          </cell>
          <cell r="I2498" t="str">
            <v>USTRO0517S006</v>
          </cell>
          <cell r="J2498" t="str">
            <v>38</v>
          </cell>
          <cell r="K2498" t="str">
            <v>TROUSER</v>
          </cell>
          <cell r="L2498" t="str">
            <v>NOD</v>
          </cell>
        </row>
        <row r="2499">
          <cell r="C2499" t="str">
            <v>USTRO0517S</v>
          </cell>
          <cell r="D2499" t="str">
            <v>CORE</v>
          </cell>
          <cell r="E2499" t="str">
            <v>CO25</v>
          </cell>
          <cell r="F2499">
            <v>2799</v>
          </cell>
          <cell r="G2499" t="str">
            <v>US</v>
          </cell>
          <cell r="H2499" t="str">
            <v>USPUSMTRO</v>
          </cell>
          <cell r="I2499" t="str">
            <v>USTRO0517S007</v>
          </cell>
          <cell r="J2499" t="str">
            <v>40</v>
          </cell>
          <cell r="K2499" t="str">
            <v>TROUSER</v>
          </cell>
          <cell r="L2499" t="str">
            <v>NOD</v>
          </cell>
        </row>
        <row r="2500">
          <cell r="C2500" t="str">
            <v>USTRO0517S</v>
          </cell>
          <cell r="D2500" t="str">
            <v>CORE</v>
          </cell>
          <cell r="E2500" t="str">
            <v>CO25</v>
          </cell>
          <cell r="F2500">
            <v>2799</v>
          </cell>
          <cell r="G2500" t="str">
            <v>US</v>
          </cell>
          <cell r="H2500" t="str">
            <v>USPUSMTRO</v>
          </cell>
          <cell r="I2500" t="str">
            <v>USTRO0517S008</v>
          </cell>
          <cell r="J2500" t="str">
            <v>42</v>
          </cell>
          <cell r="K2500" t="str">
            <v>TROUSER</v>
          </cell>
          <cell r="L2500" t="str">
            <v>NOD</v>
          </cell>
        </row>
        <row r="2501">
          <cell r="C2501" t="str">
            <v>USTRO0517S</v>
          </cell>
          <cell r="D2501" t="str">
            <v>CORE</v>
          </cell>
          <cell r="E2501" t="str">
            <v>CO25</v>
          </cell>
          <cell r="F2501">
            <v>3159.66</v>
          </cell>
          <cell r="G2501" t="str">
            <v>US</v>
          </cell>
          <cell r="H2501" t="str">
            <v>USPUSMTRO</v>
          </cell>
          <cell r="I2501" t="str">
            <v>USTRO0517S009</v>
          </cell>
          <cell r="J2501" t="str">
            <v>44</v>
          </cell>
          <cell r="K2501" t="str">
            <v>TROUSER</v>
          </cell>
          <cell r="L2501" t="str">
            <v>NOD</v>
          </cell>
        </row>
        <row r="2502">
          <cell r="C2502" t="str">
            <v>USTRO0517S</v>
          </cell>
          <cell r="D2502" t="str">
            <v>CORE</v>
          </cell>
          <cell r="E2502" t="str">
            <v>CO25</v>
          </cell>
          <cell r="F2502">
            <v>3159.66</v>
          </cell>
          <cell r="G2502" t="str">
            <v>US</v>
          </cell>
          <cell r="H2502" t="str">
            <v>USPUSMTRO</v>
          </cell>
          <cell r="I2502" t="str">
            <v>USTRO0517S010</v>
          </cell>
          <cell r="J2502" t="str">
            <v>46</v>
          </cell>
          <cell r="K2502" t="str">
            <v>TROUSER</v>
          </cell>
          <cell r="L2502" t="str">
            <v>NOD</v>
          </cell>
        </row>
        <row r="2503">
          <cell r="C2503" t="str">
            <v>USTRO0517S</v>
          </cell>
          <cell r="D2503" t="str">
            <v>CORE</v>
          </cell>
          <cell r="E2503" t="str">
            <v>CO25</v>
          </cell>
          <cell r="F2503">
            <v>3159.66</v>
          </cell>
          <cell r="G2503" t="str">
            <v>US</v>
          </cell>
          <cell r="H2503" t="str">
            <v>USPUSMTRO</v>
          </cell>
          <cell r="I2503" t="str">
            <v>USTRO0517S011</v>
          </cell>
          <cell r="J2503" t="str">
            <v>48</v>
          </cell>
          <cell r="K2503" t="str">
            <v>TROUSER</v>
          </cell>
          <cell r="L2503" t="str">
            <v>NOD</v>
          </cell>
        </row>
        <row r="2504">
          <cell r="C2504" t="str">
            <v>USTRO0518</v>
          </cell>
          <cell r="D2504" t="str">
            <v>CORE</v>
          </cell>
          <cell r="E2504" t="str">
            <v>CO26</v>
          </cell>
          <cell r="F2504">
            <v>2799</v>
          </cell>
          <cell r="G2504" t="str">
            <v>US</v>
          </cell>
          <cell r="H2504" t="str">
            <v>USPUSMTRO</v>
          </cell>
          <cell r="I2504" t="str">
            <v>USTRO0518001</v>
          </cell>
          <cell r="J2504" t="str">
            <v>28</v>
          </cell>
          <cell r="K2504" t="str">
            <v>TROUSER</v>
          </cell>
          <cell r="L2504" t="str">
            <v>NOD</v>
          </cell>
        </row>
        <row r="2505">
          <cell r="C2505" t="str">
            <v>USTRO0518</v>
          </cell>
          <cell r="D2505" t="str">
            <v>CORE</v>
          </cell>
          <cell r="E2505" t="str">
            <v>CO26</v>
          </cell>
          <cell r="F2505">
            <v>2799</v>
          </cell>
          <cell r="G2505" t="str">
            <v>US</v>
          </cell>
          <cell r="H2505" t="str">
            <v>USPUSMTRO</v>
          </cell>
          <cell r="I2505" t="str">
            <v>USTRO0518002</v>
          </cell>
          <cell r="J2505" t="str">
            <v>30</v>
          </cell>
          <cell r="K2505" t="str">
            <v>TROUSER</v>
          </cell>
          <cell r="L2505" t="str">
            <v>NOD</v>
          </cell>
        </row>
        <row r="2506">
          <cell r="C2506" t="str">
            <v>USTRO0518</v>
          </cell>
          <cell r="D2506" t="str">
            <v>CORE</v>
          </cell>
          <cell r="E2506" t="str">
            <v>CO26</v>
          </cell>
          <cell r="F2506">
            <v>2799</v>
          </cell>
          <cell r="G2506" t="str">
            <v>US</v>
          </cell>
          <cell r="H2506" t="str">
            <v>USPUSMTRO</v>
          </cell>
          <cell r="I2506" t="str">
            <v>USTRO0518003</v>
          </cell>
          <cell r="J2506" t="str">
            <v>32</v>
          </cell>
          <cell r="K2506" t="str">
            <v>TROUSER</v>
          </cell>
          <cell r="L2506" t="str">
            <v>NOD</v>
          </cell>
        </row>
        <row r="2507">
          <cell r="C2507" t="str">
            <v>USTRO0518</v>
          </cell>
          <cell r="D2507" t="str">
            <v>CORE</v>
          </cell>
          <cell r="E2507" t="str">
            <v>CO26</v>
          </cell>
          <cell r="F2507">
            <v>2799</v>
          </cell>
          <cell r="G2507" t="str">
            <v>US</v>
          </cell>
          <cell r="H2507" t="str">
            <v>USPUSMTRO</v>
          </cell>
          <cell r="I2507" t="str">
            <v>USTRO0518004</v>
          </cell>
          <cell r="J2507" t="str">
            <v>34</v>
          </cell>
          <cell r="K2507" t="str">
            <v>TROUSER</v>
          </cell>
          <cell r="L2507" t="str">
            <v>NOD</v>
          </cell>
        </row>
        <row r="2508">
          <cell r="C2508" t="str">
            <v>USTRO0518</v>
          </cell>
          <cell r="D2508" t="str">
            <v>CORE</v>
          </cell>
          <cell r="E2508" t="str">
            <v>CO26</v>
          </cell>
          <cell r="F2508">
            <v>2799</v>
          </cell>
          <cell r="G2508" t="str">
            <v>US</v>
          </cell>
          <cell r="H2508" t="str">
            <v>USPUSMTRO</v>
          </cell>
          <cell r="I2508" t="str">
            <v>USTRO0518005</v>
          </cell>
          <cell r="J2508" t="str">
            <v>36</v>
          </cell>
          <cell r="K2508" t="str">
            <v>TROUSER</v>
          </cell>
          <cell r="L2508" t="str">
            <v>NOD</v>
          </cell>
        </row>
        <row r="2509">
          <cell r="C2509" t="str">
            <v>USTRO0518</v>
          </cell>
          <cell r="D2509" t="str">
            <v>CORE</v>
          </cell>
          <cell r="E2509" t="str">
            <v>CO26</v>
          </cell>
          <cell r="F2509">
            <v>2799</v>
          </cell>
          <cell r="G2509" t="str">
            <v>US</v>
          </cell>
          <cell r="H2509" t="str">
            <v>USPUSMTRO</v>
          </cell>
          <cell r="I2509" t="str">
            <v>USTRO0518006</v>
          </cell>
          <cell r="J2509" t="str">
            <v>38</v>
          </cell>
          <cell r="K2509" t="str">
            <v>TROUSER</v>
          </cell>
          <cell r="L2509" t="str">
            <v>NOD</v>
          </cell>
        </row>
        <row r="2510">
          <cell r="C2510" t="str">
            <v>USTRO0518</v>
          </cell>
          <cell r="D2510" t="str">
            <v>CORE</v>
          </cell>
          <cell r="E2510" t="str">
            <v>CO26</v>
          </cell>
          <cell r="F2510">
            <v>2799</v>
          </cell>
          <cell r="G2510" t="str">
            <v>US</v>
          </cell>
          <cell r="H2510" t="str">
            <v>USPUSMTRO</v>
          </cell>
          <cell r="I2510" t="str">
            <v>USTRO0518007</v>
          </cell>
          <cell r="J2510" t="str">
            <v>40</v>
          </cell>
          <cell r="K2510" t="str">
            <v>TROUSER</v>
          </cell>
          <cell r="L2510" t="str">
            <v>NOD</v>
          </cell>
        </row>
        <row r="2511">
          <cell r="C2511" t="str">
            <v>USTRO0518</v>
          </cell>
          <cell r="D2511" t="str">
            <v>CORE</v>
          </cell>
          <cell r="E2511" t="str">
            <v>CO26</v>
          </cell>
          <cell r="F2511">
            <v>2799</v>
          </cell>
          <cell r="G2511" t="str">
            <v>US</v>
          </cell>
          <cell r="H2511" t="str">
            <v>USPUSMTRO</v>
          </cell>
          <cell r="I2511" t="str">
            <v>USTRO0518008</v>
          </cell>
          <cell r="J2511" t="str">
            <v>42</v>
          </cell>
          <cell r="K2511" t="str">
            <v>TROUSER</v>
          </cell>
          <cell r="L2511" t="str">
            <v>NOD</v>
          </cell>
        </row>
        <row r="2512">
          <cell r="C2512" t="str">
            <v>USTRO0518</v>
          </cell>
          <cell r="D2512" t="str">
            <v>CORE</v>
          </cell>
          <cell r="E2512" t="str">
            <v>CO26</v>
          </cell>
          <cell r="F2512">
            <v>2799</v>
          </cell>
          <cell r="G2512" t="str">
            <v>US</v>
          </cell>
          <cell r="H2512" t="str">
            <v>USPUSMTRO</v>
          </cell>
          <cell r="I2512" t="str">
            <v>USTRO0518009</v>
          </cell>
          <cell r="J2512" t="str">
            <v>44</v>
          </cell>
          <cell r="K2512" t="str">
            <v>TROUSER</v>
          </cell>
          <cell r="L2512" t="str">
            <v>NOD</v>
          </cell>
        </row>
        <row r="2513">
          <cell r="C2513" t="str">
            <v>USTRO0518</v>
          </cell>
          <cell r="D2513" t="str">
            <v>CORE</v>
          </cell>
          <cell r="E2513" t="str">
            <v>CO26</v>
          </cell>
          <cell r="F2513">
            <v>3159.66</v>
          </cell>
          <cell r="G2513" t="str">
            <v>US</v>
          </cell>
          <cell r="H2513" t="str">
            <v>USPUSMTRO</v>
          </cell>
          <cell r="I2513" t="str">
            <v>USTRO0518010</v>
          </cell>
          <cell r="J2513" t="str">
            <v>46</v>
          </cell>
          <cell r="K2513" t="str">
            <v>TROUSER</v>
          </cell>
          <cell r="L2513" t="str">
            <v>NOD</v>
          </cell>
        </row>
        <row r="2514">
          <cell r="C2514" t="str">
            <v>USTRO0518</v>
          </cell>
          <cell r="D2514" t="str">
            <v>CORE</v>
          </cell>
          <cell r="E2514" t="str">
            <v>CO26</v>
          </cell>
          <cell r="F2514">
            <v>3159.66</v>
          </cell>
          <cell r="G2514" t="str">
            <v>US</v>
          </cell>
          <cell r="H2514" t="str">
            <v>USPUSMTRO</v>
          </cell>
          <cell r="I2514" t="str">
            <v>USTRO0518011</v>
          </cell>
          <cell r="J2514" t="str">
            <v>48</v>
          </cell>
          <cell r="K2514" t="str">
            <v>TROUSER</v>
          </cell>
          <cell r="L2514" t="str">
            <v>NOD</v>
          </cell>
        </row>
        <row r="2515">
          <cell r="C2515" t="str">
            <v>USTRO0518D</v>
          </cell>
          <cell r="D2515" t="str">
            <v>CORE</v>
          </cell>
          <cell r="E2515" t="str">
            <v>CO26</v>
          </cell>
          <cell r="F2515">
            <v>2799</v>
          </cell>
          <cell r="G2515" t="str">
            <v>US</v>
          </cell>
          <cell r="H2515" t="str">
            <v>USPUSMTRO</v>
          </cell>
          <cell r="I2515" t="str">
            <v>USTRO0518D001</v>
          </cell>
          <cell r="J2515" t="str">
            <v>28</v>
          </cell>
          <cell r="K2515" t="str">
            <v>TROUSER</v>
          </cell>
          <cell r="L2515" t="str">
            <v>NOD</v>
          </cell>
        </row>
        <row r="2516">
          <cell r="C2516" t="str">
            <v>USTRO0518D</v>
          </cell>
          <cell r="D2516" t="str">
            <v>CORE</v>
          </cell>
          <cell r="E2516" t="str">
            <v>CO26</v>
          </cell>
          <cell r="F2516">
            <v>2799</v>
          </cell>
          <cell r="G2516" t="str">
            <v>US</v>
          </cell>
          <cell r="H2516" t="str">
            <v>USPUSMTRO</v>
          </cell>
          <cell r="I2516" t="str">
            <v>USTRO0518D002</v>
          </cell>
          <cell r="J2516" t="str">
            <v>30</v>
          </cell>
          <cell r="K2516" t="str">
            <v>TROUSER</v>
          </cell>
          <cell r="L2516" t="str">
            <v>NOD</v>
          </cell>
        </row>
        <row r="2517">
          <cell r="C2517" t="str">
            <v>USTRO0518D</v>
          </cell>
          <cell r="D2517" t="str">
            <v>CORE</v>
          </cell>
          <cell r="E2517" t="str">
            <v>CO26</v>
          </cell>
          <cell r="F2517">
            <v>2799</v>
          </cell>
          <cell r="G2517" t="str">
            <v>US</v>
          </cell>
          <cell r="H2517" t="str">
            <v>USPUSMTRO</v>
          </cell>
          <cell r="I2517" t="str">
            <v>USTRO0518D003</v>
          </cell>
          <cell r="J2517" t="str">
            <v>32</v>
          </cell>
          <cell r="K2517" t="str">
            <v>TROUSER</v>
          </cell>
          <cell r="L2517" t="str">
            <v>NOD</v>
          </cell>
        </row>
        <row r="2518">
          <cell r="C2518" t="str">
            <v>USTRO0518D</v>
          </cell>
          <cell r="D2518" t="str">
            <v>CORE</v>
          </cell>
          <cell r="E2518" t="str">
            <v>CO26</v>
          </cell>
          <cell r="F2518">
            <v>2799</v>
          </cell>
          <cell r="G2518" t="str">
            <v>US</v>
          </cell>
          <cell r="H2518" t="str">
            <v>USPUSMTRO</v>
          </cell>
          <cell r="I2518" t="str">
            <v>USTRO0518D004</v>
          </cell>
          <cell r="J2518" t="str">
            <v>34</v>
          </cell>
          <cell r="K2518" t="str">
            <v>TROUSER</v>
          </cell>
          <cell r="L2518" t="str">
            <v>NOD</v>
          </cell>
        </row>
        <row r="2519">
          <cell r="C2519" t="str">
            <v>USTRO0518D</v>
          </cell>
          <cell r="D2519" t="str">
            <v>CORE</v>
          </cell>
          <cell r="E2519" t="str">
            <v>CO26</v>
          </cell>
          <cell r="F2519">
            <v>2799</v>
          </cell>
          <cell r="G2519" t="str">
            <v>US</v>
          </cell>
          <cell r="H2519" t="str">
            <v>USPUSMTRO</v>
          </cell>
          <cell r="I2519" t="str">
            <v>USTRO0518D005</v>
          </cell>
          <cell r="J2519" t="str">
            <v>36</v>
          </cell>
          <cell r="K2519" t="str">
            <v>TROUSER</v>
          </cell>
          <cell r="L2519" t="str">
            <v>NOD</v>
          </cell>
        </row>
        <row r="2520">
          <cell r="C2520" t="str">
            <v>USTRO0518D</v>
          </cell>
          <cell r="D2520" t="str">
            <v>CORE</v>
          </cell>
          <cell r="E2520" t="str">
            <v>CO26</v>
          </cell>
          <cell r="F2520">
            <v>2799</v>
          </cell>
          <cell r="G2520" t="str">
            <v>US</v>
          </cell>
          <cell r="H2520" t="str">
            <v>USPUSMTRO</v>
          </cell>
          <cell r="I2520" t="str">
            <v>USTRO0518D006</v>
          </cell>
          <cell r="J2520" t="str">
            <v>38</v>
          </cell>
          <cell r="K2520" t="str">
            <v>TROUSER</v>
          </cell>
          <cell r="L2520" t="str">
            <v>NOD</v>
          </cell>
        </row>
        <row r="2521">
          <cell r="C2521" t="str">
            <v>USTRO0518D</v>
          </cell>
          <cell r="D2521" t="str">
            <v>CORE</v>
          </cell>
          <cell r="E2521" t="str">
            <v>CO26</v>
          </cell>
          <cell r="F2521">
            <v>2799</v>
          </cell>
          <cell r="G2521" t="str">
            <v>US</v>
          </cell>
          <cell r="H2521" t="str">
            <v>USPUSMTRO</v>
          </cell>
          <cell r="I2521" t="str">
            <v>USTRO0518D007</v>
          </cell>
          <cell r="J2521" t="str">
            <v>40</v>
          </cell>
          <cell r="K2521" t="str">
            <v>TROUSER</v>
          </cell>
          <cell r="L2521" t="str">
            <v>NOD</v>
          </cell>
        </row>
        <row r="2522">
          <cell r="C2522" t="str">
            <v>USTRO0518D</v>
          </cell>
          <cell r="D2522" t="str">
            <v>CORE</v>
          </cell>
          <cell r="E2522" t="str">
            <v>CO26</v>
          </cell>
          <cell r="F2522">
            <v>2799</v>
          </cell>
          <cell r="G2522" t="str">
            <v>US</v>
          </cell>
          <cell r="H2522" t="str">
            <v>USPUSMTRO</v>
          </cell>
          <cell r="I2522" t="str">
            <v>USTRO0518D008</v>
          </cell>
          <cell r="J2522" t="str">
            <v>42</v>
          </cell>
          <cell r="K2522" t="str">
            <v>TROUSER</v>
          </cell>
          <cell r="L2522" t="str">
            <v>NOD</v>
          </cell>
        </row>
        <row r="2523">
          <cell r="C2523" t="str">
            <v>USTRO0518D</v>
          </cell>
          <cell r="D2523" t="str">
            <v>CORE</v>
          </cell>
          <cell r="E2523" t="str">
            <v>CO26</v>
          </cell>
          <cell r="F2523">
            <v>2799</v>
          </cell>
          <cell r="G2523" t="str">
            <v>US</v>
          </cell>
          <cell r="H2523" t="str">
            <v>USPUSMTRO</v>
          </cell>
          <cell r="I2523" t="str">
            <v>USTRO0518D009</v>
          </cell>
          <cell r="J2523" t="str">
            <v>44</v>
          </cell>
          <cell r="K2523" t="str">
            <v>TROUSER</v>
          </cell>
          <cell r="L2523" t="str">
            <v>NOD</v>
          </cell>
        </row>
        <row r="2524">
          <cell r="C2524" t="str">
            <v>USTRO0518D</v>
          </cell>
          <cell r="D2524" t="str">
            <v>CORE</v>
          </cell>
          <cell r="E2524" t="str">
            <v>CO26</v>
          </cell>
          <cell r="F2524">
            <v>3159.66</v>
          </cell>
          <cell r="G2524" t="str">
            <v>US</v>
          </cell>
          <cell r="H2524" t="str">
            <v>USPUSMTRO</v>
          </cell>
          <cell r="I2524" t="str">
            <v>USTRO0518D010</v>
          </cell>
          <cell r="J2524" t="str">
            <v>46</v>
          </cell>
          <cell r="K2524" t="str">
            <v>TROUSER</v>
          </cell>
          <cell r="L2524" t="str">
            <v>NOD</v>
          </cell>
        </row>
        <row r="2525">
          <cell r="C2525" t="str">
            <v>USTRO0518D</v>
          </cell>
          <cell r="D2525" t="str">
            <v>CORE</v>
          </cell>
          <cell r="E2525" t="str">
            <v>CO26</v>
          </cell>
          <cell r="F2525">
            <v>3159.66</v>
          </cell>
          <cell r="G2525" t="str">
            <v>US</v>
          </cell>
          <cell r="H2525" t="str">
            <v>USPUSMTRO</v>
          </cell>
          <cell r="I2525" t="str">
            <v>USTRO0518D011</v>
          </cell>
          <cell r="J2525" t="str">
            <v>48</v>
          </cell>
          <cell r="K2525" t="str">
            <v>TROUSER</v>
          </cell>
          <cell r="L2525" t="str">
            <v>NOD</v>
          </cell>
        </row>
        <row r="2526">
          <cell r="C2526" t="str">
            <v>USTRO0518S</v>
          </cell>
          <cell r="D2526" t="str">
            <v>CORE</v>
          </cell>
          <cell r="E2526" t="str">
            <v>CO25</v>
          </cell>
          <cell r="F2526">
            <v>2799</v>
          </cell>
          <cell r="G2526" t="str">
            <v>US</v>
          </cell>
          <cell r="H2526" t="str">
            <v>USPUSMTRO</v>
          </cell>
          <cell r="I2526" t="str">
            <v>USTRO0518S001</v>
          </cell>
          <cell r="J2526" t="str">
            <v>28</v>
          </cell>
          <cell r="K2526" t="str">
            <v>TROUSER</v>
          </cell>
          <cell r="L2526" t="str">
            <v>NOD</v>
          </cell>
        </row>
        <row r="2527">
          <cell r="C2527" t="str">
            <v>USTRO0518S</v>
          </cell>
          <cell r="D2527" t="str">
            <v>CORE</v>
          </cell>
          <cell r="E2527" t="str">
            <v>CO25</v>
          </cell>
          <cell r="F2527">
            <v>2799</v>
          </cell>
          <cell r="G2527" t="str">
            <v>US</v>
          </cell>
          <cell r="H2527" t="str">
            <v>USPUSMTRO</v>
          </cell>
          <cell r="I2527" t="str">
            <v>USTRO0518S002</v>
          </cell>
          <cell r="J2527" t="str">
            <v>30</v>
          </cell>
          <cell r="K2527" t="str">
            <v>TROUSER</v>
          </cell>
          <cell r="L2527" t="str">
            <v>NOD</v>
          </cell>
        </row>
        <row r="2528">
          <cell r="C2528" t="str">
            <v>USTRO0518S</v>
          </cell>
          <cell r="D2528" t="str">
            <v>CORE</v>
          </cell>
          <cell r="E2528" t="str">
            <v>CO25</v>
          </cell>
          <cell r="F2528">
            <v>2799</v>
          </cell>
          <cell r="G2528" t="str">
            <v>US</v>
          </cell>
          <cell r="H2528" t="str">
            <v>USPUSMTRO</v>
          </cell>
          <cell r="I2528" t="str">
            <v>USTRO0518S003</v>
          </cell>
          <cell r="J2528" t="str">
            <v>32</v>
          </cell>
          <cell r="K2528" t="str">
            <v>TROUSER</v>
          </cell>
          <cell r="L2528" t="str">
            <v>NOD</v>
          </cell>
        </row>
        <row r="2529">
          <cell r="C2529" t="str">
            <v>USTRO0518S</v>
          </cell>
          <cell r="D2529" t="str">
            <v>CORE</v>
          </cell>
          <cell r="E2529" t="str">
            <v>CO25</v>
          </cell>
          <cell r="F2529">
            <v>2799</v>
          </cell>
          <cell r="G2529" t="str">
            <v>US</v>
          </cell>
          <cell r="H2529" t="str">
            <v>USPUSMTRO</v>
          </cell>
          <cell r="I2529" t="str">
            <v>USTRO0518S004</v>
          </cell>
          <cell r="J2529" t="str">
            <v>34</v>
          </cell>
          <cell r="K2529" t="str">
            <v>TROUSER</v>
          </cell>
          <cell r="L2529" t="str">
            <v>NOD</v>
          </cell>
        </row>
        <row r="2530">
          <cell r="C2530" t="str">
            <v>USTRO0518S</v>
          </cell>
          <cell r="D2530" t="str">
            <v>CORE</v>
          </cell>
          <cell r="E2530" t="str">
            <v>CO25</v>
          </cell>
          <cell r="F2530">
            <v>2799</v>
          </cell>
          <cell r="G2530" t="str">
            <v>US</v>
          </cell>
          <cell r="H2530" t="str">
            <v>USPUSMTRO</v>
          </cell>
          <cell r="I2530" t="str">
            <v>USTRO0518S005</v>
          </cell>
          <cell r="J2530" t="str">
            <v>36</v>
          </cell>
          <cell r="K2530" t="str">
            <v>TROUSER</v>
          </cell>
          <cell r="L2530" t="str">
            <v>NOD</v>
          </cell>
        </row>
        <row r="2531">
          <cell r="C2531" t="str">
            <v>USTRO0518S</v>
          </cell>
          <cell r="D2531" t="str">
            <v>CORE</v>
          </cell>
          <cell r="E2531" t="str">
            <v>CO25</v>
          </cell>
          <cell r="F2531">
            <v>2799</v>
          </cell>
          <cell r="G2531" t="str">
            <v>US</v>
          </cell>
          <cell r="H2531" t="str">
            <v>USPUSMTRO</v>
          </cell>
          <cell r="I2531" t="str">
            <v>USTRO0518S006</v>
          </cell>
          <cell r="J2531" t="str">
            <v>38</v>
          </cell>
          <cell r="K2531" t="str">
            <v>TROUSER</v>
          </cell>
          <cell r="L2531" t="str">
            <v>NOD</v>
          </cell>
        </row>
        <row r="2532">
          <cell r="C2532" t="str">
            <v>USTRO0518S</v>
          </cell>
          <cell r="D2532" t="str">
            <v>CORE</v>
          </cell>
          <cell r="E2532" t="str">
            <v>CO25</v>
          </cell>
          <cell r="F2532">
            <v>2799</v>
          </cell>
          <cell r="G2532" t="str">
            <v>US</v>
          </cell>
          <cell r="H2532" t="str">
            <v>USPUSMTRO</v>
          </cell>
          <cell r="I2532" t="str">
            <v>USTRO0518S007</v>
          </cell>
          <cell r="J2532" t="str">
            <v>40</v>
          </cell>
          <cell r="K2532" t="str">
            <v>TROUSER</v>
          </cell>
          <cell r="L2532" t="str">
            <v>NOD</v>
          </cell>
        </row>
        <row r="2533">
          <cell r="C2533" t="str">
            <v>USTRO0518S</v>
          </cell>
          <cell r="D2533" t="str">
            <v>CORE</v>
          </cell>
          <cell r="E2533" t="str">
            <v>CO25</v>
          </cell>
          <cell r="F2533">
            <v>2799</v>
          </cell>
          <cell r="G2533" t="str">
            <v>US</v>
          </cell>
          <cell r="H2533" t="str">
            <v>USPUSMTRO</v>
          </cell>
          <cell r="I2533" t="str">
            <v>USTRO0518S008</v>
          </cell>
          <cell r="J2533" t="str">
            <v>42</v>
          </cell>
          <cell r="K2533" t="str">
            <v>TROUSER</v>
          </cell>
          <cell r="L2533" t="str">
            <v>NOD</v>
          </cell>
        </row>
        <row r="2534">
          <cell r="C2534" t="str">
            <v>USTRO0518S</v>
          </cell>
          <cell r="D2534" t="str">
            <v>CORE</v>
          </cell>
          <cell r="E2534" t="str">
            <v>CO25</v>
          </cell>
          <cell r="F2534">
            <v>3159.66</v>
          </cell>
          <cell r="G2534" t="str">
            <v>US</v>
          </cell>
          <cell r="H2534" t="str">
            <v>USPUSMTRO</v>
          </cell>
          <cell r="I2534" t="str">
            <v>USTRO0518S009</v>
          </cell>
          <cell r="J2534" t="str">
            <v>44</v>
          </cell>
          <cell r="K2534" t="str">
            <v>TROUSER</v>
          </cell>
          <cell r="L2534" t="str">
            <v>NOD</v>
          </cell>
        </row>
        <row r="2535">
          <cell r="C2535" t="str">
            <v>USTRO0518S</v>
          </cell>
          <cell r="D2535" t="str">
            <v>CORE</v>
          </cell>
          <cell r="E2535" t="str">
            <v>CO25</v>
          </cell>
          <cell r="F2535">
            <v>3159.66</v>
          </cell>
          <cell r="G2535" t="str">
            <v>US</v>
          </cell>
          <cell r="H2535" t="str">
            <v>USPUSMTRO</v>
          </cell>
          <cell r="I2535" t="str">
            <v>USTRO0518S010</v>
          </cell>
          <cell r="J2535" t="str">
            <v>46</v>
          </cell>
          <cell r="K2535" t="str">
            <v>TROUSER</v>
          </cell>
          <cell r="L2535" t="str">
            <v>NOD</v>
          </cell>
        </row>
        <row r="2536">
          <cell r="C2536" t="str">
            <v>USTRO0518S</v>
          </cell>
          <cell r="D2536" t="str">
            <v>CORE</v>
          </cell>
          <cell r="E2536" t="str">
            <v>CO25</v>
          </cell>
          <cell r="F2536">
            <v>3159.66</v>
          </cell>
          <cell r="G2536" t="str">
            <v>US</v>
          </cell>
          <cell r="H2536" t="str">
            <v>USPUSMTRO</v>
          </cell>
          <cell r="I2536" t="str">
            <v>USTRO0518S011</v>
          </cell>
          <cell r="J2536" t="str">
            <v>48</v>
          </cell>
          <cell r="K2536" t="str">
            <v>TROUSER</v>
          </cell>
          <cell r="L2536" t="str">
            <v>NOD</v>
          </cell>
        </row>
        <row r="2537">
          <cell r="C2537" t="str">
            <v>USTRO0634</v>
          </cell>
          <cell r="D2537" t="str">
            <v>CORE</v>
          </cell>
          <cell r="E2537" t="str">
            <v>CO25</v>
          </cell>
          <cell r="F2537">
            <v>2599</v>
          </cell>
          <cell r="G2537" t="str">
            <v>US</v>
          </cell>
          <cell r="H2537" t="str">
            <v>USPUSMTRO</v>
          </cell>
          <cell r="I2537" t="str">
            <v>USTRO0634001</v>
          </cell>
          <cell r="J2537" t="str">
            <v>28</v>
          </cell>
          <cell r="K2537" t="str">
            <v>TROUSER</v>
          </cell>
          <cell r="L2537" t="str">
            <v>NOD</v>
          </cell>
        </row>
        <row r="2538">
          <cell r="C2538" t="str">
            <v>USTRO0634</v>
          </cell>
          <cell r="D2538" t="str">
            <v>CORE</v>
          </cell>
          <cell r="E2538" t="str">
            <v>CO25</v>
          </cell>
          <cell r="F2538">
            <v>2599</v>
          </cell>
          <cell r="G2538" t="str">
            <v>US</v>
          </cell>
          <cell r="H2538" t="str">
            <v>USPUSMTRO</v>
          </cell>
          <cell r="I2538" t="str">
            <v>USTRO0634002</v>
          </cell>
          <cell r="J2538" t="str">
            <v>30</v>
          </cell>
          <cell r="K2538" t="str">
            <v>TROUSER</v>
          </cell>
          <cell r="L2538" t="str">
            <v>NOD</v>
          </cell>
        </row>
        <row r="2539">
          <cell r="C2539" t="str">
            <v>USTRO0634</v>
          </cell>
          <cell r="D2539" t="str">
            <v>CORE</v>
          </cell>
          <cell r="E2539" t="str">
            <v>CO25</v>
          </cell>
          <cell r="F2539">
            <v>2599</v>
          </cell>
          <cell r="G2539" t="str">
            <v>US</v>
          </cell>
          <cell r="H2539" t="str">
            <v>USPUSMTRO</v>
          </cell>
          <cell r="I2539" t="str">
            <v>USTRO0634003</v>
          </cell>
          <cell r="J2539" t="str">
            <v>32</v>
          </cell>
          <cell r="K2539" t="str">
            <v>TROUSER</v>
          </cell>
          <cell r="L2539" t="str">
            <v>NOD</v>
          </cell>
        </row>
        <row r="2540">
          <cell r="C2540" t="str">
            <v>USTRO0634</v>
          </cell>
          <cell r="D2540" t="str">
            <v>CORE</v>
          </cell>
          <cell r="E2540" t="str">
            <v>CO25</v>
          </cell>
          <cell r="F2540">
            <v>2599</v>
          </cell>
          <cell r="G2540" t="str">
            <v>US</v>
          </cell>
          <cell r="H2540" t="str">
            <v>USPUSMTRO</v>
          </cell>
          <cell r="I2540" t="str">
            <v>USTRO0634004</v>
          </cell>
          <cell r="J2540" t="str">
            <v>34</v>
          </cell>
          <cell r="K2540" t="str">
            <v>TROUSER</v>
          </cell>
          <cell r="L2540" t="str">
            <v>NOD</v>
          </cell>
        </row>
        <row r="2541">
          <cell r="C2541" t="str">
            <v>USTRO0634</v>
          </cell>
          <cell r="D2541" t="str">
            <v>CORE</v>
          </cell>
          <cell r="E2541" t="str">
            <v>CO25</v>
          </cell>
          <cell r="F2541">
            <v>2599</v>
          </cell>
          <cell r="G2541" t="str">
            <v>US</v>
          </cell>
          <cell r="H2541" t="str">
            <v>USPUSMTRO</v>
          </cell>
          <cell r="I2541" t="str">
            <v>USTRO0634005</v>
          </cell>
          <cell r="J2541" t="str">
            <v>36</v>
          </cell>
          <cell r="K2541" t="str">
            <v>TROUSER</v>
          </cell>
          <cell r="L2541" t="str">
            <v>NOD</v>
          </cell>
        </row>
        <row r="2542">
          <cell r="C2542" t="str">
            <v>USTRO0634</v>
          </cell>
          <cell r="D2542" t="str">
            <v>CORE</v>
          </cell>
          <cell r="E2542" t="str">
            <v>CO25</v>
          </cell>
          <cell r="F2542">
            <v>2599</v>
          </cell>
          <cell r="G2542" t="str">
            <v>US</v>
          </cell>
          <cell r="H2542" t="str">
            <v>USPUSMTRO</v>
          </cell>
          <cell r="I2542" t="str">
            <v>USTRO0634006</v>
          </cell>
          <cell r="J2542" t="str">
            <v>38</v>
          </cell>
          <cell r="K2542" t="str">
            <v>TROUSER</v>
          </cell>
          <cell r="L2542" t="str">
            <v>NOD</v>
          </cell>
        </row>
        <row r="2543">
          <cell r="C2543" t="str">
            <v>USTRO0634</v>
          </cell>
          <cell r="D2543" t="str">
            <v>CORE</v>
          </cell>
          <cell r="E2543" t="str">
            <v>CO25</v>
          </cell>
          <cell r="F2543">
            <v>2599</v>
          </cell>
          <cell r="G2543" t="str">
            <v>US</v>
          </cell>
          <cell r="H2543" t="str">
            <v>USPUSMTRO</v>
          </cell>
          <cell r="I2543" t="str">
            <v>USTRO0634007</v>
          </cell>
          <cell r="J2543" t="str">
            <v>40</v>
          </cell>
          <cell r="K2543" t="str">
            <v>TROUSER</v>
          </cell>
          <cell r="L2543" t="str">
            <v>NOD</v>
          </cell>
        </row>
        <row r="2544">
          <cell r="C2544" t="str">
            <v>USTRO0634</v>
          </cell>
          <cell r="D2544" t="str">
            <v>CORE</v>
          </cell>
          <cell r="E2544" t="str">
            <v>CO25</v>
          </cell>
          <cell r="F2544">
            <v>2599</v>
          </cell>
          <cell r="G2544" t="str">
            <v>US</v>
          </cell>
          <cell r="H2544" t="str">
            <v>USPUSMTRO</v>
          </cell>
          <cell r="I2544" t="str">
            <v>USTRO0634008</v>
          </cell>
          <cell r="J2544" t="str">
            <v>42</v>
          </cell>
          <cell r="K2544" t="str">
            <v>TROUSER</v>
          </cell>
          <cell r="L2544" t="str">
            <v>NOD</v>
          </cell>
        </row>
        <row r="2545">
          <cell r="C2545" t="str">
            <v>USTRO0634</v>
          </cell>
          <cell r="D2545" t="str">
            <v>CORE</v>
          </cell>
          <cell r="E2545" t="str">
            <v>CO25</v>
          </cell>
          <cell r="F2545">
            <v>2599</v>
          </cell>
          <cell r="G2545" t="str">
            <v>US</v>
          </cell>
          <cell r="H2545" t="str">
            <v>USPUSMTRO</v>
          </cell>
          <cell r="I2545" t="str">
            <v>USTRO0634009</v>
          </cell>
          <cell r="J2545" t="str">
            <v>44</v>
          </cell>
          <cell r="K2545" t="str">
            <v>TROUSER</v>
          </cell>
          <cell r="L2545" t="str">
            <v>NOD</v>
          </cell>
        </row>
        <row r="2546">
          <cell r="C2546" t="str">
            <v>USTRO0634</v>
          </cell>
          <cell r="D2546" t="str">
            <v>CORE</v>
          </cell>
          <cell r="E2546" t="str">
            <v>CO25</v>
          </cell>
          <cell r="F2546">
            <v>2799</v>
          </cell>
          <cell r="G2546" t="str">
            <v>US</v>
          </cell>
          <cell r="H2546" t="str">
            <v>USPUSMTRO</v>
          </cell>
          <cell r="I2546" t="str">
            <v>USTRO0634010</v>
          </cell>
          <cell r="J2546" t="str">
            <v>46</v>
          </cell>
          <cell r="K2546" t="str">
            <v>TROUSER</v>
          </cell>
          <cell r="L2546" t="str">
            <v>NOD</v>
          </cell>
        </row>
        <row r="2547">
          <cell r="C2547" t="str">
            <v>USTRO0634</v>
          </cell>
          <cell r="D2547" t="str">
            <v>CORE</v>
          </cell>
          <cell r="E2547" t="str">
            <v>CO25</v>
          </cell>
          <cell r="F2547">
            <v>2799</v>
          </cell>
          <cell r="G2547" t="str">
            <v>US</v>
          </cell>
          <cell r="H2547" t="str">
            <v>USPUSMTRO</v>
          </cell>
          <cell r="I2547" t="str">
            <v>USTRO0634011</v>
          </cell>
          <cell r="J2547" t="str">
            <v>48</v>
          </cell>
          <cell r="K2547" t="str">
            <v>TROUSER</v>
          </cell>
          <cell r="L2547" t="str">
            <v>NOD</v>
          </cell>
        </row>
        <row r="2548">
          <cell r="C2548" t="str">
            <v>USTRO0634</v>
          </cell>
          <cell r="D2548" t="str">
            <v>CORE</v>
          </cell>
          <cell r="E2548" t="str">
            <v>CO25</v>
          </cell>
          <cell r="F2548">
            <v>2799</v>
          </cell>
          <cell r="G2548" t="str">
            <v>US</v>
          </cell>
          <cell r="H2548" t="str">
            <v>USPUSMTRO</v>
          </cell>
          <cell r="I2548" t="str">
            <v>USTRO0634012</v>
          </cell>
          <cell r="J2548" t="str">
            <v>50</v>
          </cell>
          <cell r="K2548" t="str">
            <v>TROUSER</v>
          </cell>
          <cell r="L2548" t="str">
            <v>NOD</v>
          </cell>
        </row>
        <row r="2549">
          <cell r="C2549" t="str">
            <v>USTRO0634D</v>
          </cell>
          <cell r="D2549" t="str">
            <v>CORE</v>
          </cell>
          <cell r="E2549" t="str">
            <v>CO25</v>
          </cell>
          <cell r="F2549">
            <v>2599</v>
          </cell>
          <cell r="G2549" t="str">
            <v>US</v>
          </cell>
          <cell r="H2549" t="str">
            <v>USPUSMTRO</v>
          </cell>
          <cell r="I2549" t="str">
            <v>USTRO0634D001</v>
          </cell>
          <cell r="J2549" t="str">
            <v>28</v>
          </cell>
          <cell r="K2549" t="str">
            <v>TROUSER</v>
          </cell>
          <cell r="L2549" t="str">
            <v>NOD</v>
          </cell>
        </row>
        <row r="2550">
          <cell r="C2550" t="str">
            <v>USTRO0634D</v>
          </cell>
          <cell r="D2550" t="str">
            <v>CORE</v>
          </cell>
          <cell r="E2550" t="str">
            <v>CO25</v>
          </cell>
          <cell r="F2550">
            <v>2599</v>
          </cell>
          <cell r="G2550" t="str">
            <v>US</v>
          </cell>
          <cell r="H2550" t="str">
            <v>USPUSMTRO</v>
          </cell>
          <cell r="I2550" t="str">
            <v>USTRO0634D002</v>
          </cell>
          <cell r="J2550" t="str">
            <v>30</v>
          </cell>
          <cell r="K2550" t="str">
            <v>TROUSER</v>
          </cell>
          <cell r="L2550" t="str">
            <v>NOD</v>
          </cell>
        </row>
        <row r="2551">
          <cell r="C2551" t="str">
            <v>USTRO0634D</v>
          </cell>
          <cell r="D2551" t="str">
            <v>CORE</v>
          </cell>
          <cell r="E2551" t="str">
            <v>CO25</v>
          </cell>
          <cell r="F2551">
            <v>2599</v>
          </cell>
          <cell r="G2551" t="str">
            <v>US</v>
          </cell>
          <cell r="H2551" t="str">
            <v>USPUSMTRO</v>
          </cell>
          <cell r="I2551" t="str">
            <v>USTRO0634D003</v>
          </cell>
          <cell r="J2551" t="str">
            <v>32</v>
          </cell>
          <cell r="K2551" t="str">
            <v>TROUSER</v>
          </cell>
          <cell r="L2551" t="str">
            <v>NOD</v>
          </cell>
        </row>
        <row r="2552">
          <cell r="C2552" t="str">
            <v>USTRO0634D</v>
          </cell>
          <cell r="D2552" t="str">
            <v>CORE</v>
          </cell>
          <cell r="E2552" t="str">
            <v>CO25</v>
          </cell>
          <cell r="F2552">
            <v>2599</v>
          </cell>
          <cell r="G2552" t="str">
            <v>US</v>
          </cell>
          <cell r="H2552" t="str">
            <v>USPUSMTRO</v>
          </cell>
          <cell r="I2552" t="str">
            <v>USTRO0634D004</v>
          </cell>
          <cell r="J2552" t="str">
            <v>34</v>
          </cell>
          <cell r="K2552" t="str">
            <v>TROUSER</v>
          </cell>
          <cell r="L2552" t="str">
            <v>NOD</v>
          </cell>
        </row>
        <row r="2553">
          <cell r="C2553" t="str">
            <v>USTRO0634D</v>
          </cell>
          <cell r="D2553" t="str">
            <v>CORE</v>
          </cell>
          <cell r="E2553" t="str">
            <v>CO25</v>
          </cell>
          <cell r="F2553">
            <v>2599</v>
          </cell>
          <cell r="G2553" t="str">
            <v>US</v>
          </cell>
          <cell r="H2553" t="str">
            <v>USPUSMTRO</v>
          </cell>
          <cell r="I2553" t="str">
            <v>USTRO0634D005</v>
          </cell>
          <cell r="J2553" t="str">
            <v>36</v>
          </cell>
          <cell r="K2553" t="str">
            <v>TROUSER</v>
          </cell>
          <cell r="L2553" t="str">
            <v>NOD</v>
          </cell>
        </row>
        <row r="2554">
          <cell r="C2554" t="str">
            <v>USTRO0634D</v>
          </cell>
          <cell r="D2554" t="str">
            <v>CORE</v>
          </cell>
          <cell r="E2554" t="str">
            <v>CO25</v>
          </cell>
          <cell r="F2554">
            <v>2599</v>
          </cell>
          <cell r="G2554" t="str">
            <v>US</v>
          </cell>
          <cell r="H2554" t="str">
            <v>USPUSMTRO</v>
          </cell>
          <cell r="I2554" t="str">
            <v>USTRO0634D006</v>
          </cell>
          <cell r="J2554" t="str">
            <v>38</v>
          </cell>
          <cell r="K2554" t="str">
            <v>TROUSER</v>
          </cell>
          <cell r="L2554" t="str">
            <v>NOD</v>
          </cell>
        </row>
        <row r="2555">
          <cell r="C2555" t="str">
            <v>USTRO0634D</v>
          </cell>
          <cell r="D2555" t="str">
            <v>CORE</v>
          </cell>
          <cell r="E2555" t="str">
            <v>CO25</v>
          </cell>
          <cell r="F2555">
            <v>2599</v>
          </cell>
          <cell r="G2555" t="str">
            <v>US</v>
          </cell>
          <cell r="H2555" t="str">
            <v>USPUSMTRO</v>
          </cell>
          <cell r="I2555" t="str">
            <v>USTRO0634D007</v>
          </cell>
          <cell r="J2555" t="str">
            <v>40</v>
          </cell>
          <cell r="K2555" t="str">
            <v>TROUSER</v>
          </cell>
          <cell r="L2555" t="str">
            <v>NOD</v>
          </cell>
        </row>
        <row r="2556">
          <cell r="C2556" t="str">
            <v>USTRO0634D</v>
          </cell>
          <cell r="D2556" t="str">
            <v>CORE</v>
          </cell>
          <cell r="E2556" t="str">
            <v>CO25</v>
          </cell>
          <cell r="F2556">
            <v>2599</v>
          </cell>
          <cell r="G2556" t="str">
            <v>US</v>
          </cell>
          <cell r="H2556" t="str">
            <v>USPUSMTRO</v>
          </cell>
          <cell r="I2556" t="str">
            <v>USTRO0634D008</v>
          </cell>
          <cell r="J2556" t="str">
            <v>42</v>
          </cell>
          <cell r="K2556" t="str">
            <v>TROUSER</v>
          </cell>
          <cell r="L2556" t="str">
            <v>NOD</v>
          </cell>
        </row>
        <row r="2557">
          <cell r="C2557" t="str">
            <v>USTRO0634D</v>
          </cell>
          <cell r="D2557" t="str">
            <v>CORE</v>
          </cell>
          <cell r="E2557" t="str">
            <v>CO25</v>
          </cell>
          <cell r="F2557">
            <v>2599</v>
          </cell>
          <cell r="G2557" t="str">
            <v>US</v>
          </cell>
          <cell r="H2557" t="str">
            <v>USPUSMTRO</v>
          </cell>
          <cell r="I2557" t="str">
            <v>USTRO0634D009</v>
          </cell>
          <cell r="J2557" t="str">
            <v>44</v>
          </cell>
          <cell r="K2557" t="str">
            <v>TROUSER</v>
          </cell>
          <cell r="L2557" t="str">
            <v>NOD</v>
          </cell>
        </row>
        <row r="2558">
          <cell r="C2558" t="str">
            <v>USTRO0634D</v>
          </cell>
          <cell r="D2558" t="str">
            <v>CORE</v>
          </cell>
          <cell r="E2558" t="str">
            <v>CO25</v>
          </cell>
          <cell r="F2558">
            <v>2799</v>
          </cell>
          <cell r="G2558" t="str">
            <v>US</v>
          </cell>
          <cell r="H2558" t="str">
            <v>USPUSMTRO</v>
          </cell>
          <cell r="I2558" t="str">
            <v>USTRO0634D010</v>
          </cell>
          <cell r="J2558" t="str">
            <v>46</v>
          </cell>
          <cell r="K2558" t="str">
            <v>TROUSER</v>
          </cell>
          <cell r="L2558" t="str">
            <v>NOD</v>
          </cell>
        </row>
        <row r="2559">
          <cell r="C2559" t="str">
            <v>USTRO0634D</v>
          </cell>
          <cell r="D2559" t="str">
            <v>CORE</v>
          </cell>
          <cell r="E2559" t="str">
            <v>CO25</v>
          </cell>
          <cell r="F2559">
            <v>2799</v>
          </cell>
          <cell r="G2559" t="str">
            <v>US</v>
          </cell>
          <cell r="H2559" t="str">
            <v>USPUSMTRO</v>
          </cell>
          <cell r="I2559" t="str">
            <v>USTRO0634D011</v>
          </cell>
          <cell r="J2559" t="str">
            <v>48</v>
          </cell>
          <cell r="K2559" t="str">
            <v>TROUSER</v>
          </cell>
          <cell r="L2559" t="str">
            <v>NOD</v>
          </cell>
        </row>
        <row r="2560">
          <cell r="C2560" t="str">
            <v>USTRO0634D</v>
          </cell>
          <cell r="D2560" t="str">
            <v>CORE</v>
          </cell>
          <cell r="E2560" t="str">
            <v>CO25</v>
          </cell>
          <cell r="F2560">
            <v>2799</v>
          </cell>
          <cell r="G2560" t="str">
            <v>US</v>
          </cell>
          <cell r="H2560" t="str">
            <v>USPUSMTRO</v>
          </cell>
          <cell r="I2560" t="str">
            <v>USTRO0634D012</v>
          </cell>
          <cell r="J2560" t="str">
            <v>50</v>
          </cell>
          <cell r="K2560" t="str">
            <v>TROUSER</v>
          </cell>
          <cell r="L2560" t="str">
            <v>NOD</v>
          </cell>
        </row>
        <row r="2561">
          <cell r="C2561" t="str">
            <v>USTRO0634S</v>
          </cell>
          <cell r="D2561" t="str">
            <v>CORE</v>
          </cell>
          <cell r="E2561" t="str">
            <v>CO25</v>
          </cell>
          <cell r="F2561">
            <v>2599</v>
          </cell>
          <cell r="G2561" t="str">
            <v>US</v>
          </cell>
          <cell r="H2561" t="str">
            <v>USPUSMTRO</v>
          </cell>
          <cell r="I2561" t="str">
            <v>USTRO0634S001</v>
          </cell>
          <cell r="J2561" t="str">
            <v>28</v>
          </cell>
          <cell r="K2561" t="str">
            <v>TROUSER</v>
          </cell>
          <cell r="L2561" t="str">
            <v>NOD</v>
          </cell>
        </row>
        <row r="2562">
          <cell r="C2562" t="str">
            <v>USTRO0634S</v>
          </cell>
          <cell r="D2562" t="str">
            <v>CORE</v>
          </cell>
          <cell r="E2562" t="str">
            <v>CO25</v>
          </cell>
          <cell r="F2562">
            <v>2599</v>
          </cell>
          <cell r="G2562" t="str">
            <v>US</v>
          </cell>
          <cell r="H2562" t="str">
            <v>USPUSMTRO</v>
          </cell>
          <cell r="I2562" t="str">
            <v>USTRO0634S002</v>
          </cell>
          <cell r="J2562" t="str">
            <v>30</v>
          </cell>
          <cell r="K2562" t="str">
            <v>TROUSER</v>
          </cell>
          <cell r="L2562" t="str">
            <v>NOD</v>
          </cell>
        </row>
        <row r="2563">
          <cell r="C2563" t="str">
            <v>USTRO0634S</v>
          </cell>
          <cell r="D2563" t="str">
            <v>CORE</v>
          </cell>
          <cell r="E2563" t="str">
            <v>CO25</v>
          </cell>
          <cell r="F2563">
            <v>2599</v>
          </cell>
          <cell r="G2563" t="str">
            <v>US</v>
          </cell>
          <cell r="H2563" t="str">
            <v>USPUSMTRO</v>
          </cell>
          <cell r="I2563" t="str">
            <v>USTRO0634S003</v>
          </cell>
          <cell r="J2563" t="str">
            <v>32</v>
          </cell>
          <cell r="K2563" t="str">
            <v>TROUSER</v>
          </cell>
          <cell r="L2563" t="str">
            <v>NOD</v>
          </cell>
        </row>
        <row r="2564">
          <cell r="C2564" t="str">
            <v>USTRO0634S</v>
          </cell>
          <cell r="D2564" t="str">
            <v>CORE</v>
          </cell>
          <cell r="E2564" t="str">
            <v>CO25</v>
          </cell>
          <cell r="F2564">
            <v>2599</v>
          </cell>
          <cell r="G2564" t="str">
            <v>US</v>
          </cell>
          <cell r="H2564" t="str">
            <v>USPUSMTRO</v>
          </cell>
          <cell r="I2564" t="str">
            <v>USTRO0634S004</v>
          </cell>
          <cell r="J2564" t="str">
            <v>34</v>
          </cell>
          <cell r="K2564" t="str">
            <v>TROUSER</v>
          </cell>
          <cell r="L2564" t="str">
            <v>NOD</v>
          </cell>
        </row>
        <row r="2565">
          <cell r="C2565" t="str">
            <v>USTRO0634S</v>
          </cell>
          <cell r="D2565" t="str">
            <v>CORE</v>
          </cell>
          <cell r="E2565" t="str">
            <v>CO25</v>
          </cell>
          <cell r="F2565">
            <v>2599</v>
          </cell>
          <cell r="G2565" t="str">
            <v>US</v>
          </cell>
          <cell r="H2565" t="str">
            <v>USPUSMTRO</v>
          </cell>
          <cell r="I2565" t="str">
            <v>USTRO0634S005</v>
          </cell>
          <cell r="J2565" t="str">
            <v>36</v>
          </cell>
          <cell r="K2565" t="str">
            <v>TROUSER</v>
          </cell>
          <cell r="L2565" t="str">
            <v>NOD</v>
          </cell>
        </row>
        <row r="2566">
          <cell r="C2566" t="str">
            <v>USTRO0634S</v>
          </cell>
          <cell r="D2566" t="str">
            <v>CORE</v>
          </cell>
          <cell r="E2566" t="str">
            <v>CO25</v>
          </cell>
          <cell r="F2566">
            <v>2599</v>
          </cell>
          <cell r="G2566" t="str">
            <v>US</v>
          </cell>
          <cell r="H2566" t="str">
            <v>USPUSMTRO</v>
          </cell>
          <cell r="I2566" t="str">
            <v>USTRO0634S006</v>
          </cell>
          <cell r="J2566" t="str">
            <v>38</v>
          </cell>
          <cell r="K2566" t="str">
            <v>TROUSER</v>
          </cell>
          <cell r="L2566" t="str">
            <v>NOD</v>
          </cell>
        </row>
        <row r="2567">
          <cell r="C2567" t="str">
            <v>USTRO0634S</v>
          </cell>
          <cell r="D2567" t="str">
            <v>CORE</v>
          </cell>
          <cell r="E2567" t="str">
            <v>CO25</v>
          </cell>
          <cell r="F2567">
            <v>2599</v>
          </cell>
          <cell r="G2567" t="str">
            <v>US</v>
          </cell>
          <cell r="H2567" t="str">
            <v>USPUSMTRO</v>
          </cell>
          <cell r="I2567" t="str">
            <v>USTRO0634S007</v>
          </cell>
          <cell r="J2567" t="str">
            <v>40</v>
          </cell>
          <cell r="K2567" t="str">
            <v>TROUSER</v>
          </cell>
          <cell r="L2567" t="str">
            <v>NOD</v>
          </cell>
        </row>
        <row r="2568">
          <cell r="C2568" t="str">
            <v>USTRO0634S</v>
          </cell>
          <cell r="D2568" t="str">
            <v>CORE</v>
          </cell>
          <cell r="E2568" t="str">
            <v>CO25</v>
          </cell>
          <cell r="F2568">
            <v>2599</v>
          </cell>
          <cell r="G2568" t="str">
            <v>US</v>
          </cell>
          <cell r="H2568" t="str">
            <v>USPUSMTRO</v>
          </cell>
          <cell r="I2568" t="str">
            <v>USTRO0634S008</v>
          </cell>
          <cell r="J2568" t="str">
            <v>42</v>
          </cell>
          <cell r="K2568" t="str">
            <v>TROUSER</v>
          </cell>
          <cell r="L2568" t="str">
            <v>NOD</v>
          </cell>
        </row>
        <row r="2569">
          <cell r="C2569" t="str">
            <v>USTRO0634S</v>
          </cell>
          <cell r="D2569" t="str">
            <v>CORE</v>
          </cell>
          <cell r="E2569" t="str">
            <v>CO25</v>
          </cell>
          <cell r="F2569">
            <v>2799</v>
          </cell>
          <cell r="G2569" t="str">
            <v>US</v>
          </cell>
          <cell r="H2569" t="str">
            <v>USPUSMTRO</v>
          </cell>
          <cell r="I2569" t="str">
            <v>USTRO0634S009</v>
          </cell>
          <cell r="J2569" t="str">
            <v>44</v>
          </cell>
          <cell r="K2569" t="str">
            <v>TROUSER</v>
          </cell>
          <cell r="L2569" t="str">
            <v>NOD</v>
          </cell>
        </row>
        <row r="2570">
          <cell r="C2570" t="str">
            <v>USTRO0634S</v>
          </cell>
          <cell r="D2570" t="str">
            <v>CORE</v>
          </cell>
          <cell r="E2570" t="str">
            <v>CO25</v>
          </cell>
          <cell r="F2570">
            <v>2799</v>
          </cell>
          <cell r="G2570" t="str">
            <v>US</v>
          </cell>
          <cell r="H2570" t="str">
            <v>USPUSMTRO</v>
          </cell>
          <cell r="I2570" t="str">
            <v>USTRO0634S010</v>
          </cell>
          <cell r="J2570" t="str">
            <v>46</v>
          </cell>
          <cell r="K2570" t="str">
            <v>TROUSER</v>
          </cell>
          <cell r="L2570" t="str">
            <v>NOD</v>
          </cell>
        </row>
        <row r="2571">
          <cell r="C2571" t="str">
            <v>USTRO0634S</v>
          </cell>
          <cell r="D2571" t="str">
            <v>CORE</v>
          </cell>
          <cell r="E2571" t="str">
            <v>CO25</v>
          </cell>
          <cell r="F2571">
            <v>2799</v>
          </cell>
          <cell r="G2571" t="str">
            <v>US</v>
          </cell>
          <cell r="H2571" t="str">
            <v>USPUSMTRO</v>
          </cell>
          <cell r="I2571" t="str">
            <v>USTRO0634S011</v>
          </cell>
          <cell r="J2571" t="str">
            <v>48</v>
          </cell>
          <cell r="K2571" t="str">
            <v>TROUSER</v>
          </cell>
          <cell r="L2571" t="str">
            <v>NOD</v>
          </cell>
        </row>
        <row r="2572">
          <cell r="C2572" t="str">
            <v>USTRO0635</v>
          </cell>
          <cell r="D2572" t="str">
            <v>CORE</v>
          </cell>
          <cell r="E2572" t="str">
            <v>CO25</v>
          </cell>
          <cell r="F2572">
            <v>2599</v>
          </cell>
          <cell r="G2572" t="str">
            <v>US</v>
          </cell>
          <cell r="H2572" t="str">
            <v>USPUSMTRO</v>
          </cell>
          <cell r="I2572" t="str">
            <v>USTRO0635001</v>
          </cell>
          <cell r="J2572" t="str">
            <v>28</v>
          </cell>
          <cell r="K2572" t="str">
            <v>TROUSER</v>
          </cell>
          <cell r="L2572" t="str">
            <v>NOD</v>
          </cell>
        </row>
        <row r="2573">
          <cell r="C2573" t="str">
            <v>USTRO0635</v>
          </cell>
          <cell r="D2573" t="str">
            <v>CORE</v>
          </cell>
          <cell r="E2573" t="str">
            <v>CO25</v>
          </cell>
          <cell r="F2573">
            <v>2599</v>
          </cell>
          <cell r="G2573" t="str">
            <v>US</v>
          </cell>
          <cell r="H2573" t="str">
            <v>USPUSMTRO</v>
          </cell>
          <cell r="I2573" t="str">
            <v>USTRO0635002</v>
          </cell>
          <cell r="J2573" t="str">
            <v>30</v>
          </cell>
          <cell r="K2573" t="str">
            <v>TROUSER</v>
          </cell>
          <cell r="L2573" t="str">
            <v>NOD</v>
          </cell>
        </row>
        <row r="2574">
          <cell r="C2574" t="str">
            <v>USTRO0635</v>
          </cell>
          <cell r="D2574" t="str">
            <v>CORE</v>
          </cell>
          <cell r="E2574" t="str">
            <v>CO25</v>
          </cell>
          <cell r="F2574">
            <v>2599</v>
          </cell>
          <cell r="G2574" t="str">
            <v>US</v>
          </cell>
          <cell r="H2574" t="str">
            <v>USPUSMTRO</v>
          </cell>
          <cell r="I2574" t="str">
            <v>USTRO0635003</v>
          </cell>
          <cell r="J2574" t="str">
            <v>32</v>
          </cell>
          <cell r="K2574" t="str">
            <v>TROUSER</v>
          </cell>
          <cell r="L2574" t="str">
            <v>NOD</v>
          </cell>
        </row>
        <row r="2575">
          <cell r="C2575" t="str">
            <v>USTRO0635</v>
          </cell>
          <cell r="D2575" t="str">
            <v>CORE</v>
          </cell>
          <cell r="E2575" t="str">
            <v>CO25</v>
          </cell>
          <cell r="F2575">
            <v>2599</v>
          </cell>
          <cell r="G2575" t="str">
            <v>US</v>
          </cell>
          <cell r="H2575" t="str">
            <v>USPUSMTRO</v>
          </cell>
          <cell r="I2575" t="str">
            <v>USTRO0635004</v>
          </cell>
          <cell r="J2575" t="str">
            <v>34</v>
          </cell>
          <cell r="K2575" t="str">
            <v>TROUSER</v>
          </cell>
          <cell r="L2575" t="str">
            <v>NOD</v>
          </cell>
        </row>
        <row r="2576">
          <cell r="C2576" t="str">
            <v>USTRO0635</v>
          </cell>
          <cell r="D2576" t="str">
            <v>CORE</v>
          </cell>
          <cell r="E2576" t="str">
            <v>CO25</v>
          </cell>
          <cell r="F2576">
            <v>2599</v>
          </cell>
          <cell r="G2576" t="str">
            <v>US</v>
          </cell>
          <cell r="H2576" t="str">
            <v>USPUSMTRO</v>
          </cell>
          <cell r="I2576" t="str">
            <v>USTRO0635005</v>
          </cell>
          <cell r="J2576" t="str">
            <v>36</v>
          </cell>
          <cell r="K2576" t="str">
            <v>TROUSER</v>
          </cell>
          <cell r="L2576" t="str">
            <v>NOD</v>
          </cell>
        </row>
        <row r="2577">
          <cell r="C2577" t="str">
            <v>USTRO0635</v>
          </cell>
          <cell r="D2577" t="str">
            <v>CORE</v>
          </cell>
          <cell r="E2577" t="str">
            <v>CO25</v>
          </cell>
          <cell r="F2577">
            <v>2599</v>
          </cell>
          <cell r="G2577" t="str">
            <v>US</v>
          </cell>
          <cell r="H2577" t="str">
            <v>USPUSMTRO</v>
          </cell>
          <cell r="I2577" t="str">
            <v>USTRO0635006</v>
          </cell>
          <cell r="J2577" t="str">
            <v>38</v>
          </cell>
          <cell r="K2577" t="str">
            <v>TROUSER</v>
          </cell>
          <cell r="L2577" t="str">
            <v>NOD</v>
          </cell>
        </row>
        <row r="2578">
          <cell r="C2578" t="str">
            <v>USTRO0635</v>
          </cell>
          <cell r="D2578" t="str">
            <v>CORE</v>
          </cell>
          <cell r="E2578" t="str">
            <v>CO25</v>
          </cell>
          <cell r="F2578">
            <v>2599</v>
          </cell>
          <cell r="G2578" t="str">
            <v>US</v>
          </cell>
          <cell r="H2578" t="str">
            <v>USPUSMTRO</v>
          </cell>
          <cell r="I2578" t="str">
            <v>USTRO0635007</v>
          </cell>
          <cell r="J2578" t="str">
            <v>40</v>
          </cell>
          <cell r="K2578" t="str">
            <v>TROUSER</v>
          </cell>
          <cell r="L2578" t="str">
            <v>NOD</v>
          </cell>
        </row>
        <row r="2579">
          <cell r="C2579" t="str">
            <v>USTRO0635</v>
          </cell>
          <cell r="D2579" t="str">
            <v>CORE</v>
          </cell>
          <cell r="E2579" t="str">
            <v>CO25</v>
          </cell>
          <cell r="F2579">
            <v>2599</v>
          </cell>
          <cell r="G2579" t="str">
            <v>US</v>
          </cell>
          <cell r="H2579" t="str">
            <v>USPUSMTRO</v>
          </cell>
          <cell r="I2579" t="str">
            <v>USTRO0635008</v>
          </cell>
          <cell r="J2579" t="str">
            <v>42</v>
          </cell>
          <cell r="K2579" t="str">
            <v>TROUSER</v>
          </cell>
          <cell r="L2579" t="str">
            <v>NOD</v>
          </cell>
        </row>
        <row r="2580">
          <cell r="C2580" t="str">
            <v>USTRO0635</v>
          </cell>
          <cell r="D2580" t="str">
            <v>CORE</v>
          </cell>
          <cell r="E2580" t="str">
            <v>CO25</v>
          </cell>
          <cell r="F2580">
            <v>2599</v>
          </cell>
          <cell r="G2580" t="str">
            <v>US</v>
          </cell>
          <cell r="H2580" t="str">
            <v>USPUSMTRO</v>
          </cell>
          <cell r="I2580" t="str">
            <v>USTRO0635009</v>
          </cell>
          <cell r="J2580" t="str">
            <v>44</v>
          </cell>
          <cell r="K2580" t="str">
            <v>TROUSER</v>
          </cell>
          <cell r="L2580" t="str">
            <v>NOD</v>
          </cell>
        </row>
        <row r="2581">
          <cell r="C2581" t="str">
            <v>USTRO0635</v>
          </cell>
          <cell r="D2581" t="str">
            <v>CORE</v>
          </cell>
          <cell r="E2581" t="str">
            <v>CO25</v>
          </cell>
          <cell r="F2581">
            <v>2799</v>
          </cell>
          <cell r="G2581" t="str">
            <v>US</v>
          </cell>
          <cell r="H2581" t="str">
            <v>USPUSMTRO</v>
          </cell>
          <cell r="I2581" t="str">
            <v>USTRO0635010</v>
          </cell>
          <cell r="J2581" t="str">
            <v>46</v>
          </cell>
          <cell r="K2581" t="str">
            <v>TROUSER</v>
          </cell>
          <cell r="L2581" t="str">
            <v>NOD</v>
          </cell>
        </row>
        <row r="2582">
          <cell r="C2582" t="str">
            <v>USTRO0635</v>
          </cell>
          <cell r="D2582" t="str">
            <v>CORE</v>
          </cell>
          <cell r="E2582" t="str">
            <v>CO25</v>
          </cell>
          <cell r="F2582">
            <v>2799</v>
          </cell>
          <cell r="G2582" t="str">
            <v>US</v>
          </cell>
          <cell r="H2582" t="str">
            <v>USPUSMTRO</v>
          </cell>
          <cell r="I2582" t="str">
            <v>USTRO0635011</v>
          </cell>
          <cell r="J2582" t="str">
            <v>48</v>
          </cell>
          <cell r="K2582" t="str">
            <v>TROUSER</v>
          </cell>
          <cell r="L2582" t="str">
            <v>NOD</v>
          </cell>
        </row>
        <row r="2583">
          <cell r="C2583" t="str">
            <v>USTRO0635</v>
          </cell>
          <cell r="D2583" t="str">
            <v>CORE</v>
          </cell>
          <cell r="E2583" t="str">
            <v>CO25</v>
          </cell>
          <cell r="F2583">
            <v>2799</v>
          </cell>
          <cell r="G2583" t="str">
            <v>US</v>
          </cell>
          <cell r="H2583" t="str">
            <v>USPUSMTRO</v>
          </cell>
          <cell r="I2583" t="str">
            <v>USTRO0635012</v>
          </cell>
          <cell r="J2583" t="str">
            <v>50</v>
          </cell>
          <cell r="K2583" t="str">
            <v>TROUSER</v>
          </cell>
          <cell r="L2583" t="str">
            <v>NOD</v>
          </cell>
        </row>
        <row r="2584">
          <cell r="C2584" t="str">
            <v>USTRO0635D</v>
          </cell>
          <cell r="D2584" t="str">
            <v>CORE</v>
          </cell>
          <cell r="E2584" t="str">
            <v>CO25</v>
          </cell>
          <cell r="F2584">
            <v>2599</v>
          </cell>
          <cell r="G2584" t="str">
            <v>US</v>
          </cell>
          <cell r="H2584" t="str">
            <v>USPUSMTRO</v>
          </cell>
          <cell r="I2584" t="str">
            <v>USTRO0635D001</v>
          </cell>
          <cell r="J2584" t="str">
            <v>28</v>
          </cell>
          <cell r="K2584" t="str">
            <v>TROUSER</v>
          </cell>
          <cell r="L2584" t="str">
            <v>NOD</v>
          </cell>
        </row>
        <row r="2585">
          <cell r="C2585" t="str">
            <v>USTRO0635D</v>
          </cell>
          <cell r="D2585" t="str">
            <v>CORE</v>
          </cell>
          <cell r="E2585" t="str">
            <v>CO25</v>
          </cell>
          <cell r="F2585">
            <v>2599</v>
          </cell>
          <cell r="G2585" t="str">
            <v>US</v>
          </cell>
          <cell r="H2585" t="str">
            <v>USPUSMTRO</v>
          </cell>
          <cell r="I2585" t="str">
            <v>USTRO0635D002</v>
          </cell>
          <cell r="J2585" t="str">
            <v>30</v>
          </cell>
          <cell r="K2585" t="str">
            <v>TROUSER</v>
          </cell>
          <cell r="L2585" t="str">
            <v>NOD</v>
          </cell>
        </row>
        <row r="2586">
          <cell r="C2586" t="str">
            <v>USTRO0635D</v>
          </cell>
          <cell r="D2586" t="str">
            <v>CORE</v>
          </cell>
          <cell r="E2586" t="str">
            <v>CO25</v>
          </cell>
          <cell r="F2586">
            <v>2599</v>
          </cell>
          <cell r="G2586" t="str">
            <v>US</v>
          </cell>
          <cell r="H2586" t="str">
            <v>USPUSMTRO</v>
          </cell>
          <cell r="I2586" t="str">
            <v>USTRO0635D003</v>
          </cell>
          <cell r="J2586" t="str">
            <v>32</v>
          </cell>
          <cell r="K2586" t="str">
            <v>TROUSER</v>
          </cell>
          <cell r="L2586" t="str">
            <v>NOD</v>
          </cell>
        </row>
        <row r="2587">
          <cell r="C2587" t="str">
            <v>USTRO0635D</v>
          </cell>
          <cell r="D2587" t="str">
            <v>CORE</v>
          </cell>
          <cell r="E2587" t="str">
            <v>CO25</v>
          </cell>
          <cell r="F2587">
            <v>2599</v>
          </cell>
          <cell r="G2587" t="str">
            <v>US</v>
          </cell>
          <cell r="H2587" t="str">
            <v>USPUSMTRO</v>
          </cell>
          <cell r="I2587" t="str">
            <v>USTRO0635D004</v>
          </cell>
          <cell r="J2587" t="str">
            <v>34</v>
          </cell>
          <cell r="K2587" t="str">
            <v>TROUSER</v>
          </cell>
          <cell r="L2587" t="str">
            <v>NOD</v>
          </cell>
        </row>
        <row r="2588">
          <cell r="C2588" t="str">
            <v>USTRO0635D</v>
          </cell>
          <cell r="D2588" t="str">
            <v>CORE</v>
          </cell>
          <cell r="E2588" t="str">
            <v>CO25</v>
          </cell>
          <cell r="F2588">
            <v>2599</v>
          </cell>
          <cell r="G2588" t="str">
            <v>US</v>
          </cell>
          <cell r="H2588" t="str">
            <v>USPUSMTRO</v>
          </cell>
          <cell r="I2588" t="str">
            <v>USTRO0635D005</v>
          </cell>
          <cell r="J2588" t="str">
            <v>36</v>
          </cell>
          <cell r="K2588" t="str">
            <v>TROUSER</v>
          </cell>
          <cell r="L2588" t="str">
            <v>NOD</v>
          </cell>
        </row>
        <row r="2589">
          <cell r="C2589" t="str">
            <v>USTRO0635D</v>
          </cell>
          <cell r="D2589" t="str">
            <v>CORE</v>
          </cell>
          <cell r="E2589" t="str">
            <v>CO25</v>
          </cell>
          <cell r="F2589">
            <v>2599</v>
          </cell>
          <cell r="G2589" t="str">
            <v>US</v>
          </cell>
          <cell r="H2589" t="str">
            <v>USPUSMTRO</v>
          </cell>
          <cell r="I2589" t="str">
            <v>USTRO0635D006</v>
          </cell>
          <cell r="J2589" t="str">
            <v>38</v>
          </cell>
          <cell r="K2589" t="str">
            <v>TROUSER</v>
          </cell>
          <cell r="L2589" t="str">
            <v>NOD</v>
          </cell>
        </row>
        <row r="2590">
          <cell r="C2590" t="str">
            <v>USTRO0635D</v>
          </cell>
          <cell r="D2590" t="str">
            <v>CORE</v>
          </cell>
          <cell r="E2590" t="str">
            <v>CO25</v>
          </cell>
          <cell r="F2590">
            <v>2599</v>
          </cell>
          <cell r="G2590" t="str">
            <v>US</v>
          </cell>
          <cell r="H2590" t="str">
            <v>USPUSMTRO</v>
          </cell>
          <cell r="I2590" t="str">
            <v>USTRO0635D007</v>
          </cell>
          <cell r="J2590" t="str">
            <v>40</v>
          </cell>
          <cell r="K2590" t="str">
            <v>TROUSER</v>
          </cell>
          <cell r="L2590" t="str">
            <v>NOD</v>
          </cell>
        </row>
        <row r="2591">
          <cell r="C2591" t="str">
            <v>USTRO0635D</v>
          </cell>
          <cell r="D2591" t="str">
            <v>CORE</v>
          </cell>
          <cell r="E2591" t="str">
            <v>CO25</v>
          </cell>
          <cell r="F2591">
            <v>2599</v>
          </cell>
          <cell r="G2591" t="str">
            <v>US</v>
          </cell>
          <cell r="H2591" t="str">
            <v>USPUSMTRO</v>
          </cell>
          <cell r="I2591" t="str">
            <v>USTRO0635D008</v>
          </cell>
          <cell r="J2591" t="str">
            <v>42</v>
          </cell>
          <cell r="K2591" t="str">
            <v>TROUSER</v>
          </cell>
          <cell r="L2591" t="str">
            <v>NOD</v>
          </cell>
        </row>
        <row r="2592">
          <cell r="C2592" t="str">
            <v>USTRO0635D</v>
          </cell>
          <cell r="D2592" t="str">
            <v>CORE</v>
          </cell>
          <cell r="E2592" t="str">
            <v>CO25</v>
          </cell>
          <cell r="F2592">
            <v>2599</v>
          </cell>
          <cell r="G2592" t="str">
            <v>US</v>
          </cell>
          <cell r="H2592" t="str">
            <v>USPUSMTRO</v>
          </cell>
          <cell r="I2592" t="str">
            <v>USTRO0635D009</v>
          </cell>
          <cell r="J2592" t="str">
            <v>44</v>
          </cell>
          <cell r="K2592" t="str">
            <v>TROUSER</v>
          </cell>
          <cell r="L2592" t="str">
            <v>NOD</v>
          </cell>
        </row>
        <row r="2593">
          <cell r="C2593" t="str">
            <v>USTRO0635D</v>
          </cell>
          <cell r="D2593" t="str">
            <v>CORE</v>
          </cell>
          <cell r="E2593" t="str">
            <v>CO25</v>
          </cell>
          <cell r="F2593">
            <v>2799</v>
          </cell>
          <cell r="G2593" t="str">
            <v>US</v>
          </cell>
          <cell r="H2593" t="str">
            <v>USPUSMTRO</v>
          </cell>
          <cell r="I2593" t="str">
            <v>USTRO0635D010</v>
          </cell>
          <cell r="J2593" t="str">
            <v>46</v>
          </cell>
          <cell r="K2593" t="str">
            <v>TROUSER</v>
          </cell>
          <cell r="L2593" t="str">
            <v>NOD</v>
          </cell>
        </row>
        <row r="2594">
          <cell r="C2594" t="str">
            <v>USTRO0635D</v>
          </cell>
          <cell r="D2594" t="str">
            <v>CORE</v>
          </cell>
          <cell r="E2594" t="str">
            <v>CO25</v>
          </cell>
          <cell r="F2594">
            <v>2799</v>
          </cell>
          <cell r="G2594" t="str">
            <v>US</v>
          </cell>
          <cell r="H2594" t="str">
            <v>USPUSMTRO</v>
          </cell>
          <cell r="I2594" t="str">
            <v>USTRO0635D011</v>
          </cell>
          <cell r="J2594" t="str">
            <v>48</v>
          </cell>
          <cell r="K2594" t="str">
            <v>TROUSER</v>
          </cell>
          <cell r="L2594" t="str">
            <v>NOD</v>
          </cell>
        </row>
        <row r="2595">
          <cell r="C2595" t="str">
            <v>USTRO0635D</v>
          </cell>
          <cell r="D2595" t="str">
            <v>CORE</v>
          </cell>
          <cell r="E2595" t="str">
            <v>CO25</v>
          </cell>
          <cell r="F2595">
            <v>2799</v>
          </cell>
          <cell r="G2595" t="str">
            <v>US</v>
          </cell>
          <cell r="H2595" t="str">
            <v>USPUSMTRO</v>
          </cell>
          <cell r="I2595" t="str">
            <v>USTRO0635D012</v>
          </cell>
          <cell r="J2595" t="str">
            <v>50</v>
          </cell>
          <cell r="K2595" t="str">
            <v>TROUSER</v>
          </cell>
          <cell r="L2595" t="str">
            <v>NOD</v>
          </cell>
        </row>
        <row r="2596">
          <cell r="C2596" t="str">
            <v>USTRO0635S</v>
          </cell>
          <cell r="D2596" t="str">
            <v>CORE</v>
          </cell>
          <cell r="E2596" t="str">
            <v>CO26</v>
          </cell>
          <cell r="F2596">
            <v>2599</v>
          </cell>
          <cell r="G2596" t="str">
            <v>US</v>
          </cell>
          <cell r="H2596" t="str">
            <v>USPUSMTRO</v>
          </cell>
          <cell r="I2596" t="str">
            <v>USTRO0635S001</v>
          </cell>
          <cell r="J2596" t="str">
            <v>28</v>
          </cell>
          <cell r="K2596" t="str">
            <v>TROUSER</v>
          </cell>
          <cell r="L2596" t="str">
            <v>NOD</v>
          </cell>
        </row>
        <row r="2597">
          <cell r="C2597" t="str">
            <v>USTRO0635S</v>
          </cell>
          <cell r="D2597" t="str">
            <v>CORE</v>
          </cell>
          <cell r="E2597" t="str">
            <v>CO26</v>
          </cell>
          <cell r="F2597">
            <v>2599</v>
          </cell>
          <cell r="G2597" t="str">
            <v>US</v>
          </cell>
          <cell r="H2597" t="str">
            <v>USPUSMTRO</v>
          </cell>
          <cell r="I2597" t="str">
            <v>USTRO0635S002</v>
          </cell>
          <cell r="J2597" t="str">
            <v>30</v>
          </cell>
          <cell r="K2597" t="str">
            <v>TROUSER</v>
          </cell>
          <cell r="L2597" t="str">
            <v>NOD</v>
          </cell>
        </row>
        <row r="2598">
          <cell r="C2598" t="str">
            <v>USTRO0635S</v>
          </cell>
          <cell r="D2598" t="str">
            <v>CORE</v>
          </cell>
          <cell r="E2598" t="str">
            <v>CO26</v>
          </cell>
          <cell r="F2598">
            <v>2599</v>
          </cell>
          <cell r="G2598" t="str">
            <v>US</v>
          </cell>
          <cell r="H2598" t="str">
            <v>USPUSMTRO</v>
          </cell>
          <cell r="I2598" t="str">
            <v>USTRO0635S003</v>
          </cell>
          <cell r="J2598" t="str">
            <v>32</v>
          </cell>
          <cell r="K2598" t="str">
            <v>TROUSER</v>
          </cell>
          <cell r="L2598" t="str">
            <v>NOD</v>
          </cell>
        </row>
        <row r="2599">
          <cell r="C2599" t="str">
            <v>USTRO0635S</v>
          </cell>
          <cell r="D2599" t="str">
            <v>CORE</v>
          </cell>
          <cell r="E2599" t="str">
            <v>CO26</v>
          </cell>
          <cell r="F2599">
            <v>2599</v>
          </cell>
          <cell r="G2599" t="str">
            <v>US</v>
          </cell>
          <cell r="H2599" t="str">
            <v>USPUSMTRO</v>
          </cell>
          <cell r="I2599" t="str">
            <v>USTRO0635S004</v>
          </cell>
          <cell r="J2599" t="str">
            <v>34</v>
          </cell>
          <cell r="K2599" t="str">
            <v>TROUSER</v>
          </cell>
          <cell r="L2599" t="str">
            <v>NOD</v>
          </cell>
        </row>
        <row r="2600">
          <cell r="C2600" t="str">
            <v>USTRO0635S</v>
          </cell>
          <cell r="D2600" t="str">
            <v>CORE</v>
          </cell>
          <cell r="E2600" t="str">
            <v>CO26</v>
          </cell>
          <cell r="F2600">
            <v>2599</v>
          </cell>
          <cell r="G2600" t="str">
            <v>US</v>
          </cell>
          <cell r="H2600" t="str">
            <v>USPUSMTRO</v>
          </cell>
          <cell r="I2600" t="str">
            <v>USTRO0635S005</v>
          </cell>
          <cell r="J2600" t="str">
            <v>36</v>
          </cell>
          <cell r="K2600" t="str">
            <v>TROUSER</v>
          </cell>
          <cell r="L2600" t="str">
            <v>NOD</v>
          </cell>
        </row>
        <row r="2601">
          <cell r="C2601" t="str">
            <v>USTRO0635S</v>
          </cell>
          <cell r="D2601" t="str">
            <v>CORE</v>
          </cell>
          <cell r="E2601" t="str">
            <v>CO26</v>
          </cell>
          <cell r="F2601">
            <v>2599</v>
          </cell>
          <cell r="G2601" t="str">
            <v>US</v>
          </cell>
          <cell r="H2601" t="str">
            <v>USPUSMTRO</v>
          </cell>
          <cell r="I2601" t="str">
            <v>USTRO0635S006</v>
          </cell>
          <cell r="J2601" t="str">
            <v>38</v>
          </cell>
          <cell r="K2601" t="str">
            <v>TROUSER</v>
          </cell>
          <cell r="L2601" t="str">
            <v>NOD</v>
          </cell>
        </row>
        <row r="2602">
          <cell r="C2602" t="str">
            <v>USTRO0635S</v>
          </cell>
          <cell r="D2602" t="str">
            <v>CORE</v>
          </cell>
          <cell r="E2602" t="str">
            <v>CO26</v>
          </cell>
          <cell r="F2602">
            <v>2599</v>
          </cell>
          <cell r="G2602" t="str">
            <v>US</v>
          </cell>
          <cell r="H2602" t="str">
            <v>USPUSMTRO</v>
          </cell>
          <cell r="I2602" t="str">
            <v>USTRO0635S007</v>
          </cell>
          <cell r="J2602" t="str">
            <v>40</v>
          </cell>
          <cell r="K2602" t="str">
            <v>TROUSER</v>
          </cell>
          <cell r="L2602" t="str">
            <v>NOD</v>
          </cell>
        </row>
        <row r="2603">
          <cell r="C2603" t="str">
            <v>USTRO0635S</v>
          </cell>
          <cell r="D2603" t="str">
            <v>CORE</v>
          </cell>
          <cell r="E2603" t="str">
            <v>CO26</v>
          </cell>
          <cell r="F2603">
            <v>2599</v>
          </cell>
          <cell r="G2603" t="str">
            <v>US</v>
          </cell>
          <cell r="H2603" t="str">
            <v>USPUSMTRO</v>
          </cell>
          <cell r="I2603" t="str">
            <v>USTRO0635S008</v>
          </cell>
          <cell r="J2603" t="str">
            <v>42</v>
          </cell>
          <cell r="K2603" t="str">
            <v>TROUSER</v>
          </cell>
          <cell r="L2603" t="str">
            <v>NOD</v>
          </cell>
        </row>
        <row r="2604">
          <cell r="C2604" t="str">
            <v>USTRO0635S</v>
          </cell>
          <cell r="D2604" t="str">
            <v>CORE</v>
          </cell>
          <cell r="E2604" t="str">
            <v>CO26</v>
          </cell>
          <cell r="F2604">
            <v>2799</v>
          </cell>
          <cell r="G2604" t="str">
            <v>US</v>
          </cell>
          <cell r="H2604" t="str">
            <v>USPUSMTRO</v>
          </cell>
          <cell r="I2604" t="str">
            <v>USTRO0635S009</v>
          </cell>
          <cell r="J2604" t="str">
            <v>44</v>
          </cell>
          <cell r="K2604" t="str">
            <v>TROUSER</v>
          </cell>
          <cell r="L2604" t="str">
            <v>NOD</v>
          </cell>
        </row>
        <row r="2605">
          <cell r="C2605" t="str">
            <v>USTRO0635S</v>
          </cell>
          <cell r="D2605" t="str">
            <v>CORE</v>
          </cell>
          <cell r="E2605" t="str">
            <v>CO26</v>
          </cell>
          <cell r="F2605">
            <v>2799</v>
          </cell>
          <cell r="G2605" t="str">
            <v>US</v>
          </cell>
          <cell r="H2605" t="str">
            <v>USPUSMTRO</v>
          </cell>
          <cell r="I2605" t="str">
            <v>USTRO0635S010</v>
          </cell>
          <cell r="J2605" t="str">
            <v>46</v>
          </cell>
          <cell r="K2605" t="str">
            <v>TROUSER</v>
          </cell>
          <cell r="L2605" t="str">
            <v>NOD</v>
          </cell>
        </row>
        <row r="2606">
          <cell r="C2606" t="str">
            <v>USTRO0635S</v>
          </cell>
          <cell r="D2606" t="str">
            <v>CORE</v>
          </cell>
          <cell r="E2606" t="str">
            <v>CO26</v>
          </cell>
          <cell r="F2606">
            <v>2799</v>
          </cell>
          <cell r="G2606" t="str">
            <v>US</v>
          </cell>
          <cell r="H2606" t="str">
            <v>USPUSMTRO</v>
          </cell>
          <cell r="I2606" t="str">
            <v>USTRO0635S011</v>
          </cell>
          <cell r="J2606" t="str">
            <v>48</v>
          </cell>
          <cell r="K2606" t="str">
            <v>TROUSER</v>
          </cell>
          <cell r="L2606" t="str">
            <v>NOD</v>
          </cell>
        </row>
        <row r="2607">
          <cell r="C2607" t="str">
            <v>USTRO0637</v>
          </cell>
          <cell r="D2607" t="str">
            <v>CORE</v>
          </cell>
          <cell r="E2607" t="str">
            <v>CO26</v>
          </cell>
          <cell r="F2607">
            <v>2599</v>
          </cell>
          <cell r="G2607" t="str">
            <v>US</v>
          </cell>
          <cell r="H2607" t="str">
            <v>USPUSMTRO</v>
          </cell>
          <cell r="I2607" t="str">
            <v>USTRO0637001</v>
          </cell>
          <cell r="J2607" t="str">
            <v>28</v>
          </cell>
          <cell r="K2607" t="str">
            <v>TROUSER</v>
          </cell>
          <cell r="L2607" t="str">
            <v>NOD</v>
          </cell>
        </row>
        <row r="2608">
          <cell r="C2608" t="str">
            <v>USTRO0637</v>
          </cell>
          <cell r="D2608" t="str">
            <v>CORE</v>
          </cell>
          <cell r="E2608" t="str">
            <v>CO26</v>
          </cell>
          <cell r="F2608">
            <v>2599</v>
          </cell>
          <cell r="G2608" t="str">
            <v>US</v>
          </cell>
          <cell r="H2608" t="str">
            <v>USPUSMTRO</v>
          </cell>
          <cell r="I2608" t="str">
            <v>USTRO0637002</v>
          </cell>
          <cell r="J2608" t="str">
            <v>30</v>
          </cell>
          <cell r="K2608" t="str">
            <v>TROUSER</v>
          </cell>
          <cell r="L2608" t="str">
            <v>NOD</v>
          </cell>
        </row>
        <row r="2609">
          <cell r="C2609" t="str">
            <v>USTRO0637</v>
          </cell>
          <cell r="D2609" t="str">
            <v>CORE</v>
          </cell>
          <cell r="E2609" t="str">
            <v>CO26</v>
          </cell>
          <cell r="F2609">
            <v>2599</v>
          </cell>
          <cell r="G2609" t="str">
            <v>US</v>
          </cell>
          <cell r="H2609" t="str">
            <v>USPUSMTRO</v>
          </cell>
          <cell r="I2609" t="str">
            <v>USTRO0637003</v>
          </cell>
          <cell r="J2609" t="str">
            <v>32</v>
          </cell>
          <cell r="K2609" t="str">
            <v>TROUSER</v>
          </cell>
          <cell r="L2609" t="str">
            <v>NOD</v>
          </cell>
        </row>
        <row r="2610">
          <cell r="C2610" t="str">
            <v>USTRO0637</v>
          </cell>
          <cell r="D2610" t="str">
            <v>CORE</v>
          </cell>
          <cell r="E2610" t="str">
            <v>CO26</v>
          </cell>
          <cell r="F2610">
            <v>2599</v>
          </cell>
          <cell r="G2610" t="str">
            <v>US</v>
          </cell>
          <cell r="H2610" t="str">
            <v>USPUSMTRO</v>
          </cell>
          <cell r="I2610" t="str">
            <v>USTRO0637004</v>
          </cell>
          <cell r="J2610" t="str">
            <v>34</v>
          </cell>
          <cell r="K2610" t="str">
            <v>TROUSER</v>
          </cell>
          <cell r="L2610" t="str">
            <v>NOD</v>
          </cell>
        </row>
        <row r="2611">
          <cell r="C2611" t="str">
            <v>USTRO0637</v>
          </cell>
          <cell r="D2611" t="str">
            <v>CORE</v>
          </cell>
          <cell r="E2611" t="str">
            <v>CO26</v>
          </cell>
          <cell r="F2611">
            <v>2599</v>
          </cell>
          <cell r="G2611" t="str">
            <v>US</v>
          </cell>
          <cell r="H2611" t="str">
            <v>USPUSMTRO</v>
          </cell>
          <cell r="I2611" t="str">
            <v>USTRO0637005</v>
          </cell>
          <cell r="J2611" t="str">
            <v>36</v>
          </cell>
          <cell r="K2611" t="str">
            <v>TROUSER</v>
          </cell>
          <cell r="L2611" t="str">
            <v>NOD</v>
          </cell>
        </row>
        <row r="2612">
          <cell r="C2612" t="str">
            <v>USTRO0637</v>
          </cell>
          <cell r="D2612" t="str">
            <v>CORE</v>
          </cell>
          <cell r="E2612" t="str">
            <v>CO26</v>
          </cell>
          <cell r="F2612">
            <v>2599</v>
          </cell>
          <cell r="G2612" t="str">
            <v>US</v>
          </cell>
          <cell r="H2612" t="str">
            <v>USPUSMTRO</v>
          </cell>
          <cell r="I2612" t="str">
            <v>USTRO0637006</v>
          </cell>
          <cell r="J2612" t="str">
            <v>38</v>
          </cell>
          <cell r="K2612" t="str">
            <v>TROUSER</v>
          </cell>
          <cell r="L2612" t="str">
            <v>NOD</v>
          </cell>
        </row>
        <row r="2613">
          <cell r="C2613" t="str">
            <v>USTRO0637</v>
          </cell>
          <cell r="D2613" t="str">
            <v>CORE</v>
          </cell>
          <cell r="E2613" t="str">
            <v>CO26</v>
          </cell>
          <cell r="F2613">
            <v>2599</v>
          </cell>
          <cell r="G2613" t="str">
            <v>US</v>
          </cell>
          <cell r="H2613" t="str">
            <v>USPUSMTRO</v>
          </cell>
          <cell r="I2613" t="str">
            <v>USTRO0637007</v>
          </cell>
          <cell r="J2613" t="str">
            <v>40</v>
          </cell>
          <cell r="K2613" t="str">
            <v>TROUSER</v>
          </cell>
          <cell r="L2613" t="str">
            <v>NOD</v>
          </cell>
        </row>
        <row r="2614">
          <cell r="C2614" t="str">
            <v>USTRO0637</v>
          </cell>
          <cell r="D2614" t="str">
            <v>CORE</v>
          </cell>
          <cell r="E2614" t="str">
            <v>CO26</v>
          </cell>
          <cell r="F2614">
            <v>2599</v>
          </cell>
          <cell r="G2614" t="str">
            <v>US</v>
          </cell>
          <cell r="H2614" t="str">
            <v>USPUSMTRO</v>
          </cell>
          <cell r="I2614" t="str">
            <v>USTRO0637008</v>
          </cell>
          <cell r="J2614" t="str">
            <v>42</v>
          </cell>
          <cell r="K2614" t="str">
            <v>TROUSER</v>
          </cell>
          <cell r="L2614" t="str">
            <v>NOD</v>
          </cell>
        </row>
        <row r="2615">
          <cell r="C2615" t="str">
            <v>USTRO0637</v>
          </cell>
          <cell r="D2615" t="str">
            <v>CORE</v>
          </cell>
          <cell r="E2615" t="str">
            <v>CO26</v>
          </cell>
          <cell r="F2615">
            <v>2599</v>
          </cell>
          <cell r="G2615" t="str">
            <v>US</v>
          </cell>
          <cell r="H2615" t="str">
            <v>USPUSMTRO</v>
          </cell>
          <cell r="I2615" t="str">
            <v>USTRO0637009</v>
          </cell>
          <cell r="J2615" t="str">
            <v>44</v>
          </cell>
          <cell r="K2615" t="str">
            <v>TROUSER</v>
          </cell>
          <cell r="L2615" t="str">
            <v>NOD</v>
          </cell>
        </row>
        <row r="2616">
          <cell r="C2616" t="str">
            <v>USTRO0637</v>
          </cell>
          <cell r="D2616" t="str">
            <v>CORE</v>
          </cell>
          <cell r="E2616" t="str">
            <v>CO26</v>
          </cell>
          <cell r="F2616">
            <v>2799</v>
          </cell>
          <cell r="G2616" t="str">
            <v>US</v>
          </cell>
          <cell r="H2616" t="str">
            <v>USPUSMTRO</v>
          </cell>
          <cell r="I2616" t="str">
            <v>USTRO0637010</v>
          </cell>
          <cell r="J2616" t="str">
            <v>46</v>
          </cell>
          <cell r="K2616" t="str">
            <v>TROUSER</v>
          </cell>
          <cell r="L2616" t="str">
            <v>NOD</v>
          </cell>
        </row>
        <row r="2617">
          <cell r="C2617" t="str">
            <v>USTRO0637</v>
          </cell>
          <cell r="D2617" t="str">
            <v>CORE</v>
          </cell>
          <cell r="E2617" t="str">
            <v>CO26</v>
          </cell>
          <cell r="F2617">
            <v>2799</v>
          </cell>
          <cell r="G2617" t="str">
            <v>US</v>
          </cell>
          <cell r="H2617" t="str">
            <v>USPUSMTRO</v>
          </cell>
          <cell r="I2617" t="str">
            <v>USTRO0637011</v>
          </cell>
          <cell r="J2617" t="str">
            <v>48</v>
          </cell>
          <cell r="K2617" t="str">
            <v>TROUSER</v>
          </cell>
          <cell r="L2617" t="str">
            <v>NOD</v>
          </cell>
        </row>
        <row r="2618">
          <cell r="C2618" t="str">
            <v>USTRO0637</v>
          </cell>
          <cell r="D2618" t="str">
            <v>CORE</v>
          </cell>
          <cell r="E2618" t="str">
            <v>CO26</v>
          </cell>
          <cell r="F2618">
            <v>2799</v>
          </cell>
          <cell r="G2618" t="str">
            <v>US</v>
          </cell>
          <cell r="H2618" t="str">
            <v>USPUSMTRO</v>
          </cell>
          <cell r="I2618" t="str">
            <v>USTRO0637012</v>
          </cell>
          <cell r="J2618" t="str">
            <v>50</v>
          </cell>
          <cell r="K2618" t="str">
            <v>TROUSER</v>
          </cell>
          <cell r="L2618" t="str">
            <v>NOD</v>
          </cell>
        </row>
        <row r="2619">
          <cell r="C2619" t="str">
            <v>USTRO0637D</v>
          </cell>
          <cell r="D2619" t="str">
            <v>CORE</v>
          </cell>
          <cell r="E2619" t="str">
            <v>CO26</v>
          </cell>
          <cell r="F2619">
            <v>2599</v>
          </cell>
          <cell r="G2619" t="str">
            <v>US</v>
          </cell>
          <cell r="H2619" t="str">
            <v>USPUSMTRO</v>
          </cell>
          <cell r="I2619" t="str">
            <v>USTRO0637D001</v>
          </cell>
          <cell r="J2619" t="str">
            <v>28</v>
          </cell>
          <cell r="K2619" t="str">
            <v>TROUSER</v>
          </cell>
          <cell r="L2619" t="str">
            <v>NOD</v>
          </cell>
        </row>
        <row r="2620">
          <cell r="C2620" t="str">
            <v>USTRO0637D</v>
          </cell>
          <cell r="D2620" t="str">
            <v>CORE</v>
          </cell>
          <cell r="E2620" t="str">
            <v>CO26</v>
          </cell>
          <cell r="F2620">
            <v>2599</v>
          </cell>
          <cell r="G2620" t="str">
            <v>US</v>
          </cell>
          <cell r="H2620" t="str">
            <v>USPUSMTRO</v>
          </cell>
          <cell r="I2620" t="str">
            <v>USTRO0637D002</v>
          </cell>
          <cell r="J2620" t="str">
            <v>30</v>
          </cell>
          <cell r="K2620" t="str">
            <v>TROUSER</v>
          </cell>
          <cell r="L2620" t="str">
            <v>NOD</v>
          </cell>
        </row>
        <row r="2621">
          <cell r="C2621" t="str">
            <v>USTRO0637D</v>
          </cell>
          <cell r="D2621" t="str">
            <v>CORE</v>
          </cell>
          <cell r="E2621" t="str">
            <v>CO26</v>
          </cell>
          <cell r="F2621">
            <v>2599</v>
          </cell>
          <cell r="G2621" t="str">
            <v>US</v>
          </cell>
          <cell r="H2621" t="str">
            <v>USPUSMTRO</v>
          </cell>
          <cell r="I2621" t="str">
            <v>USTRO0637D003</v>
          </cell>
          <cell r="J2621" t="str">
            <v>32</v>
          </cell>
          <cell r="K2621" t="str">
            <v>TROUSER</v>
          </cell>
          <cell r="L2621" t="str">
            <v>NOD</v>
          </cell>
        </row>
        <row r="2622">
          <cell r="C2622" t="str">
            <v>USTRO0637D</v>
          </cell>
          <cell r="D2622" t="str">
            <v>CORE</v>
          </cell>
          <cell r="E2622" t="str">
            <v>CO26</v>
          </cell>
          <cell r="F2622">
            <v>2599</v>
          </cell>
          <cell r="G2622" t="str">
            <v>US</v>
          </cell>
          <cell r="H2622" t="str">
            <v>USPUSMTRO</v>
          </cell>
          <cell r="I2622" t="str">
            <v>USTRO0637D004</v>
          </cell>
          <cell r="J2622" t="str">
            <v>34</v>
          </cell>
          <cell r="K2622" t="str">
            <v>TROUSER</v>
          </cell>
          <cell r="L2622" t="str">
            <v>NOD</v>
          </cell>
        </row>
        <row r="2623">
          <cell r="C2623" t="str">
            <v>USTRO0637D</v>
          </cell>
          <cell r="D2623" t="str">
            <v>CORE</v>
          </cell>
          <cell r="E2623" t="str">
            <v>CO26</v>
          </cell>
          <cell r="F2623">
            <v>2599</v>
          </cell>
          <cell r="G2623" t="str">
            <v>US</v>
          </cell>
          <cell r="H2623" t="str">
            <v>USPUSMTRO</v>
          </cell>
          <cell r="I2623" t="str">
            <v>USTRO0637D005</v>
          </cell>
          <cell r="J2623" t="str">
            <v>36</v>
          </cell>
          <cell r="K2623" t="str">
            <v>TROUSER</v>
          </cell>
          <cell r="L2623" t="str">
            <v>NOD</v>
          </cell>
        </row>
        <row r="2624">
          <cell r="C2624" t="str">
            <v>USTRO0637D</v>
          </cell>
          <cell r="D2624" t="str">
            <v>CORE</v>
          </cell>
          <cell r="E2624" t="str">
            <v>CO26</v>
          </cell>
          <cell r="F2624">
            <v>2599</v>
          </cell>
          <cell r="G2624" t="str">
            <v>US</v>
          </cell>
          <cell r="H2624" t="str">
            <v>USPUSMTRO</v>
          </cell>
          <cell r="I2624" t="str">
            <v>USTRO0637D006</v>
          </cell>
          <cell r="J2624" t="str">
            <v>38</v>
          </cell>
          <cell r="K2624" t="str">
            <v>TROUSER</v>
          </cell>
          <cell r="L2624" t="str">
            <v>NOD</v>
          </cell>
        </row>
        <row r="2625">
          <cell r="C2625" t="str">
            <v>USTRO0637D</v>
          </cell>
          <cell r="D2625" t="str">
            <v>CORE</v>
          </cell>
          <cell r="E2625" t="str">
            <v>CO26</v>
          </cell>
          <cell r="F2625">
            <v>2599</v>
          </cell>
          <cell r="G2625" t="str">
            <v>US</v>
          </cell>
          <cell r="H2625" t="str">
            <v>USPUSMTRO</v>
          </cell>
          <cell r="I2625" t="str">
            <v>USTRO0637D007</v>
          </cell>
          <cell r="J2625" t="str">
            <v>40</v>
          </cell>
          <cell r="K2625" t="str">
            <v>TROUSER</v>
          </cell>
          <cell r="L2625" t="str">
            <v>NOD</v>
          </cell>
        </row>
        <row r="2626">
          <cell r="C2626" t="str">
            <v>USTRO0637D</v>
          </cell>
          <cell r="D2626" t="str">
            <v>CORE</v>
          </cell>
          <cell r="E2626" t="str">
            <v>CO26</v>
          </cell>
          <cell r="F2626">
            <v>2599</v>
          </cell>
          <cell r="G2626" t="str">
            <v>US</v>
          </cell>
          <cell r="H2626" t="str">
            <v>USPUSMTRO</v>
          </cell>
          <cell r="I2626" t="str">
            <v>USTRO0637D008</v>
          </cell>
          <cell r="J2626" t="str">
            <v>42</v>
          </cell>
          <cell r="K2626" t="str">
            <v>TROUSER</v>
          </cell>
          <cell r="L2626" t="str">
            <v>NOD</v>
          </cell>
        </row>
        <row r="2627">
          <cell r="C2627" t="str">
            <v>USTRO0637D</v>
          </cell>
          <cell r="D2627" t="str">
            <v>CORE</v>
          </cell>
          <cell r="E2627" t="str">
            <v>CO26</v>
          </cell>
          <cell r="F2627">
            <v>2599</v>
          </cell>
          <cell r="G2627" t="str">
            <v>US</v>
          </cell>
          <cell r="H2627" t="str">
            <v>USPUSMTRO</v>
          </cell>
          <cell r="I2627" t="str">
            <v>USTRO0637D009</v>
          </cell>
          <cell r="J2627" t="str">
            <v>44</v>
          </cell>
          <cell r="K2627" t="str">
            <v>TROUSER</v>
          </cell>
          <cell r="L2627" t="str">
            <v>NOD</v>
          </cell>
        </row>
        <row r="2628">
          <cell r="C2628" t="str">
            <v>USTRO0637D</v>
          </cell>
          <cell r="D2628" t="str">
            <v>CORE</v>
          </cell>
          <cell r="E2628" t="str">
            <v>CO26</v>
          </cell>
          <cell r="F2628">
            <v>2799</v>
          </cell>
          <cell r="G2628" t="str">
            <v>US</v>
          </cell>
          <cell r="H2628" t="str">
            <v>USPUSMTRO</v>
          </cell>
          <cell r="I2628" t="str">
            <v>USTRO0637D010</v>
          </cell>
          <cell r="J2628" t="str">
            <v>46</v>
          </cell>
          <cell r="K2628" t="str">
            <v>TROUSER</v>
          </cell>
          <cell r="L2628" t="str">
            <v>NOD</v>
          </cell>
        </row>
        <row r="2629">
          <cell r="C2629" t="str">
            <v>USTRO0637D</v>
          </cell>
          <cell r="D2629" t="str">
            <v>CORE</v>
          </cell>
          <cell r="E2629" t="str">
            <v>CO26</v>
          </cell>
          <cell r="F2629">
            <v>2799</v>
          </cell>
          <cell r="G2629" t="str">
            <v>US</v>
          </cell>
          <cell r="H2629" t="str">
            <v>USPUSMTRO</v>
          </cell>
          <cell r="I2629" t="str">
            <v>USTRO0637D011</v>
          </cell>
          <cell r="J2629" t="str">
            <v>48</v>
          </cell>
          <cell r="K2629" t="str">
            <v>TROUSER</v>
          </cell>
          <cell r="L2629" t="str">
            <v>NOD</v>
          </cell>
        </row>
        <row r="2630">
          <cell r="C2630" t="str">
            <v>USTRO0637D</v>
          </cell>
          <cell r="D2630" t="str">
            <v>CORE</v>
          </cell>
          <cell r="E2630" t="str">
            <v>CO26</v>
          </cell>
          <cell r="F2630">
            <v>2799</v>
          </cell>
          <cell r="G2630" t="str">
            <v>US</v>
          </cell>
          <cell r="H2630" t="str">
            <v>USPUSMTRO</v>
          </cell>
          <cell r="I2630" t="str">
            <v>USTRO0637D012</v>
          </cell>
          <cell r="J2630" t="str">
            <v>50</v>
          </cell>
          <cell r="K2630" t="str">
            <v>TROUSER</v>
          </cell>
          <cell r="L2630" t="str">
            <v>NOD</v>
          </cell>
        </row>
        <row r="2631">
          <cell r="C2631" t="str">
            <v>USTRO0637S</v>
          </cell>
          <cell r="D2631" t="str">
            <v>OCOR</v>
          </cell>
          <cell r="E2631" t="str">
            <v>OC26</v>
          </cell>
          <cell r="F2631">
            <v>2599</v>
          </cell>
          <cell r="G2631" t="str">
            <v>US</v>
          </cell>
          <cell r="H2631" t="str">
            <v>USPUSMTRO</v>
          </cell>
          <cell r="I2631" t="str">
            <v>USTRO0637S001</v>
          </cell>
          <cell r="J2631" t="str">
            <v>28</v>
          </cell>
          <cell r="K2631" t="str">
            <v>TROUSER</v>
          </cell>
          <cell r="L2631" t="str">
            <v>NOD</v>
          </cell>
        </row>
        <row r="2632">
          <cell r="C2632" t="str">
            <v>USTRO0637S</v>
          </cell>
          <cell r="D2632" t="str">
            <v>OCOR</v>
          </cell>
          <cell r="E2632" t="str">
            <v>OC26</v>
          </cell>
          <cell r="F2632">
            <v>2599</v>
          </cell>
          <cell r="G2632" t="str">
            <v>US</v>
          </cell>
          <cell r="H2632" t="str">
            <v>USPUSMTRO</v>
          </cell>
          <cell r="I2632" t="str">
            <v>USTRO0637S002</v>
          </cell>
          <cell r="J2632" t="str">
            <v>30</v>
          </cell>
          <cell r="K2632" t="str">
            <v>TROUSER</v>
          </cell>
          <cell r="L2632" t="str">
            <v>NOD</v>
          </cell>
        </row>
        <row r="2633">
          <cell r="C2633" t="str">
            <v>USTRO0637S</v>
          </cell>
          <cell r="D2633" t="str">
            <v>OCOR</v>
          </cell>
          <cell r="E2633" t="str">
            <v>OC26</v>
          </cell>
          <cell r="F2633">
            <v>2599</v>
          </cell>
          <cell r="G2633" t="str">
            <v>US</v>
          </cell>
          <cell r="H2633" t="str">
            <v>USPUSMTRO</v>
          </cell>
          <cell r="I2633" t="str">
            <v>USTRO0637S003</v>
          </cell>
          <cell r="J2633" t="str">
            <v>32</v>
          </cell>
          <cell r="K2633" t="str">
            <v>TROUSER</v>
          </cell>
          <cell r="L2633" t="str">
            <v>NOD</v>
          </cell>
        </row>
        <row r="2634">
          <cell r="C2634" t="str">
            <v>USTRO0637S</v>
          </cell>
          <cell r="D2634" t="str">
            <v>OCOR</v>
          </cell>
          <cell r="E2634" t="str">
            <v>OC26</v>
          </cell>
          <cell r="F2634">
            <v>2599</v>
          </cell>
          <cell r="G2634" t="str">
            <v>US</v>
          </cell>
          <cell r="H2634" t="str">
            <v>USPUSMTRO</v>
          </cell>
          <cell r="I2634" t="str">
            <v>USTRO0637S004</v>
          </cell>
          <cell r="J2634" t="str">
            <v>34</v>
          </cell>
          <cell r="K2634" t="str">
            <v>TROUSER</v>
          </cell>
          <cell r="L2634" t="str">
            <v>NOD</v>
          </cell>
        </row>
        <row r="2635">
          <cell r="C2635" t="str">
            <v>USTRO0637S</v>
          </cell>
          <cell r="D2635" t="str">
            <v>OCOR</v>
          </cell>
          <cell r="E2635" t="str">
            <v>OC26</v>
          </cell>
          <cell r="F2635">
            <v>2599</v>
          </cell>
          <cell r="G2635" t="str">
            <v>US</v>
          </cell>
          <cell r="H2635" t="str">
            <v>USPUSMTRO</v>
          </cell>
          <cell r="I2635" t="str">
            <v>USTRO0637S005</v>
          </cell>
          <cell r="J2635" t="str">
            <v>36</v>
          </cell>
          <cell r="K2635" t="str">
            <v>TROUSER</v>
          </cell>
          <cell r="L2635" t="str">
            <v>NOD</v>
          </cell>
        </row>
        <row r="2636">
          <cell r="C2636" t="str">
            <v>USTRO0637S</v>
          </cell>
          <cell r="D2636" t="str">
            <v>OCOR</v>
          </cell>
          <cell r="E2636" t="str">
            <v>OC26</v>
          </cell>
          <cell r="F2636">
            <v>2599</v>
          </cell>
          <cell r="G2636" t="str">
            <v>US</v>
          </cell>
          <cell r="H2636" t="str">
            <v>USPUSMTRO</v>
          </cell>
          <cell r="I2636" t="str">
            <v>USTRO0637S006</v>
          </cell>
          <cell r="J2636" t="str">
            <v>38</v>
          </cell>
          <cell r="K2636" t="str">
            <v>TROUSER</v>
          </cell>
          <cell r="L2636" t="str">
            <v>NOD</v>
          </cell>
        </row>
        <row r="2637">
          <cell r="C2637" t="str">
            <v>USTRO0637S</v>
          </cell>
          <cell r="D2637" t="str">
            <v>OCOR</v>
          </cell>
          <cell r="E2637" t="str">
            <v>OC26</v>
          </cell>
          <cell r="F2637">
            <v>2599</v>
          </cell>
          <cell r="G2637" t="str">
            <v>US</v>
          </cell>
          <cell r="H2637" t="str">
            <v>USPUSMTRO</v>
          </cell>
          <cell r="I2637" t="str">
            <v>USTRO0637S007</v>
          </cell>
          <cell r="J2637" t="str">
            <v>40</v>
          </cell>
          <cell r="K2637" t="str">
            <v>TROUSER</v>
          </cell>
          <cell r="L2637" t="str">
            <v>NOD</v>
          </cell>
        </row>
        <row r="2638">
          <cell r="C2638" t="str">
            <v>USTRO0637S</v>
          </cell>
          <cell r="D2638" t="str">
            <v>OCOR</v>
          </cell>
          <cell r="E2638" t="str">
            <v>OC26</v>
          </cell>
          <cell r="F2638">
            <v>2599</v>
          </cell>
          <cell r="G2638" t="str">
            <v>US</v>
          </cell>
          <cell r="H2638" t="str">
            <v>USPUSMTRO</v>
          </cell>
          <cell r="I2638" t="str">
            <v>USTRO0637S008</v>
          </cell>
          <cell r="J2638" t="str">
            <v>42</v>
          </cell>
          <cell r="K2638" t="str">
            <v>TROUSER</v>
          </cell>
          <cell r="L2638" t="str">
            <v>NOD</v>
          </cell>
        </row>
        <row r="2639">
          <cell r="C2639" t="str">
            <v>USTRO0637S</v>
          </cell>
          <cell r="D2639" t="str">
            <v>OCOR</v>
          </cell>
          <cell r="E2639" t="str">
            <v>OC26</v>
          </cell>
          <cell r="F2639">
            <v>2799</v>
          </cell>
          <cell r="G2639" t="str">
            <v>US</v>
          </cell>
          <cell r="H2639" t="str">
            <v>USPUSMTRO</v>
          </cell>
          <cell r="I2639" t="str">
            <v>USTRO0637S009</v>
          </cell>
          <cell r="J2639" t="str">
            <v>44</v>
          </cell>
          <cell r="K2639" t="str">
            <v>TROUSER</v>
          </cell>
          <cell r="L2639" t="str">
            <v>NOD</v>
          </cell>
        </row>
        <row r="2640">
          <cell r="C2640" t="str">
            <v>USTRO0637S</v>
          </cell>
          <cell r="D2640" t="str">
            <v>OCOR</v>
          </cell>
          <cell r="E2640" t="str">
            <v>OC26</v>
          </cell>
          <cell r="F2640">
            <v>2799</v>
          </cell>
          <cell r="G2640" t="str">
            <v>US</v>
          </cell>
          <cell r="H2640" t="str">
            <v>USPUSMTRO</v>
          </cell>
          <cell r="I2640" t="str">
            <v>USTRO0637S010</v>
          </cell>
          <cell r="J2640" t="str">
            <v>46</v>
          </cell>
          <cell r="K2640" t="str">
            <v>TROUSER</v>
          </cell>
          <cell r="L2640" t="str">
            <v>NOD</v>
          </cell>
        </row>
        <row r="2641">
          <cell r="C2641" t="str">
            <v>USTRO0637S</v>
          </cell>
          <cell r="D2641" t="str">
            <v>OCOR</v>
          </cell>
          <cell r="E2641" t="str">
            <v>OC26</v>
          </cell>
          <cell r="F2641">
            <v>2799</v>
          </cell>
          <cell r="G2641" t="str">
            <v>US</v>
          </cell>
          <cell r="H2641" t="str">
            <v>USPUSMTRO</v>
          </cell>
          <cell r="I2641" t="str">
            <v>USTRO0637S011</v>
          </cell>
          <cell r="J2641" t="str">
            <v>48</v>
          </cell>
          <cell r="K2641" t="str">
            <v>TROUSER</v>
          </cell>
          <cell r="L2641" t="str">
            <v>NOD</v>
          </cell>
        </row>
        <row r="2642">
          <cell r="C2642" t="str">
            <v>USTRO0638</v>
          </cell>
          <cell r="D2642" t="str">
            <v>CORE</v>
          </cell>
          <cell r="E2642" t="str">
            <v>CO26</v>
          </cell>
          <cell r="F2642">
            <v>2599</v>
          </cell>
          <cell r="G2642" t="str">
            <v>US</v>
          </cell>
          <cell r="H2642" t="str">
            <v>USPUSMTRO</v>
          </cell>
          <cell r="I2642" t="str">
            <v>USTRO0638001</v>
          </cell>
          <cell r="J2642" t="str">
            <v>28</v>
          </cell>
          <cell r="K2642" t="str">
            <v>TROUSER</v>
          </cell>
          <cell r="L2642" t="str">
            <v>NOD</v>
          </cell>
        </row>
        <row r="2643">
          <cell r="C2643" t="str">
            <v>USTRO0638</v>
          </cell>
          <cell r="D2643" t="str">
            <v>CORE</v>
          </cell>
          <cell r="E2643" t="str">
            <v>CO26</v>
          </cell>
          <cell r="F2643">
            <v>2599</v>
          </cell>
          <cell r="G2643" t="str">
            <v>US</v>
          </cell>
          <cell r="H2643" t="str">
            <v>USPUSMTRO</v>
          </cell>
          <cell r="I2643" t="str">
            <v>USTRO0638002</v>
          </cell>
          <cell r="J2643" t="str">
            <v>30</v>
          </cell>
          <cell r="K2643" t="str">
            <v>TROUSER</v>
          </cell>
          <cell r="L2643" t="str">
            <v>NOD</v>
          </cell>
        </row>
        <row r="2644">
          <cell r="C2644" t="str">
            <v>USTRO0638</v>
          </cell>
          <cell r="D2644" t="str">
            <v>CORE</v>
          </cell>
          <cell r="E2644" t="str">
            <v>CO26</v>
          </cell>
          <cell r="F2644">
            <v>2599</v>
          </cell>
          <cell r="G2644" t="str">
            <v>US</v>
          </cell>
          <cell r="H2644" t="str">
            <v>USPUSMTRO</v>
          </cell>
          <cell r="I2644" t="str">
            <v>USTRO0638003</v>
          </cell>
          <cell r="J2644" t="str">
            <v>32</v>
          </cell>
          <cell r="K2644" t="str">
            <v>TROUSER</v>
          </cell>
          <cell r="L2644" t="str">
            <v>NOD</v>
          </cell>
        </row>
        <row r="2645">
          <cell r="C2645" t="str">
            <v>USTRO0638</v>
          </cell>
          <cell r="D2645" t="str">
            <v>CORE</v>
          </cell>
          <cell r="E2645" t="str">
            <v>CO26</v>
          </cell>
          <cell r="F2645">
            <v>2599</v>
          </cell>
          <cell r="G2645" t="str">
            <v>US</v>
          </cell>
          <cell r="H2645" t="str">
            <v>USPUSMTRO</v>
          </cell>
          <cell r="I2645" t="str">
            <v>USTRO0638004</v>
          </cell>
          <cell r="J2645" t="str">
            <v>34</v>
          </cell>
          <cell r="K2645" t="str">
            <v>TROUSER</v>
          </cell>
          <cell r="L2645" t="str">
            <v>NOD</v>
          </cell>
        </row>
        <row r="2646">
          <cell r="C2646" t="str">
            <v>USTRO0638</v>
          </cell>
          <cell r="D2646" t="str">
            <v>CORE</v>
          </cell>
          <cell r="E2646" t="str">
            <v>CO26</v>
          </cell>
          <cell r="F2646">
            <v>2599</v>
          </cell>
          <cell r="G2646" t="str">
            <v>US</v>
          </cell>
          <cell r="H2646" t="str">
            <v>USPUSMTRO</v>
          </cell>
          <cell r="I2646" t="str">
            <v>USTRO0638005</v>
          </cell>
          <cell r="J2646" t="str">
            <v>36</v>
          </cell>
          <cell r="K2646" t="str">
            <v>TROUSER</v>
          </cell>
          <cell r="L2646" t="str">
            <v>NOD</v>
          </cell>
        </row>
        <row r="2647">
          <cell r="C2647" t="str">
            <v>USTRO0638</v>
          </cell>
          <cell r="D2647" t="str">
            <v>CORE</v>
          </cell>
          <cell r="E2647" t="str">
            <v>CO26</v>
          </cell>
          <cell r="F2647">
            <v>2599</v>
          </cell>
          <cell r="G2647" t="str">
            <v>US</v>
          </cell>
          <cell r="H2647" t="str">
            <v>USPUSMTRO</v>
          </cell>
          <cell r="I2647" t="str">
            <v>USTRO0638006</v>
          </cell>
          <cell r="J2647" t="str">
            <v>38</v>
          </cell>
          <cell r="K2647" t="str">
            <v>TROUSER</v>
          </cell>
          <cell r="L2647" t="str">
            <v>NOD</v>
          </cell>
        </row>
        <row r="2648">
          <cell r="C2648" t="str">
            <v>USTRO0638</v>
          </cell>
          <cell r="D2648" t="str">
            <v>CORE</v>
          </cell>
          <cell r="E2648" t="str">
            <v>CO26</v>
          </cell>
          <cell r="F2648">
            <v>2599</v>
          </cell>
          <cell r="G2648" t="str">
            <v>US</v>
          </cell>
          <cell r="H2648" t="str">
            <v>USPUSMTRO</v>
          </cell>
          <cell r="I2648" t="str">
            <v>USTRO0638007</v>
          </cell>
          <cell r="J2648" t="str">
            <v>40</v>
          </cell>
          <cell r="K2648" t="str">
            <v>TROUSER</v>
          </cell>
          <cell r="L2648" t="str">
            <v>NOD</v>
          </cell>
        </row>
        <row r="2649">
          <cell r="C2649" t="str">
            <v>USTRO0638</v>
          </cell>
          <cell r="D2649" t="str">
            <v>CORE</v>
          </cell>
          <cell r="E2649" t="str">
            <v>CO26</v>
          </cell>
          <cell r="F2649">
            <v>2599</v>
          </cell>
          <cell r="G2649" t="str">
            <v>US</v>
          </cell>
          <cell r="H2649" t="str">
            <v>USPUSMTRO</v>
          </cell>
          <cell r="I2649" t="str">
            <v>USTRO0638008</v>
          </cell>
          <cell r="J2649" t="str">
            <v>42</v>
          </cell>
          <cell r="K2649" t="str">
            <v>TROUSER</v>
          </cell>
          <cell r="L2649" t="str">
            <v>NOD</v>
          </cell>
        </row>
        <row r="2650">
          <cell r="C2650" t="str">
            <v>USTRO0638</v>
          </cell>
          <cell r="D2650" t="str">
            <v>CORE</v>
          </cell>
          <cell r="E2650" t="str">
            <v>CO26</v>
          </cell>
          <cell r="F2650">
            <v>2599</v>
          </cell>
          <cell r="G2650" t="str">
            <v>US</v>
          </cell>
          <cell r="H2650" t="str">
            <v>USPUSMTRO</v>
          </cell>
          <cell r="I2650" t="str">
            <v>USTRO0638009</v>
          </cell>
          <cell r="J2650" t="str">
            <v>44</v>
          </cell>
          <cell r="K2650" t="str">
            <v>TROUSER</v>
          </cell>
          <cell r="L2650" t="str">
            <v>NOD</v>
          </cell>
        </row>
        <row r="2651">
          <cell r="C2651" t="str">
            <v>USTRO0638</v>
          </cell>
          <cell r="D2651" t="str">
            <v>CORE</v>
          </cell>
          <cell r="E2651" t="str">
            <v>CO26</v>
          </cell>
          <cell r="F2651">
            <v>2799</v>
          </cell>
          <cell r="G2651" t="str">
            <v>US</v>
          </cell>
          <cell r="H2651" t="str">
            <v>USPUSMTRO</v>
          </cell>
          <cell r="I2651" t="str">
            <v>USTRO0638010</v>
          </cell>
          <cell r="J2651" t="str">
            <v>46</v>
          </cell>
          <cell r="K2651" t="str">
            <v>TROUSER</v>
          </cell>
          <cell r="L2651" t="str">
            <v>NOD</v>
          </cell>
        </row>
        <row r="2652">
          <cell r="C2652" t="str">
            <v>USTRO0638</v>
          </cell>
          <cell r="D2652" t="str">
            <v>CORE</v>
          </cell>
          <cell r="E2652" t="str">
            <v>CO26</v>
          </cell>
          <cell r="F2652">
            <v>2799</v>
          </cell>
          <cell r="G2652" t="str">
            <v>US</v>
          </cell>
          <cell r="H2652" t="str">
            <v>USPUSMTRO</v>
          </cell>
          <cell r="I2652" t="str">
            <v>USTRO0638011</v>
          </cell>
          <cell r="J2652" t="str">
            <v>48</v>
          </cell>
          <cell r="K2652" t="str">
            <v>TROUSER</v>
          </cell>
          <cell r="L2652" t="str">
            <v>NOD</v>
          </cell>
        </row>
        <row r="2653">
          <cell r="C2653" t="str">
            <v>USTRO0638</v>
          </cell>
          <cell r="D2653" t="str">
            <v>CORE</v>
          </cell>
          <cell r="E2653" t="str">
            <v>CO26</v>
          </cell>
          <cell r="F2653">
            <v>2799</v>
          </cell>
          <cell r="G2653" t="str">
            <v>US</v>
          </cell>
          <cell r="H2653" t="str">
            <v>USPUSMTRO</v>
          </cell>
          <cell r="I2653" t="str">
            <v>USTRO0638012</v>
          </cell>
          <cell r="J2653" t="str">
            <v>50</v>
          </cell>
          <cell r="K2653" t="str">
            <v>TROUSER</v>
          </cell>
          <cell r="L2653" t="str">
            <v>NOD</v>
          </cell>
        </row>
        <row r="2654">
          <cell r="C2654" t="str">
            <v>USTRO0638D</v>
          </cell>
          <cell r="D2654" t="str">
            <v>CORE</v>
          </cell>
          <cell r="E2654" t="str">
            <v>CO26</v>
          </cell>
          <cell r="F2654">
            <v>2599</v>
          </cell>
          <cell r="G2654" t="str">
            <v>US</v>
          </cell>
          <cell r="H2654" t="str">
            <v>USPUSMTRO</v>
          </cell>
          <cell r="I2654" t="str">
            <v>USTRO0638D001</v>
          </cell>
          <cell r="J2654" t="str">
            <v>28</v>
          </cell>
          <cell r="K2654" t="str">
            <v>TROUSER</v>
          </cell>
          <cell r="L2654" t="str">
            <v>NOD</v>
          </cell>
        </row>
        <row r="2655">
          <cell r="C2655" t="str">
            <v>USTRO0638D</v>
          </cell>
          <cell r="D2655" t="str">
            <v>CORE</v>
          </cell>
          <cell r="E2655" t="str">
            <v>CO26</v>
          </cell>
          <cell r="F2655">
            <v>2599</v>
          </cell>
          <cell r="G2655" t="str">
            <v>US</v>
          </cell>
          <cell r="H2655" t="str">
            <v>USPUSMTRO</v>
          </cell>
          <cell r="I2655" t="str">
            <v>USTRO0638D002</v>
          </cell>
          <cell r="J2655" t="str">
            <v>30</v>
          </cell>
          <cell r="K2655" t="str">
            <v>TROUSER</v>
          </cell>
          <cell r="L2655" t="str">
            <v>NOD</v>
          </cell>
        </row>
        <row r="2656">
          <cell r="C2656" t="str">
            <v>USTRO0638D</v>
          </cell>
          <cell r="D2656" t="str">
            <v>CORE</v>
          </cell>
          <cell r="E2656" t="str">
            <v>CO26</v>
          </cell>
          <cell r="F2656">
            <v>2599</v>
          </cell>
          <cell r="G2656" t="str">
            <v>US</v>
          </cell>
          <cell r="H2656" t="str">
            <v>USPUSMTRO</v>
          </cell>
          <cell r="I2656" t="str">
            <v>USTRO0638D003</v>
          </cell>
          <cell r="J2656" t="str">
            <v>32</v>
          </cell>
          <cell r="K2656" t="str">
            <v>TROUSER</v>
          </cell>
          <cell r="L2656" t="str">
            <v>NOD</v>
          </cell>
        </row>
        <row r="2657">
          <cell r="C2657" t="str">
            <v>USTRO0638D</v>
          </cell>
          <cell r="D2657" t="str">
            <v>CORE</v>
          </cell>
          <cell r="E2657" t="str">
            <v>CO26</v>
          </cell>
          <cell r="F2657">
            <v>2599</v>
          </cell>
          <cell r="G2657" t="str">
            <v>US</v>
          </cell>
          <cell r="H2657" t="str">
            <v>USPUSMTRO</v>
          </cell>
          <cell r="I2657" t="str">
            <v>USTRO0638D004</v>
          </cell>
          <cell r="J2657" t="str">
            <v>34</v>
          </cell>
          <cell r="K2657" t="str">
            <v>TROUSER</v>
          </cell>
          <cell r="L2657" t="str">
            <v>NOD</v>
          </cell>
        </row>
        <row r="2658">
          <cell r="C2658" t="str">
            <v>USTRO0638D</v>
          </cell>
          <cell r="D2658" t="str">
            <v>CORE</v>
          </cell>
          <cell r="E2658" t="str">
            <v>CO26</v>
          </cell>
          <cell r="F2658">
            <v>2599</v>
          </cell>
          <cell r="G2658" t="str">
            <v>US</v>
          </cell>
          <cell r="H2658" t="str">
            <v>USPUSMTRO</v>
          </cell>
          <cell r="I2658" t="str">
            <v>USTRO0638D005</v>
          </cell>
          <cell r="J2658" t="str">
            <v>36</v>
          </cell>
          <cell r="K2658" t="str">
            <v>TROUSER</v>
          </cell>
          <cell r="L2658" t="str">
            <v>NOD</v>
          </cell>
        </row>
        <row r="2659">
          <cell r="C2659" t="str">
            <v>USTRO0638D</v>
          </cell>
          <cell r="D2659" t="str">
            <v>CORE</v>
          </cell>
          <cell r="E2659" t="str">
            <v>CO26</v>
          </cell>
          <cell r="F2659">
            <v>2599</v>
          </cell>
          <cell r="G2659" t="str">
            <v>US</v>
          </cell>
          <cell r="H2659" t="str">
            <v>USPUSMTRO</v>
          </cell>
          <cell r="I2659" t="str">
            <v>USTRO0638D006</v>
          </cell>
          <cell r="J2659" t="str">
            <v>38</v>
          </cell>
          <cell r="K2659" t="str">
            <v>TROUSER</v>
          </cell>
          <cell r="L2659" t="str">
            <v>NOD</v>
          </cell>
        </row>
        <row r="2660">
          <cell r="C2660" t="str">
            <v>USTRO0638D</v>
          </cell>
          <cell r="D2660" t="str">
            <v>CORE</v>
          </cell>
          <cell r="E2660" t="str">
            <v>CO26</v>
          </cell>
          <cell r="F2660">
            <v>2599</v>
          </cell>
          <cell r="G2660" t="str">
            <v>US</v>
          </cell>
          <cell r="H2660" t="str">
            <v>USPUSMTRO</v>
          </cell>
          <cell r="I2660" t="str">
            <v>USTRO0638D007</v>
          </cell>
          <cell r="J2660" t="str">
            <v>40</v>
          </cell>
          <cell r="K2660" t="str">
            <v>TROUSER</v>
          </cell>
          <cell r="L2660" t="str">
            <v>NOD</v>
          </cell>
        </row>
        <row r="2661">
          <cell r="C2661" t="str">
            <v>USTRO0638D</v>
          </cell>
          <cell r="D2661" t="str">
            <v>CORE</v>
          </cell>
          <cell r="E2661" t="str">
            <v>CO26</v>
          </cell>
          <cell r="F2661">
            <v>2599</v>
          </cell>
          <cell r="G2661" t="str">
            <v>US</v>
          </cell>
          <cell r="H2661" t="str">
            <v>USPUSMTRO</v>
          </cell>
          <cell r="I2661" t="str">
            <v>USTRO0638D008</v>
          </cell>
          <cell r="J2661" t="str">
            <v>42</v>
          </cell>
          <cell r="K2661" t="str">
            <v>TROUSER</v>
          </cell>
          <cell r="L2661" t="str">
            <v>NOD</v>
          </cell>
        </row>
        <row r="2662">
          <cell r="C2662" t="str">
            <v>USTRO0638D</v>
          </cell>
          <cell r="D2662" t="str">
            <v>CORE</v>
          </cell>
          <cell r="E2662" t="str">
            <v>CO26</v>
          </cell>
          <cell r="F2662">
            <v>2599</v>
          </cell>
          <cell r="G2662" t="str">
            <v>US</v>
          </cell>
          <cell r="H2662" t="str">
            <v>USPUSMTRO</v>
          </cell>
          <cell r="I2662" t="str">
            <v>USTRO0638D009</v>
          </cell>
          <cell r="J2662" t="str">
            <v>44</v>
          </cell>
          <cell r="K2662" t="str">
            <v>TROUSER</v>
          </cell>
          <cell r="L2662" t="str">
            <v>NOD</v>
          </cell>
        </row>
        <row r="2663">
          <cell r="C2663" t="str">
            <v>USTRO0638D</v>
          </cell>
          <cell r="D2663" t="str">
            <v>CORE</v>
          </cell>
          <cell r="E2663" t="str">
            <v>CO26</v>
          </cell>
          <cell r="F2663">
            <v>2799</v>
          </cell>
          <cell r="G2663" t="str">
            <v>US</v>
          </cell>
          <cell r="H2663" t="str">
            <v>USPUSMTRO</v>
          </cell>
          <cell r="I2663" t="str">
            <v>USTRO0638D010</v>
          </cell>
          <cell r="J2663" t="str">
            <v>46</v>
          </cell>
          <cell r="K2663" t="str">
            <v>TROUSER</v>
          </cell>
          <cell r="L2663" t="str">
            <v>NOD</v>
          </cell>
        </row>
        <row r="2664">
          <cell r="C2664" t="str">
            <v>USTRO0638D</v>
          </cell>
          <cell r="D2664" t="str">
            <v>CORE</v>
          </cell>
          <cell r="E2664" t="str">
            <v>CO26</v>
          </cell>
          <cell r="F2664">
            <v>2799</v>
          </cell>
          <cell r="G2664" t="str">
            <v>US</v>
          </cell>
          <cell r="H2664" t="str">
            <v>USPUSMTRO</v>
          </cell>
          <cell r="I2664" t="str">
            <v>USTRO0638D011</v>
          </cell>
          <cell r="J2664" t="str">
            <v>48</v>
          </cell>
          <cell r="K2664" t="str">
            <v>TROUSER</v>
          </cell>
          <cell r="L2664" t="str">
            <v>NOD</v>
          </cell>
        </row>
        <row r="2665">
          <cell r="C2665" t="str">
            <v>USTRO0638D</v>
          </cell>
          <cell r="D2665" t="str">
            <v>CORE</v>
          </cell>
          <cell r="E2665" t="str">
            <v>CO26</v>
          </cell>
          <cell r="F2665">
            <v>2799</v>
          </cell>
          <cell r="G2665" t="str">
            <v>US</v>
          </cell>
          <cell r="H2665" t="str">
            <v>USPUSMTRO</v>
          </cell>
          <cell r="I2665" t="str">
            <v>USTRO0638D012</v>
          </cell>
          <cell r="J2665" t="str">
            <v>50</v>
          </cell>
          <cell r="K2665" t="str">
            <v>TROUSER</v>
          </cell>
          <cell r="L2665" t="str">
            <v>NOD</v>
          </cell>
        </row>
        <row r="2666">
          <cell r="C2666" t="str">
            <v>USTRO0638S</v>
          </cell>
          <cell r="D2666" t="str">
            <v>CORE</v>
          </cell>
          <cell r="E2666" t="str">
            <v>CO26</v>
          </cell>
          <cell r="F2666">
            <v>2599</v>
          </cell>
          <cell r="G2666" t="str">
            <v>US</v>
          </cell>
          <cell r="H2666" t="str">
            <v>USPUSMTRO</v>
          </cell>
          <cell r="I2666" t="str">
            <v>USTRO0638S001</v>
          </cell>
          <cell r="J2666" t="str">
            <v>28</v>
          </cell>
          <cell r="K2666" t="str">
            <v>TROUSER</v>
          </cell>
          <cell r="L2666" t="str">
            <v>NOD</v>
          </cell>
        </row>
        <row r="2667">
          <cell r="C2667" t="str">
            <v>USTRO0638S</v>
          </cell>
          <cell r="D2667" t="str">
            <v>CORE</v>
          </cell>
          <cell r="E2667" t="str">
            <v>CO26</v>
          </cell>
          <cell r="F2667">
            <v>2599</v>
          </cell>
          <cell r="G2667" t="str">
            <v>US</v>
          </cell>
          <cell r="H2667" t="str">
            <v>USPUSMTRO</v>
          </cell>
          <cell r="I2667" t="str">
            <v>USTRO0638S002</v>
          </cell>
          <cell r="J2667" t="str">
            <v>30</v>
          </cell>
          <cell r="K2667" t="str">
            <v>TROUSER</v>
          </cell>
          <cell r="L2667" t="str">
            <v>NOD</v>
          </cell>
        </row>
        <row r="2668">
          <cell r="C2668" t="str">
            <v>USTRO0638S</v>
          </cell>
          <cell r="D2668" t="str">
            <v>CORE</v>
          </cell>
          <cell r="E2668" t="str">
            <v>CO26</v>
          </cell>
          <cell r="F2668">
            <v>2599</v>
          </cell>
          <cell r="G2668" t="str">
            <v>US</v>
          </cell>
          <cell r="H2668" t="str">
            <v>USPUSMTRO</v>
          </cell>
          <cell r="I2668" t="str">
            <v>USTRO0638S003</v>
          </cell>
          <cell r="J2668" t="str">
            <v>32</v>
          </cell>
          <cell r="K2668" t="str">
            <v>TROUSER</v>
          </cell>
          <cell r="L2668" t="str">
            <v>NOD</v>
          </cell>
        </row>
        <row r="2669">
          <cell r="C2669" t="str">
            <v>USTRO0638S</v>
          </cell>
          <cell r="D2669" t="str">
            <v>CORE</v>
          </cell>
          <cell r="E2669" t="str">
            <v>CO26</v>
          </cell>
          <cell r="F2669">
            <v>2599</v>
          </cell>
          <cell r="G2669" t="str">
            <v>US</v>
          </cell>
          <cell r="H2669" t="str">
            <v>USPUSMTRO</v>
          </cell>
          <cell r="I2669" t="str">
            <v>USTRO0638S004</v>
          </cell>
          <cell r="J2669" t="str">
            <v>34</v>
          </cell>
          <cell r="K2669" t="str">
            <v>TROUSER</v>
          </cell>
          <cell r="L2669" t="str">
            <v>NOD</v>
          </cell>
        </row>
        <row r="2670">
          <cell r="C2670" t="str">
            <v>USTRO0638S</v>
          </cell>
          <cell r="D2670" t="str">
            <v>CORE</v>
          </cell>
          <cell r="E2670" t="str">
            <v>CO26</v>
          </cell>
          <cell r="F2670">
            <v>2599</v>
          </cell>
          <cell r="G2670" t="str">
            <v>US</v>
          </cell>
          <cell r="H2670" t="str">
            <v>USPUSMTRO</v>
          </cell>
          <cell r="I2670" t="str">
            <v>USTRO0638S005</v>
          </cell>
          <cell r="J2670" t="str">
            <v>36</v>
          </cell>
          <cell r="K2670" t="str">
            <v>TROUSER</v>
          </cell>
          <cell r="L2670" t="str">
            <v>NOD</v>
          </cell>
        </row>
        <row r="2671">
          <cell r="C2671" t="str">
            <v>USTRO0638S</v>
          </cell>
          <cell r="D2671" t="str">
            <v>CORE</v>
          </cell>
          <cell r="E2671" t="str">
            <v>CO26</v>
          </cell>
          <cell r="F2671">
            <v>2599</v>
          </cell>
          <cell r="G2671" t="str">
            <v>US</v>
          </cell>
          <cell r="H2671" t="str">
            <v>USPUSMTRO</v>
          </cell>
          <cell r="I2671" t="str">
            <v>USTRO0638S006</v>
          </cell>
          <cell r="J2671" t="str">
            <v>38</v>
          </cell>
          <cell r="K2671" t="str">
            <v>TROUSER</v>
          </cell>
          <cell r="L2671" t="str">
            <v>NOD</v>
          </cell>
        </row>
        <row r="2672">
          <cell r="C2672" t="str">
            <v>USTRO0638S</v>
          </cell>
          <cell r="D2672" t="str">
            <v>CORE</v>
          </cell>
          <cell r="E2672" t="str">
            <v>CO26</v>
          </cell>
          <cell r="F2672">
            <v>2599</v>
          </cell>
          <cell r="G2672" t="str">
            <v>US</v>
          </cell>
          <cell r="H2672" t="str">
            <v>USPUSMTRO</v>
          </cell>
          <cell r="I2672" t="str">
            <v>USTRO0638S007</v>
          </cell>
          <cell r="J2672" t="str">
            <v>40</v>
          </cell>
          <cell r="K2672" t="str">
            <v>TROUSER</v>
          </cell>
          <cell r="L2672" t="str">
            <v>NOD</v>
          </cell>
        </row>
        <row r="2673">
          <cell r="C2673" t="str">
            <v>USTRO0638S</v>
          </cell>
          <cell r="D2673" t="str">
            <v>CORE</v>
          </cell>
          <cell r="E2673" t="str">
            <v>CO26</v>
          </cell>
          <cell r="F2673">
            <v>2599</v>
          </cell>
          <cell r="G2673" t="str">
            <v>US</v>
          </cell>
          <cell r="H2673" t="str">
            <v>USPUSMTRO</v>
          </cell>
          <cell r="I2673" t="str">
            <v>USTRO0638S008</v>
          </cell>
          <cell r="J2673" t="str">
            <v>42</v>
          </cell>
          <cell r="K2673" t="str">
            <v>TROUSER</v>
          </cell>
          <cell r="L2673" t="str">
            <v>NOD</v>
          </cell>
        </row>
        <row r="2674">
          <cell r="C2674" t="str">
            <v>USTRO0638S</v>
          </cell>
          <cell r="D2674" t="str">
            <v>CORE</v>
          </cell>
          <cell r="E2674" t="str">
            <v>CO26</v>
          </cell>
          <cell r="F2674">
            <v>2799</v>
          </cell>
          <cell r="G2674" t="str">
            <v>US</v>
          </cell>
          <cell r="H2674" t="str">
            <v>USPUSMTRO</v>
          </cell>
          <cell r="I2674" t="str">
            <v>USTRO0638S009</v>
          </cell>
          <cell r="J2674" t="str">
            <v>44</v>
          </cell>
          <cell r="K2674" t="str">
            <v>TROUSER</v>
          </cell>
          <cell r="L2674" t="str">
            <v>NOD</v>
          </cell>
        </row>
        <row r="2675">
          <cell r="C2675" t="str">
            <v>USTRO0638S</v>
          </cell>
          <cell r="D2675" t="str">
            <v>CORE</v>
          </cell>
          <cell r="E2675" t="str">
            <v>CO26</v>
          </cell>
          <cell r="F2675">
            <v>2799</v>
          </cell>
          <cell r="G2675" t="str">
            <v>US</v>
          </cell>
          <cell r="H2675" t="str">
            <v>USPUSMTRO</v>
          </cell>
          <cell r="I2675" t="str">
            <v>USTRO0638S010</v>
          </cell>
          <cell r="J2675" t="str">
            <v>46</v>
          </cell>
          <cell r="K2675" t="str">
            <v>TROUSER</v>
          </cell>
          <cell r="L2675" t="str">
            <v>NOD</v>
          </cell>
        </row>
        <row r="2676">
          <cell r="C2676" t="str">
            <v>USTRO0638S</v>
          </cell>
          <cell r="D2676" t="str">
            <v>CORE</v>
          </cell>
          <cell r="E2676" t="str">
            <v>CO26</v>
          </cell>
          <cell r="F2676">
            <v>2799</v>
          </cell>
          <cell r="G2676" t="str">
            <v>US</v>
          </cell>
          <cell r="H2676" t="str">
            <v>USPUSMTRO</v>
          </cell>
          <cell r="I2676" t="str">
            <v>USTRO0638S011</v>
          </cell>
          <cell r="J2676" t="str">
            <v>48</v>
          </cell>
          <cell r="K2676" t="str">
            <v>TROUSER</v>
          </cell>
          <cell r="L2676" t="str">
            <v>NOD</v>
          </cell>
        </row>
        <row r="2677">
          <cell r="C2677" t="str">
            <v>USTRO0641</v>
          </cell>
          <cell r="D2677" t="str">
            <v>CORE</v>
          </cell>
          <cell r="E2677" t="str">
            <v>CO26</v>
          </cell>
          <cell r="F2677">
            <v>2599</v>
          </cell>
          <cell r="G2677" t="str">
            <v>US</v>
          </cell>
          <cell r="H2677" t="str">
            <v>USPUSMTRO</v>
          </cell>
          <cell r="I2677" t="str">
            <v>USTRO0641001</v>
          </cell>
          <cell r="J2677" t="str">
            <v>28</v>
          </cell>
          <cell r="K2677" t="str">
            <v>TROUSER</v>
          </cell>
          <cell r="L2677" t="str">
            <v>NOD</v>
          </cell>
        </row>
        <row r="2678">
          <cell r="C2678" t="str">
            <v>USTRO0641</v>
          </cell>
          <cell r="D2678" t="str">
            <v>CORE</v>
          </cell>
          <cell r="E2678" t="str">
            <v>CO26</v>
          </cell>
          <cell r="F2678">
            <v>2599</v>
          </cell>
          <cell r="G2678" t="str">
            <v>US</v>
          </cell>
          <cell r="H2678" t="str">
            <v>USPUSMTRO</v>
          </cell>
          <cell r="I2678" t="str">
            <v>USTRO0641002</v>
          </cell>
          <cell r="J2678" t="str">
            <v>30</v>
          </cell>
          <cell r="K2678" t="str">
            <v>TROUSER</v>
          </cell>
          <cell r="L2678" t="str">
            <v>NOD</v>
          </cell>
        </row>
        <row r="2679">
          <cell r="C2679" t="str">
            <v>USTRO0641</v>
          </cell>
          <cell r="D2679" t="str">
            <v>CORE</v>
          </cell>
          <cell r="E2679" t="str">
            <v>CO26</v>
          </cell>
          <cell r="F2679">
            <v>2599</v>
          </cell>
          <cell r="G2679" t="str">
            <v>US</v>
          </cell>
          <cell r="H2679" t="str">
            <v>USPUSMTRO</v>
          </cell>
          <cell r="I2679" t="str">
            <v>USTRO0641003</v>
          </cell>
          <cell r="J2679" t="str">
            <v>32</v>
          </cell>
          <cell r="K2679" t="str">
            <v>TROUSER</v>
          </cell>
          <cell r="L2679" t="str">
            <v>NOD</v>
          </cell>
        </row>
        <row r="2680">
          <cell r="C2680" t="str">
            <v>USTRO0641</v>
          </cell>
          <cell r="D2680" t="str">
            <v>CORE</v>
          </cell>
          <cell r="E2680" t="str">
            <v>CO26</v>
          </cell>
          <cell r="F2680">
            <v>2599</v>
          </cell>
          <cell r="G2680" t="str">
            <v>US</v>
          </cell>
          <cell r="H2680" t="str">
            <v>USPUSMTRO</v>
          </cell>
          <cell r="I2680" t="str">
            <v>USTRO0641004</v>
          </cell>
          <cell r="J2680" t="str">
            <v>34</v>
          </cell>
          <cell r="K2680" t="str">
            <v>TROUSER</v>
          </cell>
          <cell r="L2680" t="str">
            <v>NOD</v>
          </cell>
        </row>
        <row r="2681">
          <cell r="C2681" t="str">
            <v>USTRO0641</v>
          </cell>
          <cell r="D2681" t="str">
            <v>CORE</v>
          </cell>
          <cell r="E2681" t="str">
            <v>CO26</v>
          </cell>
          <cell r="F2681">
            <v>2599</v>
          </cell>
          <cell r="G2681" t="str">
            <v>US</v>
          </cell>
          <cell r="H2681" t="str">
            <v>USPUSMTRO</v>
          </cell>
          <cell r="I2681" t="str">
            <v>USTRO0641005</v>
          </cell>
          <cell r="J2681" t="str">
            <v>36</v>
          </cell>
          <cell r="K2681" t="str">
            <v>TROUSER</v>
          </cell>
          <cell r="L2681" t="str">
            <v>NOD</v>
          </cell>
        </row>
        <row r="2682">
          <cell r="C2682" t="str">
            <v>USTRO0641</v>
          </cell>
          <cell r="D2682" t="str">
            <v>CORE</v>
          </cell>
          <cell r="E2682" t="str">
            <v>CO26</v>
          </cell>
          <cell r="F2682">
            <v>2599</v>
          </cell>
          <cell r="G2682" t="str">
            <v>US</v>
          </cell>
          <cell r="H2682" t="str">
            <v>USPUSMTRO</v>
          </cell>
          <cell r="I2682" t="str">
            <v>USTRO0641006</v>
          </cell>
          <cell r="J2682" t="str">
            <v>38</v>
          </cell>
          <cell r="K2682" t="str">
            <v>TROUSER</v>
          </cell>
          <cell r="L2682" t="str">
            <v>NOD</v>
          </cell>
        </row>
        <row r="2683">
          <cell r="C2683" t="str">
            <v>USTRO0641</v>
          </cell>
          <cell r="D2683" t="str">
            <v>CORE</v>
          </cell>
          <cell r="E2683" t="str">
            <v>CO26</v>
          </cell>
          <cell r="F2683">
            <v>2599</v>
          </cell>
          <cell r="G2683" t="str">
            <v>US</v>
          </cell>
          <cell r="H2683" t="str">
            <v>USPUSMTRO</v>
          </cell>
          <cell r="I2683" t="str">
            <v>USTRO0641007</v>
          </cell>
          <cell r="J2683" t="str">
            <v>40</v>
          </cell>
          <cell r="K2683" t="str">
            <v>TROUSER</v>
          </cell>
          <cell r="L2683" t="str">
            <v>NOD</v>
          </cell>
        </row>
        <row r="2684">
          <cell r="C2684" t="str">
            <v>USTRO0641</v>
          </cell>
          <cell r="D2684" t="str">
            <v>CORE</v>
          </cell>
          <cell r="E2684" t="str">
            <v>CO26</v>
          </cell>
          <cell r="F2684">
            <v>2599</v>
          </cell>
          <cell r="G2684" t="str">
            <v>US</v>
          </cell>
          <cell r="H2684" t="str">
            <v>USPUSMTRO</v>
          </cell>
          <cell r="I2684" t="str">
            <v>USTRO0641008</v>
          </cell>
          <cell r="J2684" t="str">
            <v>42</v>
          </cell>
          <cell r="K2684" t="str">
            <v>TROUSER</v>
          </cell>
          <cell r="L2684" t="str">
            <v>NOD</v>
          </cell>
        </row>
        <row r="2685">
          <cell r="C2685" t="str">
            <v>USTRO0641</v>
          </cell>
          <cell r="D2685" t="str">
            <v>CORE</v>
          </cell>
          <cell r="E2685" t="str">
            <v>CO26</v>
          </cell>
          <cell r="F2685">
            <v>2599</v>
          </cell>
          <cell r="G2685" t="str">
            <v>US</v>
          </cell>
          <cell r="H2685" t="str">
            <v>USPUSMTRO</v>
          </cell>
          <cell r="I2685" t="str">
            <v>USTRO0641009</v>
          </cell>
          <cell r="J2685" t="str">
            <v>44</v>
          </cell>
          <cell r="K2685" t="str">
            <v>TROUSER</v>
          </cell>
          <cell r="L2685" t="str">
            <v>NOD</v>
          </cell>
        </row>
        <row r="2686">
          <cell r="C2686" t="str">
            <v>USTRO0641</v>
          </cell>
          <cell r="D2686" t="str">
            <v>CORE</v>
          </cell>
          <cell r="E2686" t="str">
            <v>CO26</v>
          </cell>
          <cell r="F2686">
            <v>2799</v>
          </cell>
          <cell r="G2686" t="str">
            <v>US</v>
          </cell>
          <cell r="H2686" t="str">
            <v>USPUSMTRO</v>
          </cell>
          <cell r="I2686" t="str">
            <v>USTRO0641010</v>
          </cell>
          <cell r="J2686" t="str">
            <v>46</v>
          </cell>
          <cell r="K2686" t="str">
            <v>TROUSER</v>
          </cell>
          <cell r="L2686" t="str">
            <v>NOD</v>
          </cell>
        </row>
        <row r="2687">
          <cell r="C2687" t="str">
            <v>USTRO0641</v>
          </cell>
          <cell r="D2687" t="str">
            <v>CORE</v>
          </cell>
          <cell r="E2687" t="str">
            <v>CO26</v>
          </cell>
          <cell r="F2687">
            <v>2799</v>
          </cell>
          <cell r="G2687" t="str">
            <v>US</v>
          </cell>
          <cell r="H2687" t="str">
            <v>USPUSMTRO</v>
          </cell>
          <cell r="I2687" t="str">
            <v>USTRO0641011</v>
          </cell>
          <cell r="J2687" t="str">
            <v>48</v>
          </cell>
          <cell r="K2687" t="str">
            <v>TROUSER</v>
          </cell>
          <cell r="L2687" t="str">
            <v>NOD</v>
          </cell>
        </row>
        <row r="2688">
          <cell r="C2688" t="str">
            <v>USTRO0641</v>
          </cell>
          <cell r="D2688" t="str">
            <v>CORE</v>
          </cell>
          <cell r="E2688" t="str">
            <v>CO26</v>
          </cell>
          <cell r="F2688">
            <v>2799</v>
          </cell>
          <cell r="G2688" t="str">
            <v>US</v>
          </cell>
          <cell r="H2688" t="str">
            <v>USPUSMTRO</v>
          </cell>
          <cell r="I2688" t="str">
            <v>USTRO0641012</v>
          </cell>
          <cell r="J2688" t="str">
            <v>50</v>
          </cell>
          <cell r="K2688" t="str">
            <v>TROUSER</v>
          </cell>
          <cell r="L2688" t="str">
            <v>NOD</v>
          </cell>
        </row>
        <row r="2689">
          <cell r="C2689" t="str">
            <v>USTRO0641D</v>
          </cell>
          <cell r="D2689" t="str">
            <v>CORE</v>
          </cell>
          <cell r="E2689" t="str">
            <v>CO26</v>
          </cell>
          <cell r="F2689">
            <v>2599</v>
          </cell>
          <cell r="G2689" t="str">
            <v>US</v>
          </cell>
          <cell r="H2689" t="str">
            <v>USPUSMTRO</v>
          </cell>
          <cell r="I2689" t="str">
            <v>USTRO0641D001</v>
          </cell>
          <cell r="J2689" t="str">
            <v>28</v>
          </cell>
          <cell r="K2689" t="str">
            <v>TROUSER</v>
          </cell>
          <cell r="L2689" t="str">
            <v>NOD</v>
          </cell>
        </row>
        <row r="2690">
          <cell r="C2690" t="str">
            <v>USTRO0641D</v>
          </cell>
          <cell r="D2690" t="str">
            <v>CORE</v>
          </cell>
          <cell r="E2690" t="str">
            <v>CO26</v>
          </cell>
          <cell r="F2690">
            <v>2599</v>
          </cell>
          <cell r="G2690" t="str">
            <v>US</v>
          </cell>
          <cell r="H2690" t="str">
            <v>USPUSMTRO</v>
          </cell>
          <cell r="I2690" t="str">
            <v>USTRO0641D002</v>
          </cell>
          <cell r="J2690" t="str">
            <v>30</v>
          </cell>
          <cell r="K2690" t="str">
            <v>TROUSER</v>
          </cell>
          <cell r="L2690" t="str">
            <v>NOD</v>
          </cell>
        </row>
        <row r="2691">
          <cell r="C2691" t="str">
            <v>USTRO0641D</v>
          </cell>
          <cell r="D2691" t="str">
            <v>CORE</v>
          </cell>
          <cell r="E2691" t="str">
            <v>CO26</v>
          </cell>
          <cell r="F2691">
            <v>2599</v>
          </cell>
          <cell r="G2691" t="str">
            <v>US</v>
          </cell>
          <cell r="H2691" t="str">
            <v>USPUSMTRO</v>
          </cell>
          <cell r="I2691" t="str">
            <v>USTRO0641D003</v>
          </cell>
          <cell r="J2691" t="str">
            <v>32</v>
          </cell>
          <cell r="K2691" t="str">
            <v>TROUSER</v>
          </cell>
          <cell r="L2691" t="str">
            <v>NOD</v>
          </cell>
        </row>
        <row r="2692">
          <cell r="C2692" t="str">
            <v>USTRO0641D</v>
          </cell>
          <cell r="D2692" t="str">
            <v>CORE</v>
          </cell>
          <cell r="E2692" t="str">
            <v>CO26</v>
          </cell>
          <cell r="F2692">
            <v>2599</v>
          </cell>
          <cell r="G2692" t="str">
            <v>US</v>
          </cell>
          <cell r="H2692" t="str">
            <v>USPUSMTRO</v>
          </cell>
          <cell r="I2692" t="str">
            <v>USTRO0641D004</v>
          </cell>
          <cell r="J2692" t="str">
            <v>34</v>
          </cell>
          <cell r="K2692" t="str">
            <v>TROUSER</v>
          </cell>
          <cell r="L2692" t="str">
            <v>NOD</v>
          </cell>
        </row>
        <row r="2693">
          <cell r="C2693" t="str">
            <v>USTRO0641D</v>
          </cell>
          <cell r="D2693" t="str">
            <v>CORE</v>
          </cell>
          <cell r="E2693" t="str">
            <v>CO26</v>
          </cell>
          <cell r="F2693">
            <v>2599</v>
          </cell>
          <cell r="G2693" t="str">
            <v>US</v>
          </cell>
          <cell r="H2693" t="str">
            <v>USPUSMTRO</v>
          </cell>
          <cell r="I2693" t="str">
            <v>USTRO0641D005</v>
          </cell>
          <cell r="J2693" t="str">
            <v>36</v>
          </cell>
          <cell r="K2693" t="str">
            <v>TROUSER</v>
          </cell>
          <cell r="L2693" t="str">
            <v>NOD</v>
          </cell>
        </row>
        <row r="2694">
          <cell r="C2694" t="str">
            <v>USTRO0641D</v>
          </cell>
          <cell r="D2694" t="str">
            <v>CORE</v>
          </cell>
          <cell r="E2694" t="str">
            <v>CO26</v>
          </cell>
          <cell r="F2694">
            <v>2599</v>
          </cell>
          <cell r="G2694" t="str">
            <v>US</v>
          </cell>
          <cell r="H2694" t="str">
            <v>USPUSMTRO</v>
          </cell>
          <cell r="I2694" t="str">
            <v>USTRO0641D006</v>
          </cell>
          <cell r="J2694" t="str">
            <v>38</v>
          </cell>
          <cell r="K2694" t="str">
            <v>TROUSER</v>
          </cell>
          <cell r="L2694" t="str">
            <v>NOD</v>
          </cell>
        </row>
        <row r="2695">
          <cell r="C2695" t="str">
            <v>USTRO0641D</v>
          </cell>
          <cell r="D2695" t="str">
            <v>CORE</v>
          </cell>
          <cell r="E2695" t="str">
            <v>CO26</v>
          </cell>
          <cell r="F2695">
            <v>2599</v>
          </cell>
          <cell r="G2695" t="str">
            <v>US</v>
          </cell>
          <cell r="H2695" t="str">
            <v>USPUSMTRO</v>
          </cell>
          <cell r="I2695" t="str">
            <v>USTRO0641D007</v>
          </cell>
          <cell r="J2695" t="str">
            <v>40</v>
          </cell>
          <cell r="K2695" t="str">
            <v>TROUSER</v>
          </cell>
          <cell r="L2695" t="str">
            <v>NOD</v>
          </cell>
        </row>
        <row r="2696">
          <cell r="C2696" t="str">
            <v>USTRO0641D</v>
          </cell>
          <cell r="D2696" t="str">
            <v>CORE</v>
          </cell>
          <cell r="E2696" t="str">
            <v>CO26</v>
          </cell>
          <cell r="F2696">
            <v>2599</v>
          </cell>
          <cell r="G2696" t="str">
            <v>US</v>
          </cell>
          <cell r="H2696" t="str">
            <v>USPUSMTRO</v>
          </cell>
          <cell r="I2696" t="str">
            <v>USTRO0641D008</v>
          </cell>
          <cell r="J2696" t="str">
            <v>42</v>
          </cell>
          <cell r="K2696" t="str">
            <v>TROUSER</v>
          </cell>
          <cell r="L2696" t="str">
            <v>NOD</v>
          </cell>
        </row>
        <row r="2697">
          <cell r="C2697" t="str">
            <v>USTRO0641D</v>
          </cell>
          <cell r="D2697" t="str">
            <v>CORE</v>
          </cell>
          <cell r="E2697" t="str">
            <v>CO26</v>
          </cell>
          <cell r="F2697">
            <v>2599</v>
          </cell>
          <cell r="G2697" t="str">
            <v>US</v>
          </cell>
          <cell r="H2697" t="str">
            <v>USPUSMTRO</v>
          </cell>
          <cell r="I2697" t="str">
            <v>USTRO0641D009</v>
          </cell>
          <cell r="J2697" t="str">
            <v>44</v>
          </cell>
          <cell r="K2697" t="str">
            <v>TROUSER</v>
          </cell>
          <cell r="L2697" t="str">
            <v>NOD</v>
          </cell>
        </row>
        <row r="2698">
          <cell r="C2698" t="str">
            <v>USTRO0641D</v>
          </cell>
          <cell r="D2698" t="str">
            <v>CORE</v>
          </cell>
          <cell r="E2698" t="str">
            <v>CO26</v>
          </cell>
          <cell r="F2698">
            <v>2799</v>
          </cell>
          <cell r="G2698" t="str">
            <v>US</v>
          </cell>
          <cell r="H2698" t="str">
            <v>USPUSMTRO</v>
          </cell>
          <cell r="I2698" t="str">
            <v>USTRO0641D010</v>
          </cell>
          <cell r="J2698" t="str">
            <v>46</v>
          </cell>
          <cell r="K2698" t="str">
            <v>TROUSER</v>
          </cell>
          <cell r="L2698" t="str">
            <v>NOD</v>
          </cell>
        </row>
        <row r="2699">
          <cell r="C2699" t="str">
            <v>USTRO0641D</v>
          </cell>
          <cell r="D2699" t="str">
            <v>CORE</v>
          </cell>
          <cell r="E2699" t="str">
            <v>CO26</v>
          </cell>
          <cell r="F2699">
            <v>2799</v>
          </cell>
          <cell r="G2699" t="str">
            <v>US</v>
          </cell>
          <cell r="H2699" t="str">
            <v>USPUSMTRO</v>
          </cell>
          <cell r="I2699" t="str">
            <v>USTRO0641D011</v>
          </cell>
          <cell r="J2699" t="str">
            <v>48</v>
          </cell>
          <cell r="K2699" t="str">
            <v>TROUSER</v>
          </cell>
          <cell r="L2699" t="str">
            <v>NOD</v>
          </cell>
        </row>
        <row r="2700">
          <cell r="C2700" t="str">
            <v>USTRO0641D</v>
          </cell>
          <cell r="D2700" t="str">
            <v>CORE</v>
          </cell>
          <cell r="E2700" t="str">
            <v>CO26</v>
          </cell>
          <cell r="F2700">
            <v>2799</v>
          </cell>
          <cell r="G2700" t="str">
            <v>US</v>
          </cell>
          <cell r="H2700" t="str">
            <v>USPUSMTRO</v>
          </cell>
          <cell r="I2700" t="str">
            <v>USTRO0641D012</v>
          </cell>
          <cell r="J2700" t="str">
            <v>50</v>
          </cell>
          <cell r="K2700" t="str">
            <v>TROUSER</v>
          </cell>
          <cell r="L2700" t="str">
            <v>NOD</v>
          </cell>
        </row>
        <row r="2701">
          <cell r="C2701" t="str">
            <v>USTRO0641R</v>
          </cell>
          <cell r="D2701" t="str">
            <v>OCOR</v>
          </cell>
          <cell r="E2701" t="str">
            <v>OC26</v>
          </cell>
          <cell r="F2701">
            <v>2599</v>
          </cell>
          <cell r="G2701" t="str">
            <v>US</v>
          </cell>
          <cell r="H2701" t="str">
            <v>USPUSMTRO</v>
          </cell>
          <cell r="I2701" t="str">
            <v>USTRO0641R001</v>
          </cell>
          <cell r="J2701" t="str">
            <v>28</v>
          </cell>
          <cell r="K2701" t="str">
            <v>TROUSER</v>
          </cell>
          <cell r="L2701" t="str">
            <v>NOD</v>
          </cell>
        </row>
        <row r="2702">
          <cell r="C2702" t="str">
            <v>USTRO0641R</v>
          </cell>
          <cell r="D2702" t="str">
            <v>OCOR</v>
          </cell>
          <cell r="E2702" t="str">
            <v>OC26</v>
          </cell>
          <cell r="F2702">
            <v>2599</v>
          </cell>
          <cell r="G2702" t="str">
            <v>US</v>
          </cell>
          <cell r="H2702" t="str">
            <v>USPUSMTRO</v>
          </cell>
          <cell r="I2702" t="str">
            <v>USTRO0641R002</v>
          </cell>
          <cell r="J2702" t="str">
            <v>30</v>
          </cell>
          <cell r="K2702" t="str">
            <v>TROUSER</v>
          </cell>
          <cell r="L2702" t="str">
            <v>NOD</v>
          </cell>
        </row>
        <row r="2703">
          <cell r="C2703" t="str">
            <v>USTRO0641R</v>
          </cell>
          <cell r="D2703" t="str">
            <v>OCOR</v>
          </cell>
          <cell r="E2703" t="str">
            <v>OC26</v>
          </cell>
          <cell r="F2703">
            <v>2599</v>
          </cell>
          <cell r="G2703" t="str">
            <v>US</v>
          </cell>
          <cell r="H2703" t="str">
            <v>USPUSMTRO</v>
          </cell>
          <cell r="I2703" t="str">
            <v>USTRO0641R003</v>
          </cell>
          <cell r="J2703" t="str">
            <v>32</v>
          </cell>
          <cell r="K2703" t="str">
            <v>TROUSER</v>
          </cell>
          <cell r="L2703" t="str">
            <v>NOD</v>
          </cell>
        </row>
        <row r="2704">
          <cell r="C2704" t="str">
            <v>USTRO0641R</v>
          </cell>
          <cell r="D2704" t="str">
            <v>OCOR</v>
          </cell>
          <cell r="E2704" t="str">
            <v>OC26</v>
          </cell>
          <cell r="F2704">
            <v>2599</v>
          </cell>
          <cell r="G2704" t="str">
            <v>US</v>
          </cell>
          <cell r="H2704" t="str">
            <v>USPUSMTRO</v>
          </cell>
          <cell r="I2704" t="str">
            <v>USTRO0641R004</v>
          </cell>
          <cell r="J2704" t="str">
            <v>34</v>
          </cell>
          <cell r="K2704" t="str">
            <v>TROUSER</v>
          </cell>
          <cell r="L2704" t="str">
            <v>NOD</v>
          </cell>
        </row>
        <row r="2705">
          <cell r="C2705" t="str">
            <v>USTRO0641R</v>
          </cell>
          <cell r="D2705" t="str">
            <v>OCOR</v>
          </cell>
          <cell r="E2705" t="str">
            <v>OC26</v>
          </cell>
          <cell r="F2705">
            <v>2599</v>
          </cell>
          <cell r="G2705" t="str">
            <v>US</v>
          </cell>
          <cell r="H2705" t="str">
            <v>USPUSMTRO</v>
          </cell>
          <cell r="I2705" t="str">
            <v>USTRO0641R005</v>
          </cell>
          <cell r="J2705" t="str">
            <v>36</v>
          </cell>
          <cell r="K2705" t="str">
            <v>TROUSER</v>
          </cell>
          <cell r="L2705" t="str">
            <v>NOD</v>
          </cell>
        </row>
        <row r="2706">
          <cell r="C2706" t="str">
            <v>USTRO0641R</v>
          </cell>
          <cell r="D2706" t="str">
            <v>OCOR</v>
          </cell>
          <cell r="E2706" t="str">
            <v>OC26</v>
          </cell>
          <cell r="F2706">
            <v>2599</v>
          </cell>
          <cell r="G2706" t="str">
            <v>US</v>
          </cell>
          <cell r="H2706" t="str">
            <v>USPUSMTRO</v>
          </cell>
          <cell r="I2706" t="str">
            <v>USTRO0641R006</v>
          </cell>
          <cell r="J2706" t="str">
            <v>38</v>
          </cell>
          <cell r="K2706" t="str">
            <v>TROUSER</v>
          </cell>
          <cell r="L2706" t="str">
            <v>NOD</v>
          </cell>
        </row>
        <row r="2707">
          <cell r="C2707" t="str">
            <v>USTRO0641R</v>
          </cell>
          <cell r="D2707" t="str">
            <v>OCOR</v>
          </cell>
          <cell r="E2707" t="str">
            <v>OC26</v>
          </cell>
          <cell r="F2707">
            <v>2599</v>
          </cell>
          <cell r="G2707" t="str">
            <v>US</v>
          </cell>
          <cell r="H2707" t="str">
            <v>USPUSMTRO</v>
          </cell>
          <cell r="I2707" t="str">
            <v>USTRO0641R007</v>
          </cell>
          <cell r="J2707" t="str">
            <v>40</v>
          </cell>
          <cell r="K2707" t="str">
            <v>TROUSER</v>
          </cell>
          <cell r="L2707" t="str">
            <v>NOD</v>
          </cell>
        </row>
        <row r="2708">
          <cell r="C2708" t="str">
            <v>USTRO0641R</v>
          </cell>
          <cell r="D2708" t="str">
            <v>OCOR</v>
          </cell>
          <cell r="E2708" t="str">
            <v>OC26</v>
          </cell>
          <cell r="F2708">
            <v>2599</v>
          </cell>
          <cell r="G2708" t="str">
            <v>US</v>
          </cell>
          <cell r="H2708" t="str">
            <v>USPUSMTRO</v>
          </cell>
          <cell r="I2708" t="str">
            <v>USTRO0641R008</v>
          </cell>
          <cell r="J2708" t="str">
            <v>42</v>
          </cell>
          <cell r="K2708" t="str">
            <v>TROUSER</v>
          </cell>
          <cell r="L2708" t="str">
            <v>NOD</v>
          </cell>
        </row>
        <row r="2709">
          <cell r="C2709" t="str">
            <v>USTRO0641R</v>
          </cell>
          <cell r="D2709" t="str">
            <v>OCOR</v>
          </cell>
          <cell r="E2709" t="str">
            <v>OC26</v>
          </cell>
          <cell r="F2709">
            <v>2799</v>
          </cell>
          <cell r="G2709" t="str">
            <v>US</v>
          </cell>
          <cell r="H2709" t="str">
            <v>USPUSMTRO</v>
          </cell>
          <cell r="I2709" t="str">
            <v>USTRO0641R009</v>
          </cell>
          <cell r="J2709" t="str">
            <v>44</v>
          </cell>
          <cell r="K2709" t="str">
            <v>TROUSER</v>
          </cell>
          <cell r="L2709" t="str">
            <v>NOD</v>
          </cell>
        </row>
        <row r="2710">
          <cell r="C2710" t="str">
            <v>USTRO0641R</v>
          </cell>
          <cell r="D2710" t="str">
            <v>OCOR</v>
          </cell>
          <cell r="E2710" t="str">
            <v>OC26</v>
          </cell>
          <cell r="F2710">
            <v>2799</v>
          </cell>
          <cell r="G2710" t="str">
            <v>US</v>
          </cell>
          <cell r="H2710" t="str">
            <v>USPUSMTRO</v>
          </cell>
          <cell r="I2710" t="str">
            <v>USTRO0641R010</v>
          </cell>
          <cell r="J2710" t="str">
            <v>46</v>
          </cell>
          <cell r="K2710" t="str">
            <v>TROUSER</v>
          </cell>
          <cell r="L2710" t="str">
            <v>NOD</v>
          </cell>
        </row>
        <row r="2711">
          <cell r="C2711" t="str">
            <v>USTRO0641R</v>
          </cell>
          <cell r="D2711" t="str">
            <v>OCOR</v>
          </cell>
          <cell r="E2711" t="str">
            <v>OC26</v>
          </cell>
          <cell r="F2711">
            <v>2799</v>
          </cell>
          <cell r="G2711" t="str">
            <v>US</v>
          </cell>
          <cell r="H2711" t="str">
            <v>USPUSMTRO</v>
          </cell>
          <cell r="I2711" t="str">
            <v>USTRO0641R011</v>
          </cell>
          <cell r="J2711" t="str">
            <v>48</v>
          </cell>
          <cell r="K2711" t="str">
            <v>TROUSER</v>
          </cell>
          <cell r="L2711" t="str">
            <v>NOD</v>
          </cell>
        </row>
        <row r="2712">
          <cell r="C2712" t="str">
            <v>USTRO0645</v>
          </cell>
          <cell r="D2712" t="str">
            <v>CORE</v>
          </cell>
          <cell r="E2712" t="str">
            <v>CO26</v>
          </cell>
          <cell r="F2712">
            <v>2799</v>
          </cell>
          <cell r="G2712" t="str">
            <v>US</v>
          </cell>
          <cell r="H2712" t="str">
            <v>USPUSMTRO</v>
          </cell>
          <cell r="I2712" t="str">
            <v>USTRO0645001</v>
          </cell>
          <cell r="J2712" t="str">
            <v>28</v>
          </cell>
          <cell r="K2712" t="str">
            <v>TROUSER</v>
          </cell>
          <cell r="L2712" t="str">
            <v>NOD</v>
          </cell>
        </row>
        <row r="2713">
          <cell r="C2713" t="str">
            <v>USTRO0645</v>
          </cell>
          <cell r="D2713" t="str">
            <v>CORE</v>
          </cell>
          <cell r="E2713" t="str">
            <v>CO26</v>
          </cell>
          <cell r="F2713">
            <v>2799</v>
          </cell>
          <cell r="G2713" t="str">
            <v>US</v>
          </cell>
          <cell r="H2713" t="str">
            <v>USPUSMTRO</v>
          </cell>
          <cell r="I2713" t="str">
            <v>USTRO0645002</v>
          </cell>
          <cell r="J2713" t="str">
            <v>30</v>
          </cell>
          <cell r="K2713" t="str">
            <v>TROUSER</v>
          </cell>
          <cell r="L2713" t="str">
            <v>NOD</v>
          </cell>
        </row>
        <row r="2714">
          <cell r="C2714" t="str">
            <v>USTRO0645</v>
          </cell>
          <cell r="D2714" t="str">
            <v>CORE</v>
          </cell>
          <cell r="E2714" t="str">
            <v>CO26</v>
          </cell>
          <cell r="F2714">
            <v>2799</v>
          </cell>
          <cell r="G2714" t="str">
            <v>US</v>
          </cell>
          <cell r="H2714" t="str">
            <v>USPUSMTRO</v>
          </cell>
          <cell r="I2714" t="str">
            <v>USTRO0645003</v>
          </cell>
          <cell r="J2714" t="str">
            <v>32</v>
          </cell>
          <cell r="K2714" t="str">
            <v>TROUSER</v>
          </cell>
          <cell r="L2714" t="str">
            <v>NOD</v>
          </cell>
        </row>
        <row r="2715">
          <cell r="C2715" t="str">
            <v>USTRO0645</v>
          </cell>
          <cell r="D2715" t="str">
            <v>CORE</v>
          </cell>
          <cell r="E2715" t="str">
            <v>CO26</v>
          </cell>
          <cell r="F2715">
            <v>2799</v>
          </cell>
          <cell r="G2715" t="str">
            <v>US</v>
          </cell>
          <cell r="H2715" t="str">
            <v>USPUSMTRO</v>
          </cell>
          <cell r="I2715" t="str">
            <v>USTRO0645004</v>
          </cell>
          <cell r="J2715" t="str">
            <v>34</v>
          </cell>
          <cell r="K2715" t="str">
            <v>TROUSER</v>
          </cell>
          <cell r="L2715" t="str">
            <v>NOD</v>
          </cell>
        </row>
        <row r="2716">
          <cell r="C2716" t="str">
            <v>USTRO0645</v>
          </cell>
          <cell r="D2716" t="str">
            <v>CORE</v>
          </cell>
          <cell r="E2716" t="str">
            <v>CO26</v>
          </cell>
          <cell r="F2716">
            <v>2799</v>
          </cell>
          <cell r="G2716" t="str">
            <v>US</v>
          </cell>
          <cell r="H2716" t="str">
            <v>USPUSMTRO</v>
          </cell>
          <cell r="I2716" t="str">
            <v>USTRO0645005</v>
          </cell>
          <cell r="J2716" t="str">
            <v>36</v>
          </cell>
          <cell r="K2716" t="str">
            <v>TROUSER</v>
          </cell>
          <cell r="L2716" t="str">
            <v>NOD</v>
          </cell>
        </row>
        <row r="2717">
          <cell r="C2717" t="str">
            <v>USTRO0645</v>
          </cell>
          <cell r="D2717" t="str">
            <v>CORE</v>
          </cell>
          <cell r="E2717" t="str">
            <v>CO26</v>
          </cell>
          <cell r="F2717">
            <v>2799</v>
          </cell>
          <cell r="G2717" t="str">
            <v>US</v>
          </cell>
          <cell r="H2717" t="str">
            <v>USPUSMTRO</v>
          </cell>
          <cell r="I2717" t="str">
            <v>USTRO0645006</v>
          </cell>
          <cell r="J2717" t="str">
            <v>38</v>
          </cell>
          <cell r="K2717" t="str">
            <v>TROUSER</v>
          </cell>
          <cell r="L2717" t="str">
            <v>NOD</v>
          </cell>
        </row>
        <row r="2718">
          <cell r="C2718" t="str">
            <v>USTRO0645</v>
          </cell>
          <cell r="D2718" t="str">
            <v>CORE</v>
          </cell>
          <cell r="E2718" t="str">
            <v>CO26</v>
          </cell>
          <cell r="F2718">
            <v>2799</v>
          </cell>
          <cell r="G2718" t="str">
            <v>US</v>
          </cell>
          <cell r="H2718" t="str">
            <v>USPUSMTRO</v>
          </cell>
          <cell r="I2718" t="str">
            <v>USTRO0645007</v>
          </cell>
          <cell r="J2718" t="str">
            <v>40</v>
          </cell>
          <cell r="K2718" t="str">
            <v>TROUSER</v>
          </cell>
          <cell r="L2718" t="str">
            <v>NOD</v>
          </cell>
        </row>
        <row r="2719">
          <cell r="C2719" t="str">
            <v>USTRO0645</v>
          </cell>
          <cell r="D2719" t="str">
            <v>CORE</v>
          </cell>
          <cell r="E2719" t="str">
            <v>CO26</v>
          </cell>
          <cell r="F2719">
            <v>2799</v>
          </cell>
          <cell r="G2719" t="str">
            <v>US</v>
          </cell>
          <cell r="H2719" t="str">
            <v>USPUSMTRO</v>
          </cell>
          <cell r="I2719" t="str">
            <v>USTRO0645008</v>
          </cell>
          <cell r="J2719" t="str">
            <v>42</v>
          </cell>
          <cell r="K2719" t="str">
            <v>TROUSER</v>
          </cell>
          <cell r="L2719" t="str">
            <v>NOD</v>
          </cell>
        </row>
        <row r="2720">
          <cell r="C2720" t="str">
            <v>USTRO0645</v>
          </cell>
          <cell r="D2720" t="str">
            <v>CORE</v>
          </cell>
          <cell r="E2720" t="str">
            <v>CO26</v>
          </cell>
          <cell r="F2720">
            <v>2799</v>
          </cell>
          <cell r="G2720" t="str">
            <v>US</v>
          </cell>
          <cell r="H2720" t="str">
            <v>USPUSMTRO</v>
          </cell>
          <cell r="I2720" t="str">
            <v>USTRO0645009</v>
          </cell>
          <cell r="J2720" t="str">
            <v>44</v>
          </cell>
          <cell r="K2720" t="str">
            <v>TROUSER</v>
          </cell>
          <cell r="L2720" t="str">
            <v>NOD</v>
          </cell>
        </row>
        <row r="2721">
          <cell r="C2721" t="str">
            <v>USTRO0645</v>
          </cell>
          <cell r="D2721" t="str">
            <v>CORE</v>
          </cell>
          <cell r="E2721" t="str">
            <v>CO26</v>
          </cell>
          <cell r="F2721">
            <v>3159.66</v>
          </cell>
          <cell r="G2721" t="str">
            <v>US</v>
          </cell>
          <cell r="H2721" t="str">
            <v>USPUSMTRO</v>
          </cell>
          <cell r="I2721" t="str">
            <v>USTRO0645010</v>
          </cell>
          <cell r="J2721" t="str">
            <v>46</v>
          </cell>
          <cell r="K2721" t="str">
            <v>TROUSER</v>
          </cell>
          <cell r="L2721" t="str">
            <v>NOD</v>
          </cell>
        </row>
        <row r="2722">
          <cell r="C2722" t="str">
            <v>USTRO0645</v>
          </cell>
          <cell r="D2722" t="str">
            <v>CORE</v>
          </cell>
          <cell r="E2722" t="str">
            <v>CO26</v>
          </cell>
          <cell r="F2722">
            <v>3159.66</v>
          </cell>
          <cell r="G2722" t="str">
            <v>US</v>
          </cell>
          <cell r="H2722" t="str">
            <v>USPUSMTRO</v>
          </cell>
          <cell r="I2722" t="str">
            <v>USTRO0645011</v>
          </cell>
          <cell r="J2722" t="str">
            <v>48</v>
          </cell>
          <cell r="K2722" t="str">
            <v>TROUSER</v>
          </cell>
          <cell r="L2722" t="str">
            <v>NOD</v>
          </cell>
        </row>
        <row r="2723">
          <cell r="C2723" t="str">
            <v>USTRO0645</v>
          </cell>
          <cell r="D2723" t="str">
            <v>CORE</v>
          </cell>
          <cell r="E2723" t="str">
            <v>CO26</v>
          </cell>
          <cell r="F2723">
            <v>3159.66</v>
          </cell>
          <cell r="G2723" t="str">
            <v>US</v>
          </cell>
          <cell r="H2723" t="str">
            <v>USPUSMTRO</v>
          </cell>
          <cell r="I2723" t="str">
            <v>USTRO0645012</v>
          </cell>
          <cell r="J2723" t="str">
            <v>50</v>
          </cell>
          <cell r="K2723" t="str">
            <v>TROUSER</v>
          </cell>
          <cell r="L2723" t="str">
            <v>NOD</v>
          </cell>
        </row>
        <row r="2724">
          <cell r="C2724" t="str">
            <v>USTRO0645D</v>
          </cell>
          <cell r="D2724" t="str">
            <v>CORE</v>
          </cell>
          <cell r="E2724" t="str">
            <v>CO26</v>
          </cell>
          <cell r="F2724">
            <v>2799</v>
          </cell>
          <cell r="G2724" t="str">
            <v>US</v>
          </cell>
          <cell r="H2724" t="str">
            <v>USPUSMTRO</v>
          </cell>
          <cell r="I2724" t="str">
            <v>USTRO0645D001</v>
          </cell>
          <cell r="J2724" t="str">
            <v>28</v>
          </cell>
          <cell r="K2724" t="str">
            <v>TROUSER</v>
          </cell>
          <cell r="L2724" t="str">
            <v>NOD</v>
          </cell>
        </row>
        <row r="2725">
          <cell r="C2725" t="str">
            <v>USTRO0645D</v>
          </cell>
          <cell r="D2725" t="str">
            <v>CORE</v>
          </cell>
          <cell r="E2725" t="str">
            <v>CO26</v>
          </cell>
          <cell r="F2725">
            <v>2799</v>
          </cell>
          <cell r="G2725" t="str">
            <v>US</v>
          </cell>
          <cell r="H2725" t="str">
            <v>USPUSMTRO</v>
          </cell>
          <cell r="I2725" t="str">
            <v>USTRO0645D002</v>
          </cell>
          <cell r="J2725" t="str">
            <v>30</v>
          </cell>
          <cell r="K2725" t="str">
            <v>TROUSER</v>
          </cell>
          <cell r="L2725" t="str">
            <v>NOD</v>
          </cell>
        </row>
        <row r="2726">
          <cell r="C2726" t="str">
            <v>USTRO0645D</v>
          </cell>
          <cell r="D2726" t="str">
            <v>CORE</v>
          </cell>
          <cell r="E2726" t="str">
            <v>CO26</v>
          </cell>
          <cell r="F2726">
            <v>2799</v>
          </cell>
          <cell r="G2726" t="str">
            <v>US</v>
          </cell>
          <cell r="H2726" t="str">
            <v>USPUSMTRO</v>
          </cell>
          <cell r="I2726" t="str">
            <v>USTRO0645D003</v>
          </cell>
          <cell r="J2726" t="str">
            <v>32</v>
          </cell>
          <cell r="K2726" t="str">
            <v>TROUSER</v>
          </cell>
          <cell r="L2726" t="str">
            <v>NOD</v>
          </cell>
        </row>
        <row r="2727">
          <cell r="C2727" t="str">
            <v>USTRO0645D</v>
          </cell>
          <cell r="D2727" t="str">
            <v>CORE</v>
          </cell>
          <cell r="E2727" t="str">
            <v>CO26</v>
          </cell>
          <cell r="F2727">
            <v>2799</v>
          </cell>
          <cell r="G2727" t="str">
            <v>US</v>
          </cell>
          <cell r="H2727" t="str">
            <v>USPUSMTRO</v>
          </cell>
          <cell r="I2727" t="str">
            <v>USTRO0645D004</v>
          </cell>
          <cell r="J2727" t="str">
            <v>34</v>
          </cell>
          <cell r="K2727" t="str">
            <v>TROUSER</v>
          </cell>
          <cell r="L2727" t="str">
            <v>NOD</v>
          </cell>
        </row>
        <row r="2728">
          <cell r="C2728" t="str">
            <v>USTRO0645D</v>
          </cell>
          <cell r="D2728" t="str">
            <v>CORE</v>
          </cell>
          <cell r="E2728" t="str">
            <v>CO26</v>
          </cell>
          <cell r="F2728">
            <v>2799</v>
          </cell>
          <cell r="G2728" t="str">
            <v>US</v>
          </cell>
          <cell r="H2728" t="str">
            <v>USPUSMTRO</v>
          </cell>
          <cell r="I2728" t="str">
            <v>USTRO0645D005</v>
          </cell>
          <cell r="J2728" t="str">
            <v>36</v>
          </cell>
          <cell r="K2728" t="str">
            <v>TROUSER</v>
          </cell>
          <cell r="L2728" t="str">
            <v>NOD</v>
          </cell>
        </row>
        <row r="2729">
          <cell r="C2729" t="str">
            <v>USTRO0645D</v>
          </cell>
          <cell r="D2729" t="str">
            <v>CORE</v>
          </cell>
          <cell r="E2729" t="str">
            <v>CO26</v>
          </cell>
          <cell r="F2729">
            <v>2799</v>
          </cell>
          <cell r="G2729" t="str">
            <v>US</v>
          </cell>
          <cell r="H2729" t="str">
            <v>USPUSMTRO</v>
          </cell>
          <cell r="I2729" t="str">
            <v>USTRO0645D006</v>
          </cell>
          <cell r="J2729" t="str">
            <v>38</v>
          </cell>
          <cell r="K2729" t="str">
            <v>TROUSER</v>
          </cell>
          <cell r="L2729" t="str">
            <v>NOD</v>
          </cell>
        </row>
        <row r="2730">
          <cell r="C2730" t="str">
            <v>USTRO0645D</v>
          </cell>
          <cell r="D2730" t="str">
            <v>CORE</v>
          </cell>
          <cell r="E2730" t="str">
            <v>CO26</v>
          </cell>
          <cell r="F2730">
            <v>2799</v>
          </cell>
          <cell r="G2730" t="str">
            <v>US</v>
          </cell>
          <cell r="H2730" t="str">
            <v>USPUSMTRO</v>
          </cell>
          <cell r="I2730" t="str">
            <v>USTRO0645D007</v>
          </cell>
          <cell r="J2730" t="str">
            <v>40</v>
          </cell>
          <cell r="K2730" t="str">
            <v>TROUSER</v>
          </cell>
          <cell r="L2730" t="str">
            <v>NOD</v>
          </cell>
        </row>
        <row r="2731">
          <cell r="C2731" t="str">
            <v>USTRO0645D</v>
          </cell>
          <cell r="D2731" t="str">
            <v>CORE</v>
          </cell>
          <cell r="E2731" t="str">
            <v>CO26</v>
          </cell>
          <cell r="F2731">
            <v>2799</v>
          </cell>
          <cell r="G2731" t="str">
            <v>US</v>
          </cell>
          <cell r="H2731" t="str">
            <v>USPUSMTRO</v>
          </cell>
          <cell r="I2731" t="str">
            <v>USTRO0645D008</v>
          </cell>
          <cell r="J2731" t="str">
            <v>42</v>
          </cell>
          <cell r="K2731" t="str">
            <v>TROUSER</v>
          </cell>
          <cell r="L2731" t="str">
            <v>NOD</v>
          </cell>
        </row>
        <row r="2732">
          <cell r="C2732" t="str">
            <v>USTRO0645D</v>
          </cell>
          <cell r="D2732" t="str">
            <v>CORE</v>
          </cell>
          <cell r="E2732" t="str">
            <v>CO26</v>
          </cell>
          <cell r="F2732">
            <v>2799</v>
          </cell>
          <cell r="G2732" t="str">
            <v>US</v>
          </cell>
          <cell r="H2732" t="str">
            <v>USPUSMTRO</v>
          </cell>
          <cell r="I2732" t="str">
            <v>USTRO0645D009</v>
          </cell>
          <cell r="J2732" t="str">
            <v>44</v>
          </cell>
          <cell r="K2732" t="str">
            <v>TROUSER</v>
          </cell>
          <cell r="L2732" t="str">
            <v>NOD</v>
          </cell>
        </row>
        <row r="2733">
          <cell r="C2733" t="str">
            <v>USTRO0645D</v>
          </cell>
          <cell r="D2733" t="str">
            <v>CORE</v>
          </cell>
          <cell r="E2733" t="str">
            <v>CO26</v>
          </cell>
          <cell r="F2733">
            <v>3159.66</v>
          </cell>
          <cell r="G2733" t="str">
            <v>US</v>
          </cell>
          <cell r="H2733" t="str">
            <v>USPUSMTRO</v>
          </cell>
          <cell r="I2733" t="str">
            <v>USTRO0645D010</v>
          </cell>
          <cell r="J2733" t="str">
            <v>46</v>
          </cell>
          <cell r="K2733" t="str">
            <v>TROUSER</v>
          </cell>
          <cell r="L2733" t="str">
            <v>NOD</v>
          </cell>
        </row>
        <row r="2734">
          <cell r="C2734" t="str">
            <v>USTRO0645D</v>
          </cell>
          <cell r="D2734" t="str">
            <v>CORE</v>
          </cell>
          <cell r="E2734" t="str">
            <v>CO26</v>
          </cell>
          <cell r="F2734">
            <v>3159.66</v>
          </cell>
          <cell r="G2734" t="str">
            <v>US</v>
          </cell>
          <cell r="H2734" t="str">
            <v>USPUSMTRO</v>
          </cell>
          <cell r="I2734" t="str">
            <v>USTRO0645D011</v>
          </cell>
          <cell r="J2734" t="str">
            <v>48</v>
          </cell>
          <cell r="K2734" t="str">
            <v>TROUSER</v>
          </cell>
          <cell r="L2734" t="str">
            <v>NOD</v>
          </cell>
        </row>
        <row r="2735">
          <cell r="C2735" t="str">
            <v>USTRO0645D</v>
          </cell>
          <cell r="D2735" t="str">
            <v>CORE</v>
          </cell>
          <cell r="E2735" t="str">
            <v>CO26</v>
          </cell>
          <cell r="F2735">
            <v>3159.66</v>
          </cell>
          <cell r="G2735" t="str">
            <v>US</v>
          </cell>
          <cell r="H2735" t="str">
            <v>USPUSMTRO</v>
          </cell>
          <cell r="I2735" t="str">
            <v>USTRO0645D012</v>
          </cell>
          <cell r="J2735" t="str">
            <v>50</v>
          </cell>
          <cell r="K2735" t="str">
            <v>TROUSER</v>
          </cell>
          <cell r="L2735" t="str">
            <v>NOD</v>
          </cell>
        </row>
        <row r="2736">
          <cell r="C2736" t="str">
            <v>USTRO0645S</v>
          </cell>
          <cell r="D2736" t="str">
            <v>CORE</v>
          </cell>
          <cell r="E2736" t="str">
            <v>CO25</v>
          </cell>
          <cell r="F2736">
            <v>2799</v>
          </cell>
          <cell r="G2736" t="str">
            <v>US</v>
          </cell>
          <cell r="H2736" t="str">
            <v>USPUSMTRO</v>
          </cell>
          <cell r="I2736" t="str">
            <v>USTRO0645S001</v>
          </cell>
          <cell r="J2736" t="str">
            <v>28</v>
          </cell>
          <cell r="K2736" t="str">
            <v>TROUSER</v>
          </cell>
          <cell r="L2736" t="str">
            <v>NOD</v>
          </cell>
        </row>
        <row r="2737">
          <cell r="C2737" t="str">
            <v>USTRO0645S</v>
          </cell>
          <cell r="D2737" t="str">
            <v>CORE</v>
          </cell>
          <cell r="E2737" t="str">
            <v>CO25</v>
          </cell>
          <cell r="F2737">
            <v>2799</v>
          </cell>
          <cell r="G2737" t="str">
            <v>US</v>
          </cell>
          <cell r="H2737" t="str">
            <v>USPUSMTRO</v>
          </cell>
          <cell r="I2737" t="str">
            <v>USTRO0645S002</v>
          </cell>
          <cell r="J2737" t="str">
            <v>30</v>
          </cell>
          <cell r="K2737" t="str">
            <v>TROUSER</v>
          </cell>
          <cell r="L2737" t="str">
            <v>NOD</v>
          </cell>
        </row>
        <row r="2738">
          <cell r="C2738" t="str">
            <v>USTRO0645S</v>
          </cell>
          <cell r="D2738" t="str">
            <v>CORE</v>
          </cell>
          <cell r="E2738" t="str">
            <v>CO25</v>
          </cell>
          <cell r="F2738">
            <v>2799</v>
          </cell>
          <cell r="G2738" t="str">
            <v>US</v>
          </cell>
          <cell r="H2738" t="str">
            <v>USPUSMTRO</v>
          </cell>
          <cell r="I2738" t="str">
            <v>USTRO0645S003</v>
          </cell>
          <cell r="J2738" t="str">
            <v>32</v>
          </cell>
          <cell r="K2738" t="str">
            <v>TROUSER</v>
          </cell>
          <cell r="L2738" t="str">
            <v>NOD</v>
          </cell>
        </row>
        <row r="2739">
          <cell r="C2739" t="str">
            <v>USTRO0645S</v>
          </cell>
          <cell r="D2739" t="str">
            <v>CORE</v>
          </cell>
          <cell r="E2739" t="str">
            <v>CO25</v>
          </cell>
          <cell r="F2739">
            <v>2799</v>
          </cell>
          <cell r="G2739" t="str">
            <v>US</v>
          </cell>
          <cell r="H2739" t="str">
            <v>USPUSMTRO</v>
          </cell>
          <cell r="I2739" t="str">
            <v>USTRO0645S004</v>
          </cell>
          <cell r="J2739" t="str">
            <v>34</v>
          </cell>
          <cell r="K2739" t="str">
            <v>TROUSER</v>
          </cell>
          <cell r="L2739" t="str">
            <v>NOD</v>
          </cell>
        </row>
        <row r="2740">
          <cell r="C2740" t="str">
            <v>USTRO0645S</v>
          </cell>
          <cell r="D2740" t="str">
            <v>CORE</v>
          </cell>
          <cell r="E2740" t="str">
            <v>CO25</v>
          </cell>
          <cell r="F2740">
            <v>2799</v>
          </cell>
          <cell r="G2740" t="str">
            <v>US</v>
          </cell>
          <cell r="H2740" t="str">
            <v>USPUSMTRO</v>
          </cell>
          <cell r="I2740" t="str">
            <v>USTRO0645S005</v>
          </cell>
          <cell r="J2740" t="str">
            <v>36</v>
          </cell>
          <cell r="K2740" t="str">
            <v>TROUSER</v>
          </cell>
          <cell r="L2740" t="str">
            <v>NOD</v>
          </cell>
        </row>
        <row r="2741">
          <cell r="C2741" t="str">
            <v>USTRO0645S</v>
          </cell>
          <cell r="D2741" t="str">
            <v>CORE</v>
          </cell>
          <cell r="E2741" t="str">
            <v>CO25</v>
          </cell>
          <cell r="F2741">
            <v>2799</v>
          </cell>
          <cell r="G2741" t="str">
            <v>US</v>
          </cell>
          <cell r="H2741" t="str">
            <v>USPUSMTRO</v>
          </cell>
          <cell r="I2741" t="str">
            <v>USTRO0645S006</v>
          </cell>
          <cell r="J2741" t="str">
            <v>38</v>
          </cell>
          <cell r="K2741" t="str">
            <v>TROUSER</v>
          </cell>
          <cell r="L2741" t="str">
            <v>NOD</v>
          </cell>
        </row>
        <row r="2742">
          <cell r="C2742" t="str">
            <v>USTRO0645S</v>
          </cell>
          <cell r="D2742" t="str">
            <v>CORE</v>
          </cell>
          <cell r="E2742" t="str">
            <v>CO25</v>
          </cell>
          <cell r="F2742">
            <v>2799</v>
          </cell>
          <cell r="G2742" t="str">
            <v>US</v>
          </cell>
          <cell r="H2742" t="str">
            <v>USPUSMTRO</v>
          </cell>
          <cell r="I2742" t="str">
            <v>USTRO0645S007</v>
          </cell>
          <cell r="J2742" t="str">
            <v>40</v>
          </cell>
          <cell r="K2742" t="str">
            <v>TROUSER</v>
          </cell>
          <cell r="L2742" t="str">
            <v>NOD</v>
          </cell>
        </row>
        <row r="2743">
          <cell r="C2743" t="str">
            <v>USTRO0645S</v>
          </cell>
          <cell r="D2743" t="str">
            <v>CORE</v>
          </cell>
          <cell r="E2743" t="str">
            <v>CO25</v>
          </cell>
          <cell r="F2743">
            <v>2799</v>
          </cell>
          <cell r="G2743" t="str">
            <v>US</v>
          </cell>
          <cell r="H2743" t="str">
            <v>USPUSMTRO</v>
          </cell>
          <cell r="I2743" t="str">
            <v>USTRO0645S008</v>
          </cell>
          <cell r="J2743" t="str">
            <v>42</v>
          </cell>
          <cell r="K2743" t="str">
            <v>TROUSER</v>
          </cell>
          <cell r="L2743" t="str">
            <v>NOD</v>
          </cell>
        </row>
        <row r="2744">
          <cell r="C2744" t="str">
            <v>USTRO0645S</v>
          </cell>
          <cell r="D2744" t="str">
            <v>CORE</v>
          </cell>
          <cell r="E2744" t="str">
            <v>CO25</v>
          </cell>
          <cell r="F2744">
            <v>3159.66</v>
          </cell>
          <cell r="G2744" t="str">
            <v>US</v>
          </cell>
          <cell r="H2744" t="str">
            <v>USPUSMTRO</v>
          </cell>
          <cell r="I2744" t="str">
            <v>USTRO0645S009</v>
          </cell>
          <cell r="J2744" t="str">
            <v>44</v>
          </cell>
          <cell r="K2744" t="str">
            <v>TROUSER</v>
          </cell>
          <cell r="L2744" t="str">
            <v>NOD</v>
          </cell>
        </row>
        <row r="2745">
          <cell r="C2745" t="str">
            <v>USTRO0645S</v>
          </cell>
          <cell r="D2745" t="str">
            <v>CORE</v>
          </cell>
          <cell r="E2745" t="str">
            <v>CO25</v>
          </cell>
          <cell r="F2745">
            <v>3159.66</v>
          </cell>
          <cell r="G2745" t="str">
            <v>US</v>
          </cell>
          <cell r="H2745" t="str">
            <v>USPUSMTRO</v>
          </cell>
          <cell r="I2745" t="str">
            <v>USTRO0645S010</v>
          </cell>
          <cell r="J2745" t="str">
            <v>46</v>
          </cell>
          <cell r="K2745" t="str">
            <v>TROUSER</v>
          </cell>
          <cell r="L2745" t="str">
            <v>NOD</v>
          </cell>
        </row>
        <row r="2746">
          <cell r="C2746" t="str">
            <v>USTRO0645S</v>
          </cell>
          <cell r="D2746" t="str">
            <v>CORE</v>
          </cell>
          <cell r="E2746" t="str">
            <v>CO25</v>
          </cell>
          <cell r="F2746">
            <v>3159.66</v>
          </cell>
          <cell r="G2746" t="str">
            <v>US</v>
          </cell>
          <cell r="H2746" t="str">
            <v>USPUSMTRO</v>
          </cell>
          <cell r="I2746" t="str">
            <v>USTRO0645S011</v>
          </cell>
          <cell r="J2746" t="str">
            <v>48</v>
          </cell>
          <cell r="K2746" t="str">
            <v>TROUSER</v>
          </cell>
          <cell r="L2746" t="str">
            <v>NOD</v>
          </cell>
        </row>
        <row r="2747">
          <cell r="C2747" t="str">
            <v>USTRO1580</v>
          </cell>
          <cell r="D2747" t="str">
            <v>CORE</v>
          </cell>
          <cell r="E2747" t="str">
            <v>CO26</v>
          </cell>
          <cell r="F2747">
            <v>2599</v>
          </cell>
          <cell r="G2747" t="str">
            <v>US</v>
          </cell>
          <cell r="H2747" t="str">
            <v>USPUSMTRO</v>
          </cell>
          <cell r="I2747" t="str">
            <v>USTRO1580001</v>
          </cell>
          <cell r="J2747" t="str">
            <v>28</v>
          </cell>
          <cell r="K2747" t="str">
            <v>TROUSER</v>
          </cell>
          <cell r="L2747" t="str">
            <v>NOD</v>
          </cell>
        </row>
        <row r="2748">
          <cell r="C2748" t="str">
            <v>USTRO1580</v>
          </cell>
          <cell r="D2748" t="str">
            <v>CORE</v>
          </cell>
          <cell r="E2748" t="str">
            <v>CO26</v>
          </cell>
          <cell r="F2748">
            <v>2599</v>
          </cell>
          <cell r="G2748" t="str">
            <v>US</v>
          </cell>
          <cell r="H2748" t="str">
            <v>USPUSMTRO</v>
          </cell>
          <cell r="I2748" t="str">
            <v>USTRO1580002</v>
          </cell>
          <cell r="J2748" t="str">
            <v>30</v>
          </cell>
          <cell r="K2748" t="str">
            <v>TROUSER</v>
          </cell>
          <cell r="L2748" t="str">
            <v>NOD</v>
          </cell>
        </row>
        <row r="2749">
          <cell r="C2749" t="str">
            <v>USTRO1580</v>
          </cell>
          <cell r="D2749" t="str">
            <v>CORE</v>
          </cell>
          <cell r="E2749" t="str">
            <v>CO26</v>
          </cell>
          <cell r="F2749">
            <v>2599</v>
          </cell>
          <cell r="G2749" t="str">
            <v>US</v>
          </cell>
          <cell r="H2749" t="str">
            <v>USPUSMTRO</v>
          </cell>
          <cell r="I2749" t="str">
            <v>USTRO1580003</v>
          </cell>
          <cell r="J2749" t="str">
            <v>32</v>
          </cell>
          <cell r="K2749" t="str">
            <v>TROUSER</v>
          </cell>
          <cell r="L2749" t="str">
            <v>NOD</v>
          </cell>
        </row>
        <row r="2750">
          <cell r="C2750" t="str">
            <v>USTRO1580</v>
          </cell>
          <cell r="D2750" t="str">
            <v>CORE</v>
          </cell>
          <cell r="E2750" t="str">
            <v>CO26</v>
          </cell>
          <cell r="F2750">
            <v>2599</v>
          </cell>
          <cell r="G2750" t="str">
            <v>US</v>
          </cell>
          <cell r="H2750" t="str">
            <v>USPUSMTRO</v>
          </cell>
          <cell r="I2750" t="str">
            <v>USTRO1580004</v>
          </cell>
          <cell r="J2750" t="str">
            <v>34</v>
          </cell>
          <cell r="K2750" t="str">
            <v>TROUSER</v>
          </cell>
          <cell r="L2750" t="str">
            <v>NOD</v>
          </cell>
        </row>
        <row r="2751">
          <cell r="C2751" t="str">
            <v>USTRO1580</v>
          </cell>
          <cell r="D2751" t="str">
            <v>CORE</v>
          </cell>
          <cell r="E2751" t="str">
            <v>CO26</v>
          </cell>
          <cell r="F2751">
            <v>2599</v>
          </cell>
          <cell r="G2751" t="str">
            <v>US</v>
          </cell>
          <cell r="H2751" t="str">
            <v>USPUSMTRO</v>
          </cell>
          <cell r="I2751" t="str">
            <v>USTRO1580005</v>
          </cell>
          <cell r="J2751" t="str">
            <v>36</v>
          </cell>
          <cell r="K2751" t="str">
            <v>TROUSER</v>
          </cell>
          <cell r="L2751" t="str">
            <v>NOD</v>
          </cell>
        </row>
        <row r="2752">
          <cell r="C2752" t="str">
            <v>USTRO1580</v>
          </cell>
          <cell r="D2752" t="str">
            <v>CORE</v>
          </cell>
          <cell r="E2752" t="str">
            <v>CO26</v>
          </cell>
          <cell r="F2752">
            <v>2599</v>
          </cell>
          <cell r="G2752" t="str">
            <v>US</v>
          </cell>
          <cell r="H2752" t="str">
            <v>USPUSMTRO</v>
          </cell>
          <cell r="I2752" t="str">
            <v>USTRO1580006</v>
          </cell>
          <cell r="J2752" t="str">
            <v>38</v>
          </cell>
          <cell r="K2752" t="str">
            <v>TROUSER</v>
          </cell>
          <cell r="L2752" t="str">
            <v>NOD</v>
          </cell>
        </row>
        <row r="2753">
          <cell r="C2753" t="str">
            <v>USTRO1580</v>
          </cell>
          <cell r="D2753" t="str">
            <v>CORE</v>
          </cell>
          <cell r="E2753" t="str">
            <v>CO26</v>
          </cell>
          <cell r="F2753">
            <v>2599</v>
          </cell>
          <cell r="G2753" t="str">
            <v>US</v>
          </cell>
          <cell r="H2753" t="str">
            <v>USPUSMTRO</v>
          </cell>
          <cell r="I2753" t="str">
            <v>USTRO1580007</v>
          </cell>
          <cell r="J2753" t="str">
            <v>40</v>
          </cell>
          <cell r="K2753" t="str">
            <v>TROUSER</v>
          </cell>
          <cell r="L2753" t="str">
            <v>NOD</v>
          </cell>
        </row>
        <row r="2754">
          <cell r="C2754" t="str">
            <v>USTRO1580</v>
          </cell>
          <cell r="D2754" t="str">
            <v>CORE</v>
          </cell>
          <cell r="E2754" t="str">
            <v>CO26</v>
          </cell>
          <cell r="F2754">
            <v>2599</v>
          </cell>
          <cell r="G2754" t="str">
            <v>US</v>
          </cell>
          <cell r="H2754" t="str">
            <v>USPUSMTRO</v>
          </cell>
          <cell r="I2754" t="str">
            <v>USTRO1580008</v>
          </cell>
          <cell r="J2754" t="str">
            <v>42</v>
          </cell>
          <cell r="K2754" t="str">
            <v>TROUSER</v>
          </cell>
          <cell r="L2754" t="str">
            <v>NOD</v>
          </cell>
        </row>
        <row r="2755">
          <cell r="C2755" t="str">
            <v>USTRO1580</v>
          </cell>
          <cell r="D2755" t="str">
            <v>CORE</v>
          </cell>
          <cell r="E2755" t="str">
            <v>CO26</v>
          </cell>
          <cell r="F2755">
            <v>2799</v>
          </cell>
          <cell r="G2755" t="str">
            <v>US</v>
          </cell>
          <cell r="H2755" t="str">
            <v>USPUSMTRO</v>
          </cell>
          <cell r="I2755" t="str">
            <v>USTRO1580009</v>
          </cell>
          <cell r="J2755" t="str">
            <v>44</v>
          </cell>
          <cell r="K2755" t="str">
            <v>TROUSER</v>
          </cell>
          <cell r="L2755" t="str">
            <v>NOD</v>
          </cell>
        </row>
        <row r="2756">
          <cell r="C2756" t="str">
            <v>USTRO1580</v>
          </cell>
          <cell r="D2756" t="str">
            <v>CORE</v>
          </cell>
          <cell r="E2756" t="str">
            <v>CO26</v>
          </cell>
          <cell r="F2756">
            <v>2799</v>
          </cell>
          <cell r="G2756" t="str">
            <v>US</v>
          </cell>
          <cell r="H2756" t="str">
            <v>USPUSMTRO</v>
          </cell>
          <cell r="I2756" t="str">
            <v>USTRO1580010</v>
          </cell>
          <cell r="J2756" t="str">
            <v>46</v>
          </cell>
          <cell r="K2756" t="str">
            <v>TROUSER</v>
          </cell>
          <cell r="L2756" t="str">
            <v>NOD</v>
          </cell>
        </row>
        <row r="2757">
          <cell r="C2757" t="str">
            <v>USTRO1580</v>
          </cell>
          <cell r="D2757" t="str">
            <v>CORE</v>
          </cell>
          <cell r="E2757" t="str">
            <v>CO26</v>
          </cell>
          <cell r="F2757">
            <v>2799</v>
          </cell>
          <cell r="G2757" t="str">
            <v>US</v>
          </cell>
          <cell r="H2757" t="str">
            <v>USPUSMTRO</v>
          </cell>
          <cell r="I2757" t="str">
            <v>USTRO1580011</v>
          </cell>
          <cell r="J2757" t="str">
            <v>48</v>
          </cell>
          <cell r="K2757" t="str">
            <v>TROUSER</v>
          </cell>
          <cell r="L2757" t="str">
            <v>NOD</v>
          </cell>
        </row>
        <row r="2758">
          <cell r="C2758" t="str">
            <v>USTRO1580</v>
          </cell>
          <cell r="D2758" t="str">
            <v>CORE</v>
          </cell>
          <cell r="E2758" t="str">
            <v>CO26</v>
          </cell>
          <cell r="F2758">
            <v>2799</v>
          </cell>
          <cell r="G2758" t="str">
            <v>US</v>
          </cell>
          <cell r="H2758" t="str">
            <v>USPUSMTRO</v>
          </cell>
          <cell r="I2758" t="str">
            <v>USTRO1580012</v>
          </cell>
          <cell r="J2758" t="str">
            <v>50</v>
          </cell>
          <cell r="K2758" t="str">
            <v>TROUSER</v>
          </cell>
          <cell r="L2758" t="str">
            <v>NOD</v>
          </cell>
        </row>
        <row r="2759">
          <cell r="C2759" t="str">
            <v>USTRO1580D</v>
          </cell>
          <cell r="D2759" t="str">
            <v>CORE</v>
          </cell>
          <cell r="E2759" t="str">
            <v>CO26</v>
          </cell>
          <cell r="F2759">
            <v>2599</v>
          </cell>
          <cell r="G2759" t="str">
            <v>US</v>
          </cell>
          <cell r="H2759" t="str">
            <v>USPUSMTRO</v>
          </cell>
          <cell r="I2759" t="str">
            <v>USTRO1580D001</v>
          </cell>
          <cell r="J2759" t="str">
            <v>28</v>
          </cell>
          <cell r="K2759" t="str">
            <v>TROUSER</v>
          </cell>
          <cell r="L2759" t="str">
            <v>NOD</v>
          </cell>
        </row>
        <row r="2760">
          <cell r="C2760" t="str">
            <v>USTRO1580D</v>
          </cell>
          <cell r="D2760" t="str">
            <v>CORE</v>
          </cell>
          <cell r="E2760" t="str">
            <v>CO26</v>
          </cell>
          <cell r="F2760">
            <v>2599</v>
          </cell>
          <cell r="G2760" t="str">
            <v>US</v>
          </cell>
          <cell r="H2760" t="str">
            <v>USPUSMTRO</v>
          </cell>
          <cell r="I2760" t="str">
            <v>USTRO1580D002</v>
          </cell>
          <cell r="J2760" t="str">
            <v>30</v>
          </cell>
          <cell r="K2760" t="str">
            <v>TROUSER</v>
          </cell>
          <cell r="L2760" t="str">
            <v>NOD</v>
          </cell>
        </row>
        <row r="2761">
          <cell r="C2761" t="str">
            <v>USTRO1580D</v>
          </cell>
          <cell r="D2761" t="str">
            <v>CORE</v>
          </cell>
          <cell r="E2761" t="str">
            <v>CO26</v>
          </cell>
          <cell r="F2761">
            <v>2599</v>
          </cell>
          <cell r="G2761" t="str">
            <v>US</v>
          </cell>
          <cell r="H2761" t="str">
            <v>USPUSMTRO</v>
          </cell>
          <cell r="I2761" t="str">
            <v>USTRO1580D003</v>
          </cell>
          <cell r="J2761" t="str">
            <v>32</v>
          </cell>
          <cell r="K2761" t="str">
            <v>TROUSER</v>
          </cell>
          <cell r="L2761" t="str">
            <v>NOD</v>
          </cell>
        </row>
        <row r="2762">
          <cell r="C2762" t="str">
            <v>USTRO1580D</v>
          </cell>
          <cell r="D2762" t="str">
            <v>CORE</v>
          </cell>
          <cell r="E2762" t="str">
            <v>CO26</v>
          </cell>
          <cell r="F2762">
            <v>2599</v>
          </cell>
          <cell r="G2762" t="str">
            <v>US</v>
          </cell>
          <cell r="H2762" t="str">
            <v>USPUSMTRO</v>
          </cell>
          <cell r="I2762" t="str">
            <v>USTRO1580D004</v>
          </cell>
          <cell r="J2762" t="str">
            <v>34</v>
          </cell>
          <cell r="K2762" t="str">
            <v>TROUSER</v>
          </cell>
          <cell r="L2762" t="str">
            <v>NOD</v>
          </cell>
        </row>
        <row r="2763">
          <cell r="C2763" t="str">
            <v>USTRO1580D</v>
          </cell>
          <cell r="D2763" t="str">
            <v>CORE</v>
          </cell>
          <cell r="E2763" t="str">
            <v>CO26</v>
          </cell>
          <cell r="F2763">
            <v>2599</v>
          </cell>
          <cell r="G2763" t="str">
            <v>US</v>
          </cell>
          <cell r="H2763" t="str">
            <v>USPUSMTRO</v>
          </cell>
          <cell r="I2763" t="str">
            <v>USTRO1580D005</v>
          </cell>
          <cell r="J2763" t="str">
            <v>36</v>
          </cell>
          <cell r="K2763" t="str">
            <v>TROUSER</v>
          </cell>
          <cell r="L2763" t="str">
            <v>NOD</v>
          </cell>
        </row>
        <row r="2764">
          <cell r="C2764" t="str">
            <v>USTRO1580D</v>
          </cell>
          <cell r="D2764" t="str">
            <v>CORE</v>
          </cell>
          <cell r="E2764" t="str">
            <v>CO26</v>
          </cell>
          <cell r="F2764">
            <v>2599</v>
          </cell>
          <cell r="G2764" t="str">
            <v>US</v>
          </cell>
          <cell r="H2764" t="str">
            <v>USPUSMTRO</v>
          </cell>
          <cell r="I2764" t="str">
            <v>USTRO1580D006</v>
          </cell>
          <cell r="J2764" t="str">
            <v>38</v>
          </cell>
          <cell r="K2764" t="str">
            <v>TROUSER</v>
          </cell>
          <cell r="L2764" t="str">
            <v>NOD</v>
          </cell>
        </row>
        <row r="2765">
          <cell r="C2765" t="str">
            <v>USTRO1580D</v>
          </cell>
          <cell r="D2765" t="str">
            <v>CORE</v>
          </cell>
          <cell r="E2765" t="str">
            <v>CO26</v>
          </cell>
          <cell r="F2765">
            <v>2599</v>
          </cell>
          <cell r="G2765" t="str">
            <v>US</v>
          </cell>
          <cell r="H2765" t="str">
            <v>USPUSMTRO</v>
          </cell>
          <cell r="I2765" t="str">
            <v>USTRO1580D007</v>
          </cell>
          <cell r="J2765" t="str">
            <v>40</v>
          </cell>
          <cell r="K2765" t="str">
            <v>TROUSER</v>
          </cell>
          <cell r="L2765" t="str">
            <v>NOD</v>
          </cell>
        </row>
        <row r="2766">
          <cell r="C2766" t="str">
            <v>USTRO1580D</v>
          </cell>
          <cell r="D2766" t="str">
            <v>CORE</v>
          </cell>
          <cell r="E2766" t="str">
            <v>CO26</v>
          </cell>
          <cell r="F2766">
            <v>2599</v>
          </cell>
          <cell r="G2766" t="str">
            <v>US</v>
          </cell>
          <cell r="H2766" t="str">
            <v>USPUSMTRO</v>
          </cell>
          <cell r="I2766" t="str">
            <v>USTRO1580D008</v>
          </cell>
          <cell r="J2766" t="str">
            <v>42</v>
          </cell>
          <cell r="K2766" t="str">
            <v>TROUSER</v>
          </cell>
          <cell r="L2766" t="str">
            <v>NOD</v>
          </cell>
        </row>
        <row r="2767">
          <cell r="C2767" t="str">
            <v>USTRO1580D</v>
          </cell>
          <cell r="D2767" t="str">
            <v>CORE</v>
          </cell>
          <cell r="E2767" t="str">
            <v>CO26</v>
          </cell>
          <cell r="F2767">
            <v>2799</v>
          </cell>
          <cell r="G2767" t="str">
            <v>US</v>
          </cell>
          <cell r="H2767" t="str">
            <v>USPUSMTRO</v>
          </cell>
          <cell r="I2767" t="str">
            <v>USTRO1580D009</v>
          </cell>
          <cell r="J2767" t="str">
            <v>44</v>
          </cell>
          <cell r="K2767" t="str">
            <v>TROUSER</v>
          </cell>
          <cell r="L2767" t="str">
            <v>NOD</v>
          </cell>
        </row>
        <row r="2768">
          <cell r="C2768" t="str">
            <v>USTRO1580D</v>
          </cell>
          <cell r="D2768" t="str">
            <v>CORE</v>
          </cell>
          <cell r="E2768" t="str">
            <v>CO26</v>
          </cell>
          <cell r="F2768">
            <v>2799</v>
          </cell>
          <cell r="G2768" t="str">
            <v>US</v>
          </cell>
          <cell r="H2768" t="str">
            <v>USPUSMTRO</v>
          </cell>
          <cell r="I2768" t="str">
            <v>USTRO1580D010</v>
          </cell>
          <cell r="J2768" t="str">
            <v>46</v>
          </cell>
          <cell r="K2768" t="str">
            <v>TROUSER</v>
          </cell>
          <cell r="L2768" t="str">
            <v>NOD</v>
          </cell>
        </row>
        <row r="2769">
          <cell r="C2769" t="str">
            <v>USTRO1580D</v>
          </cell>
          <cell r="D2769" t="str">
            <v>CORE</v>
          </cell>
          <cell r="E2769" t="str">
            <v>CO26</v>
          </cell>
          <cell r="F2769">
            <v>2799</v>
          </cell>
          <cell r="G2769" t="str">
            <v>US</v>
          </cell>
          <cell r="H2769" t="str">
            <v>USPUSMTRO</v>
          </cell>
          <cell r="I2769" t="str">
            <v>USTRO1580D011</v>
          </cell>
          <cell r="J2769" t="str">
            <v>48</v>
          </cell>
          <cell r="K2769" t="str">
            <v>TROUSER</v>
          </cell>
          <cell r="L2769" t="str">
            <v>NOD</v>
          </cell>
        </row>
        <row r="2770">
          <cell r="C2770" t="str">
            <v>USTRO1580D</v>
          </cell>
          <cell r="D2770" t="str">
            <v>CORE</v>
          </cell>
          <cell r="E2770" t="str">
            <v>CO26</v>
          </cell>
          <cell r="F2770">
            <v>2799</v>
          </cell>
          <cell r="G2770" t="str">
            <v>US</v>
          </cell>
          <cell r="H2770" t="str">
            <v>USPUSMTRO</v>
          </cell>
          <cell r="I2770" t="str">
            <v>USTRO1580D012</v>
          </cell>
          <cell r="J2770" t="str">
            <v>50</v>
          </cell>
          <cell r="K2770" t="str">
            <v>TROUSER</v>
          </cell>
          <cell r="L2770" t="str">
            <v>NOD</v>
          </cell>
        </row>
        <row r="2771">
          <cell r="C2771" t="str">
            <v>USTRO1580S</v>
          </cell>
          <cell r="D2771" t="str">
            <v>CORE</v>
          </cell>
          <cell r="E2771" t="str">
            <v>CO26</v>
          </cell>
          <cell r="F2771">
            <v>2599</v>
          </cell>
          <cell r="G2771" t="str">
            <v>US</v>
          </cell>
          <cell r="H2771" t="str">
            <v>USPUSMTRO</v>
          </cell>
          <cell r="I2771" t="str">
            <v>USTRO1580S001</v>
          </cell>
          <cell r="J2771" t="str">
            <v>28</v>
          </cell>
          <cell r="K2771" t="str">
            <v>TROUSER</v>
          </cell>
          <cell r="L2771" t="str">
            <v>NOD</v>
          </cell>
        </row>
        <row r="2772">
          <cell r="C2772" t="str">
            <v>USTRO1580S</v>
          </cell>
          <cell r="D2772" t="str">
            <v>CORE</v>
          </cell>
          <cell r="E2772" t="str">
            <v>CO26</v>
          </cell>
          <cell r="F2772">
            <v>2599</v>
          </cell>
          <cell r="G2772" t="str">
            <v>US</v>
          </cell>
          <cell r="H2772" t="str">
            <v>USPUSMTRO</v>
          </cell>
          <cell r="I2772" t="str">
            <v>USTRO1580S002</v>
          </cell>
          <cell r="J2772" t="str">
            <v>30</v>
          </cell>
          <cell r="K2772" t="str">
            <v>TROUSER</v>
          </cell>
          <cell r="L2772" t="str">
            <v>NOD</v>
          </cell>
        </row>
        <row r="2773">
          <cell r="C2773" t="str">
            <v>USTRO1580S</v>
          </cell>
          <cell r="D2773" t="str">
            <v>CORE</v>
          </cell>
          <cell r="E2773" t="str">
            <v>CO26</v>
          </cell>
          <cell r="F2773">
            <v>2599</v>
          </cell>
          <cell r="G2773" t="str">
            <v>US</v>
          </cell>
          <cell r="H2773" t="str">
            <v>USPUSMTRO</v>
          </cell>
          <cell r="I2773" t="str">
            <v>USTRO1580S003</v>
          </cell>
          <cell r="J2773" t="str">
            <v>32</v>
          </cell>
          <cell r="K2773" t="str">
            <v>TROUSER</v>
          </cell>
          <cell r="L2773" t="str">
            <v>NOD</v>
          </cell>
        </row>
        <row r="2774">
          <cell r="C2774" t="str">
            <v>USTRO1580S</v>
          </cell>
          <cell r="D2774" t="str">
            <v>CORE</v>
          </cell>
          <cell r="E2774" t="str">
            <v>CO26</v>
          </cell>
          <cell r="F2774">
            <v>2599</v>
          </cell>
          <cell r="G2774" t="str">
            <v>US</v>
          </cell>
          <cell r="H2774" t="str">
            <v>USPUSMTRO</v>
          </cell>
          <cell r="I2774" t="str">
            <v>USTRO1580S004</v>
          </cell>
          <cell r="J2774" t="str">
            <v>34</v>
          </cell>
          <cell r="K2774" t="str">
            <v>TROUSER</v>
          </cell>
          <cell r="L2774" t="str">
            <v>NOD</v>
          </cell>
        </row>
        <row r="2775">
          <cell r="C2775" t="str">
            <v>USTRO1580S</v>
          </cell>
          <cell r="D2775" t="str">
            <v>CORE</v>
          </cell>
          <cell r="E2775" t="str">
            <v>CO26</v>
          </cell>
          <cell r="F2775">
            <v>2599</v>
          </cell>
          <cell r="G2775" t="str">
            <v>US</v>
          </cell>
          <cell r="H2775" t="str">
            <v>USPUSMTRO</v>
          </cell>
          <cell r="I2775" t="str">
            <v>USTRO1580S005</v>
          </cell>
          <cell r="J2775" t="str">
            <v>36</v>
          </cell>
          <cell r="K2775" t="str">
            <v>TROUSER</v>
          </cell>
          <cell r="L2775" t="str">
            <v>NOD</v>
          </cell>
        </row>
        <row r="2776">
          <cell r="C2776" t="str">
            <v>USTRO1580S</v>
          </cell>
          <cell r="D2776" t="str">
            <v>CORE</v>
          </cell>
          <cell r="E2776" t="str">
            <v>CO26</v>
          </cell>
          <cell r="F2776">
            <v>2599</v>
          </cell>
          <cell r="G2776" t="str">
            <v>US</v>
          </cell>
          <cell r="H2776" t="str">
            <v>USPUSMTRO</v>
          </cell>
          <cell r="I2776" t="str">
            <v>USTRO1580S006</v>
          </cell>
          <cell r="J2776" t="str">
            <v>38</v>
          </cell>
          <cell r="K2776" t="str">
            <v>TROUSER</v>
          </cell>
          <cell r="L2776" t="str">
            <v>NOD</v>
          </cell>
        </row>
        <row r="2777">
          <cell r="C2777" t="str">
            <v>USTRO1580S</v>
          </cell>
          <cell r="D2777" t="str">
            <v>CORE</v>
          </cell>
          <cell r="E2777" t="str">
            <v>CO26</v>
          </cell>
          <cell r="F2777">
            <v>2599</v>
          </cell>
          <cell r="G2777" t="str">
            <v>US</v>
          </cell>
          <cell r="H2777" t="str">
            <v>USPUSMTRO</v>
          </cell>
          <cell r="I2777" t="str">
            <v>USTRO1580S007</v>
          </cell>
          <cell r="J2777" t="str">
            <v>40</v>
          </cell>
          <cell r="K2777" t="str">
            <v>TROUSER</v>
          </cell>
          <cell r="L2777" t="str">
            <v>NOD</v>
          </cell>
        </row>
        <row r="2778">
          <cell r="C2778" t="str">
            <v>USTRO1580S</v>
          </cell>
          <cell r="D2778" t="str">
            <v>CORE</v>
          </cell>
          <cell r="E2778" t="str">
            <v>CO26</v>
          </cell>
          <cell r="F2778">
            <v>2599</v>
          </cell>
          <cell r="G2778" t="str">
            <v>US</v>
          </cell>
          <cell r="H2778" t="str">
            <v>USPUSMTRO</v>
          </cell>
          <cell r="I2778" t="str">
            <v>USTRO1580S008</v>
          </cell>
          <cell r="J2778" t="str">
            <v>42</v>
          </cell>
          <cell r="K2778" t="str">
            <v>TROUSER</v>
          </cell>
          <cell r="L2778" t="str">
            <v>NOD</v>
          </cell>
        </row>
        <row r="2779">
          <cell r="C2779" t="str">
            <v>USTRO1580S</v>
          </cell>
          <cell r="D2779" t="str">
            <v>CORE</v>
          </cell>
          <cell r="E2779" t="str">
            <v>CO26</v>
          </cell>
          <cell r="F2779">
            <v>2799</v>
          </cell>
          <cell r="G2779" t="str">
            <v>US</v>
          </cell>
          <cell r="H2779" t="str">
            <v>USPUSMTRO</v>
          </cell>
          <cell r="I2779" t="str">
            <v>USTRO1580S009</v>
          </cell>
          <cell r="J2779" t="str">
            <v>44</v>
          </cell>
          <cell r="K2779" t="str">
            <v>TROUSER</v>
          </cell>
          <cell r="L2779" t="str">
            <v>NOD</v>
          </cell>
        </row>
        <row r="2780">
          <cell r="C2780" t="str">
            <v>USTRO1580S</v>
          </cell>
          <cell r="D2780" t="str">
            <v>CORE</v>
          </cell>
          <cell r="E2780" t="str">
            <v>CO26</v>
          </cell>
          <cell r="F2780">
            <v>2799</v>
          </cell>
          <cell r="G2780" t="str">
            <v>US</v>
          </cell>
          <cell r="H2780" t="str">
            <v>USPUSMTRO</v>
          </cell>
          <cell r="I2780" t="str">
            <v>USTRO1580S010</v>
          </cell>
          <cell r="J2780" t="str">
            <v>46</v>
          </cell>
          <cell r="K2780" t="str">
            <v>TROUSER</v>
          </cell>
          <cell r="L2780" t="str">
            <v>NOD</v>
          </cell>
        </row>
        <row r="2781">
          <cell r="C2781" t="str">
            <v>USTRO1580S</v>
          </cell>
          <cell r="D2781" t="str">
            <v>CORE</v>
          </cell>
          <cell r="E2781" t="str">
            <v>CO26</v>
          </cell>
          <cell r="F2781">
            <v>2799</v>
          </cell>
          <cell r="G2781" t="str">
            <v>US</v>
          </cell>
          <cell r="H2781" t="str">
            <v>USPUSMTRO</v>
          </cell>
          <cell r="I2781" t="str">
            <v>USTRO1580S011</v>
          </cell>
          <cell r="J2781" t="str">
            <v>48</v>
          </cell>
          <cell r="K2781" t="str">
            <v>TROUSER</v>
          </cell>
          <cell r="L2781" t="str">
            <v>NOD</v>
          </cell>
        </row>
        <row r="2782">
          <cell r="C2782" t="str">
            <v>USTRO1580S</v>
          </cell>
          <cell r="D2782" t="str">
            <v>CORE</v>
          </cell>
          <cell r="E2782" t="str">
            <v>CO26</v>
          </cell>
          <cell r="F2782">
            <v>2799</v>
          </cell>
          <cell r="G2782" t="str">
            <v>US</v>
          </cell>
          <cell r="H2782" t="str">
            <v>USPUSMTRO</v>
          </cell>
          <cell r="I2782" t="str">
            <v>USTRO1580S012</v>
          </cell>
          <cell r="J2782" t="str">
            <v>50</v>
          </cell>
          <cell r="K2782" t="str">
            <v>TROUSER</v>
          </cell>
          <cell r="L2782" t="str">
            <v>NOD</v>
          </cell>
        </row>
        <row r="2783">
          <cell r="C2783" t="str">
            <v>USTRO1581</v>
          </cell>
          <cell r="D2783" t="str">
            <v>CORE</v>
          </cell>
          <cell r="E2783" t="str">
            <v>CO26</v>
          </cell>
          <cell r="F2783">
            <v>2599</v>
          </cell>
          <cell r="G2783" t="str">
            <v>US</v>
          </cell>
          <cell r="H2783" t="str">
            <v>USPUSMTRO</v>
          </cell>
          <cell r="I2783" t="str">
            <v>USTRO1581001</v>
          </cell>
          <cell r="J2783" t="str">
            <v>28</v>
          </cell>
          <cell r="K2783" t="str">
            <v>TROUSER</v>
          </cell>
          <cell r="L2783" t="str">
            <v>NOD</v>
          </cell>
        </row>
        <row r="2784">
          <cell r="C2784" t="str">
            <v>USTRO1581</v>
          </cell>
          <cell r="D2784" t="str">
            <v>CORE</v>
          </cell>
          <cell r="E2784" t="str">
            <v>CO26</v>
          </cell>
          <cell r="F2784">
            <v>2599</v>
          </cell>
          <cell r="G2784" t="str">
            <v>US</v>
          </cell>
          <cell r="H2784" t="str">
            <v>USPUSMTRO</v>
          </cell>
          <cell r="I2784" t="str">
            <v>USTRO1581002</v>
          </cell>
          <cell r="J2784" t="str">
            <v>30</v>
          </cell>
          <cell r="K2784" t="str">
            <v>TROUSER</v>
          </cell>
          <cell r="L2784" t="str">
            <v>NOD</v>
          </cell>
        </row>
        <row r="2785">
          <cell r="C2785" t="str">
            <v>USTRO1581</v>
          </cell>
          <cell r="D2785" t="str">
            <v>CORE</v>
          </cell>
          <cell r="E2785" t="str">
            <v>CO26</v>
          </cell>
          <cell r="F2785">
            <v>2599</v>
          </cell>
          <cell r="G2785" t="str">
            <v>US</v>
          </cell>
          <cell r="H2785" t="str">
            <v>USPUSMTRO</v>
          </cell>
          <cell r="I2785" t="str">
            <v>USTRO1581003</v>
          </cell>
          <cell r="J2785" t="str">
            <v>32</v>
          </cell>
          <cell r="K2785" t="str">
            <v>TROUSER</v>
          </cell>
          <cell r="L2785" t="str">
            <v>NOD</v>
          </cell>
        </row>
        <row r="2786">
          <cell r="C2786" t="str">
            <v>USTRO1581</v>
          </cell>
          <cell r="D2786" t="str">
            <v>CORE</v>
          </cell>
          <cell r="E2786" t="str">
            <v>CO26</v>
          </cell>
          <cell r="F2786">
            <v>2599</v>
          </cell>
          <cell r="G2786" t="str">
            <v>US</v>
          </cell>
          <cell r="H2786" t="str">
            <v>USPUSMTRO</v>
          </cell>
          <cell r="I2786" t="str">
            <v>USTRO1581004</v>
          </cell>
          <cell r="J2786" t="str">
            <v>34</v>
          </cell>
          <cell r="K2786" t="str">
            <v>TROUSER</v>
          </cell>
          <cell r="L2786" t="str">
            <v>NOD</v>
          </cell>
        </row>
        <row r="2787">
          <cell r="C2787" t="str">
            <v>USTRO1581</v>
          </cell>
          <cell r="D2787" t="str">
            <v>CORE</v>
          </cell>
          <cell r="E2787" t="str">
            <v>CO26</v>
          </cell>
          <cell r="F2787">
            <v>2599</v>
          </cell>
          <cell r="G2787" t="str">
            <v>US</v>
          </cell>
          <cell r="H2787" t="str">
            <v>USPUSMTRO</v>
          </cell>
          <cell r="I2787" t="str">
            <v>USTRO1581005</v>
          </cell>
          <cell r="J2787" t="str">
            <v>36</v>
          </cell>
          <cell r="K2787" t="str">
            <v>TROUSER</v>
          </cell>
          <cell r="L2787" t="str">
            <v>NOD</v>
          </cell>
        </row>
        <row r="2788">
          <cell r="C2788" t="str">
            <v>USTRO1581</v>
          </cell>
          <cell r="D2788" t="str">
            <v>CORE</v>
          </cell>
          <cell r="E2788" t="str">
            <v>CO26</v>
          </cell>
          <cell r="F2788">
            <v>2599</v>
          </cell>
          <cell r="G2788" t="str">
            <v>US</v>
          </cell>
          <cell r="H2788" t="str">
            <v>USPUSMTRO</v>
          </cell>
          <cell r="I2788" t="str">
            <v>USTRO1581006</v>
          </cell>
          <cell r="J2788" t="str">
            <v>38</v>
          </cell>
          <cell r="K2788" t="str">
            <v>TROUSER</v>
          </cell>
          <cell r="L2788" t="str">
            <v>NOD</v>
          </cell>
        </row>
        <row r="2789">
          <cell r="C2789" t="str">
            <v>USTRO1581</v>
          </cell>
          <cell r="D2789" t="str">
            <v>CORE</v>
          </cell>
          <cell r="E2789" t="str">
            <v>CO26</v>
          </cell>
          <cell r="F2789">
            <v>2599</v>
          </cell>
          <cell r="G2789" t="str">
            <v>US</v>
          </cell>
          <cell r="H2789" t="str">
            <v>USPUSMTRO</v>
          </cell>
          <cell r="I2789" t="str">
            <v>USTRO1581007</v>
          </cell>
          <cell r="J2789" t="str">
            <v>40</v>
          </cell>
          <cell r="K2789" t="str">
            <v>TROUSER</v>
          </cell>
          <cell r="L2789" t="str">
            <v>NOD</v>
          </cell>
        </row>
        <row r="2790">
          <cell r="C2790" t="str">
            <v>USTRO1581</v>
          </cell>
          <cell r="D2790" t="str">
            <v>CORE</v>
          </cell>
          <cell r="E2790" t="str">
            <v>CO26</v>
          </cell>
          <cell r="F2790">
            <v>2599</v>
          </cell>
          <cell r="G2790" t="str">
            <v>US</v>
          </cell>
          <cell r="H2790" t="str">
            <v>USPUSMTRO</v>
          </cell>
          <cell r="I2790" t="str">
            <v>USTRO1581008</v>
          </cell>
          <cell r="J2790" t="str">
            <v>42</v>
          </cell>
          <cell r="K2790" t="str">
            <v>TROUSER</v>
          </cell>
          <cell r="L2790" t="str">
            <v>NOD</v>
          </cell>
        </row>
        <row r="2791">
          <cell r="C2791" t="str">
            <v>USTRO1581</v>
          </cell>
          <cell r="D2791" t="str">
            <v>CORE</v>
          </cell>
          <cell r="E2791" t="str">
            <v>CO26</v>
          </cell>
          <cell r="F2791">
            <v>2799</v>
          </cell>
          <cell r="G2791" t="str">
            <v>US</v>
          </cell>
          <cell r="H2791" t="str">
            <v>USPUSMTRO</v>
          </cell>
          <cell r="I2791" t="str">
            <v>USTRO1581009</v>
          </cell>
          <cell r="J2791" t="str">
            <v>44</v>
          </cell>
          <cell r="K2791" t="str">
            <v>TROUSER</v>
          </cell>
          <cell r="L2791" t="str">
            <v>NOD</v>
          </cell>
        </row>
        <row r="2792">
          <cell r="C2792" t="str">
            <v>USTRO1581</v>
          </cell>
          <cell r="D2792" t="str">
            <v>CORE</v>
          </cell>
          <cell r="E2792" t="str">
            <v>CO26</v>
          </cell>
          <cell r="F2792">
            <v>2799</v>
          </cell>
          <cell r="G2792" t="str">
            <v>US</v>
          </cell>
          <cell r="H2792" t="str">
            <v>USPUSMTRO</v>
          </cell>
          <cell r="I2792" t="str">
            <v>USTRO1581010</v>
          </cell>
          <cell r="J2792" t="str">
            <v>46</v>
          </cell>
          <cell r="K2792" t="str">
            <v>TROUSER</v>
          </cell>
          <cell r="L2792" t="str">
            <v>NOD</v>
          </cell>
        </row>
        <row r="2793">
          <cell r="C2793" t="str">
            <v>USTRO1581</v>
          </cell>
          <cell r="D2793" t="str">
            <v>CORE</v>
          </cell>
          <cell r="E2793" t="str">
            <v>CO26</v>
          </cell>
          <cell r="F2793">
            <v>2799</v>
          </cell>
          <cell r="G2793" t="str">
            <v>US</v>
          </cell>
          <cell r="H2793" t="str">
            <v>USPUSMTRO</v>
          </cell>
          <cell r="I2793" t="str">
            <v>USTRO1581011</v>
          </cell>
          <cell r="J2793" t="str">
            <v>48</v>
          </cell>
          <cell r="K2793" t="str">
            <v>TROUSER</v>
          </cell>
          <cell r="L2793" t="str">
            <v>NOD</v>
          </cell>
        </row>
        <row r="2794">
          <cell r="C2794" t="str">
            <v>USTRO1581</v>
          </cell>
          <cell r="D2794" t="str">
            <v>CORE</v>
          </cell>
          <cell r="E2794" t="str">
            <v>CO26</v>
          </cell>
          <cell r="F2794">
            <v>2799</v>
          </cell>
          <cell r="G2794" t="str">
            <v>US</v>
          </cell>
          <cell r="H2794" t="str">
            <v>USPUSMTRO</v>
          </cell>
          <cell r="I2794" t="str">
            <v>USTRO1581012</v>
          </cell>
          <cell r="J2794" t="str">
            <v>50</v>
          </cell>
          <cell r="K2794" t="str">
            <v>TROUSER</v>
          </cell>
          <cell r="L2794" t="str">
            <v>NOD</v>
          </cell>
        </row>
        <row r="2795">
          <cell r="C2795" t="str">
            <v>USTRO1581D</v>
          </cell>
          <cell r="D2795" t="str">
            <v>CORE</v>
          </cell>
          <cell r="E2795" t="str">
            <v>CO26</v>
          </cell>
          <cell r="F2795">
            <v>2599</v>
          </cell>
          <cell r="G2795" t="str">
            <v>US</v>
          </cell>
          <cell r="H2795" t="str">
            <v>USPUSMTRO</v>
          </cell>
          <cell r="I2795" t="str">
            <v>USTRO1581D001</v>
          </cell>
          <cell r="J2795" t="str">
            <v>28</v>
          </cell>
          <cell r="K2795" t="str">
            <v>TROUSER</v>
          </cell>
          <cell r="L2795" t="str">
            <v>NOD</v>
          </cell>
        </row>
        <row r="2796">
          <cell r="C2796" t="str">
            <v>USTRO1581D</v>
          </cell>
          <cell r="D2796" t="str">
            <v>CORE</v>
          </cell>
          <cell r="E2796" t="str">
            <v>CO26</v>
          </cell>
          <cell r="F2796">
            <v>2599</v>
          </cell>
          <cell r="G2796" t="str">
            <v>US</v>
          </cell>
          <cell r="H2796" t="str">
            <v>USPUSMTRO</v>
          </cell>
          <cell r="I2796" t="str">
            <v>USTRO1581D002</v>
          </cell>
          <cell r="J2796" t="str">
            <v>30</v>
          </cell>
          <cell r="K2796" t="str">
            <v>TROUSER</v>
          </cell>
          <cell r="L2796" t="str">
            <v>NOD</v>
          </cell>
        </row>
        <row r="2797">
          <cell r="C2797" t="str">
            <v>USTRO1581D</v>
          </cell>
          <cell r="D2797" t="str">
            <v>CORE</v>
          </cell>
          <cell r="E2797" t="str">
            <v>CO26</v>
          </cell>
          <cell r="F2797">
            <v>2599</v>
          </cell>
          <cell r="G2797" t="str">
            <v>US</v>
          </cell>
          <cell r="H2797" t="str">
            <v>USPUSMTRO</v>
          </cell>
          <cell r="I2797" t="str">
            <v>USTRO1581D003</v>
          </cell>
          <cell r="J2797" t="str">
            <v>32</v>
          </cell>
          <cell r="K2797" t="str">
            <v>TROUSER</v>
          </cell>
          <cell r="L2797" t="str">
            <v>NOD</v>
          </cell>
        </row>
        <row r="2798">
          <cell r="C2798" t="str">
            <v>USTRO1581D</v>
          </cell>
          <cell r="D2798" t="str">
            <v>CORE</v>
          </cell>
          <cell r="E2798" t="str">
            <v>CO26</v>
          </cell>
          <cell r="F2798">
            <v>2599</v>
          </cell>
          <cell r="G2798" t="str">
            <v>US</v>
          </cell>
          <cell r="H2798" t="str">
            <v>USPUSMTRO</v>
          </cell>
          <cell r="I2798" t="str">
            <v>USTRO1581D004</v>
          </cell>
          <cell r="J2798" t="str">
            <v>34</v>
          </cell>
          <cell r="K2798" t="str">
            <v>TROUSER</v>
          </cell>
          <cell r="L2798" t="str">
            <v>NOD</v>
          </cell>
        </row>
        <row r="2799">
          <cell r="C2799" t="str">
            <v>USTRO1581D</v>
          </cell>
          <cell r="D2799" t="str">
            <v>CORE</v>
          </cell>
          <cell r="E2799" t="str">
            <v>CO26</v>
          </cell>
          <cell r="F2799">
            <v>2599</v>
          </cell>
          <cell r="G2799" t="str">
            <v>US</v>
          </cell>
          <cell r="H2799" t="str">
            <v>USPUSMTRO</v>
          </cell>
          <cell r="I2799" t="str">
            <v>USTRO1581D005</v>
          </cell>
          <cell r="J2799" t="str">
            <v>36</v>
          </cell>
          <cell r="K2799" t="str">
            <v>TROUSER</v>
          </cell>
          <cell r="L2799" t="str">
            <v>NOD</v>
          </cell>
        </row>
        <row r="2800">
          <cell r="C2800" t="str">
            <v>USTRO1581D</v>
          </cell>
          <cell r="D2800" t="str">
            <v>CORE</v>
          </cell>
          <cell r="E2800" t="str">
            <v>CO26</v>
          </cell>
          <cell r="F2800">
            <v>2599</v>
          </cell>
          <cell r="G2800" t="str">
            <v>US</v>
          </cell>
          <cell r="H2800" t="str">
            <v>USPUSMTRO</v>
          </cell>
          <cell r="I2800" t="str">
            <v>USTRO1581D006</v>
          </cell>
          <cell r="J2800" t="str">
            <v>38</v>
          </cell>
          <cell r="K2800" t="str">
            <v>TROUSER</v>
          </cell>
          <cell r="L2800" t="str">
            <v>NOD</v>
          </cell>
        </row>
        <row r="2801">
          <cell r="C2801" t="str">
            <v>USTRO1581D</v>
          </cell>
          <cell r="D2801" t="str">
            <v>CORE</v>
          </cell>
          <cell r="E2801" t="str">
            <v>CO26</v>
          </cell>
          <cell r="F2801">
            <v>2599</v>
          </cell>
          <cell r="G2801" t="str">
            <v>US</v>
          </cell>
          <cell r="H2801" t="str">
            <v>USPUSMTRO</v>
          </cell>
          <cell r="I2801" t="str">
            <v>USTRO1581D007</v>
          </cell>
          <cell r="J2801" t="str">
            <v>40</v>
          </cell>
          <cell r="K2801" t="str">
            <v>TROUSER</v>
          </cell>
          <cell r="L2801" t="str">
            <v>NOD</v>
          </cell>
        </row>
        <row r="2802">
          <cell r="C2802" t="str">
            <v>USTRO1581D</v>
          </cell>
          <cell r="D2802" t="str">
            <v>CORE</v>
          </cell>
          <cell r="E2802" t="str">
            <v>CO26</v>
          </cell>
          <cell r="F2802">
            <v>2599</v>
          </cell>
          <cell r="G2802" t="str">
            <v>US</v>
          </cell>
          <cell r="H2802" t="str">
            <v>USPUSMTRO</v>
          </cell>
          <cell r="I2802" t="str">
            <v>USTRO1581D008</v>
          </cell>
          <cell r="J2802" t="str">
            <v>42</v>
          </cell>
          <cell r="K2802" t="str">
            <v>TROUSER</v>
          </cell>
          <cell r="L2802" t="str">
            <v>NOD</v>
          </cell>
        </row>
        <row r="2803">
          <cell r="C2803" t="str">
            <v>USTRO1581D</v>
          </cell>
          <cell r="D2803" t="str">
            <v>CORE</v>
          </cell>
          <cell r="E2803" t="str">
            <v>CO26</v>
          </cell>
          <cell r="F2803">
            <v>2799</v>
          </cell>
          <cell r="G2803" t="str">
            <v>US</v>
          </cell>
          <cell r="H2803" t="str">
            <v>USPUSMTRO</v>
          </cell>
          <cell r="I2803" t="str">
            <v>USTRO1581D009</v>
          </cell>
          <cell r="J2803" t="str">
            <v>44</v>
          </cell>
          <cell r="K2803" t="str">
            <v>TROUSER</v>
          </cell>
          <cell r="L2803" t="str">
            <v>NOD</v>
          </cell>
        </row>
        <row r="2804">
          <cell r="C2804" t="str">
            <v>USTRO1581D</v>
          </cell>
          <cell r="D2804" t="str">
            <v>CORE</v>
          </cell>
          <cell r="E2804" t="str">
            <v>CO26</v>
          </cell>
          <cell r="F2804">
            <v>2799</v>
          </cell>
          <cell r="G2804" t="str">
            <v>US</v>
          </cell>
          <cell r="H2804" t="str">
            <v>USPUSMTRO</v>
          </cell>
          <cell r="I2804" t="str">
            <v>USTRO1581D010</v>
          </cell>
          <cell r="J2804" t="str">
            <v>46</v>
          </cell>
          <cell r="K2804" t="str">
            <v>TROUSER</v>
          </cell>
          <cell r="L2804" t="str">
            <v>NOD</v>
          </cell>
        </row>
        <row r="2805">
          <cell r="C2805" t="str">
            <v>USTRO1581D</v>
          </cell>
          <cell r="D2805" t="str">
            <v>CORE</v>
          </cell>
          <cell r="E2805" t="str">
            <v>CO26</v>
          </cell>
          <cell r="F2805">
            <v>2799</v>
          </cell>
          <cell r="G2805" t="str">
            <v>US</v>
          </cell>
          <cell r="H2805" t="str">
            <v>USPUSMTRO</v>
          </cell>
          <cell r="I2805" t="str">
            <v>USTRO1581D011</v>
          </cell>
          <cell r="J2805" t="str">
            <v>48</v>
          </cell>
          <cell r="K2805" t="str">
            <v>TROUSER</v>
          </cell>
          <cell r="L2805" t="str">
            <v>NOD</v>
          </cell>
        </row>
        <row r="2806">
          <cell r="C2806" t="str">
            <v>USTRO1581D</v>
          </cell>
          <cell r="D2806" t="str">
            <v>CORE</v>
          </cell>
          <cell r="E2806" t="str">
            <v>CO26</v>
          </cell>
          <cell r="F2806">
            <v>2799</v>
          </cell>
          <cell r="G2806" t="str">
            <v>US</v>
          </cell>
          <cell r="H2806" t="str">
            <v>USPUSMTRO</v>
          </cell>
          <cell r="I2806" t="str">
            <v>USTRO1581D012</v>
          </cell>
          <cell r="J2806" t="str">
            <v>50</v>
          </cell>
          <cell r="K2806" t="str">
            <v>TROUSER</v>
          </cell>
          <cell r="L2806" t="str">
            <v>NOD</v>
          </cell>
        </row>
        <row r="2807">
          <cell r="C2807" t="str">
            <v>USTRO1581S</v>
          </cell>
          <cell r="D2807" t="str">
            <v>OCOR</v>
          </cell>
          <cell r="E2807" t="str">
            <v>OC26</v>
          </cell>
          <cell r="F2807">
            <v>2599</v>
          </cell>
          <cell r="G2807" t="str">
            <v>US</v>
          </cell>
          <cell r="H2807" t="str">
            <v>USPUSMTRO</v>
          </cell>
          <cell r="I2807" t="str">
            <v>USTRO1581S001</v>
          </cell>
          <cell r="J2807" t="str">
            <v>28</v>
          </cell>
          <cell r="K2807" t="str">
            <v>TROUSER</v>
          </cell>
          <cell r="L2807" t="str">
            <v>NOD</v>
          </cell>
        </row>
        <row r="2808">
          <cell r="C2808" t="str">
            <v>USTRO1581S</v>
          </cell>
          <cell r="D2808" t="str">
            <v>OCOR</v>
          </cell>
          <cell r="E2808" t="str">
            <v>OC26</v>
          </cell>
          <cell r="F2808">
            <v>2599</v>
          </cell>
          <cell r="G2808" t="str">
            <v>US</v>
          </cell>
          <cell r="H2808" t="str">
            <v>USPUSMTRO</v>
          </cell>
          <cell r="I2808" t="str">
            <v>USTRO1581S002</v>
          </cell>
          <cell r="J2808" t="str">
            <v>30</v>
          </cell>
          <cell r="K2808" t="str">
            <v>TROUSER</v>
          </cell>
          <cell r="L2808" t="str">
            <v>NOD</v>
          </cell>
        </row>
        <row r="2809">
          <cell r="C2809" t="str">
            <v>USTRO1581S</v>
          </cell>
          <cell r="D2809" t="str">
            <v>OCOR</v>
          </cell>
          <cell r="E2809" t="str">
            <v>OC26</v>
          </cell>
          <cell r="F2809">
            <v>2599</v>
          </cell>
          <cell r="G2809" t="str">
            <v>US</v>
          </cell>
          <cell r="H2809" t="str">
            <v>USPUSMTRO</v>
          </cell>
          <cell r="I2809" t="str">
            <v>USTRO1581S003</v>
          </cell>
          <cell r="J2809" t="str">
            <v>32</v>
          </cell>
          <cell r="K2809" t="str">
            <v>TROUSER</v>
          </cell>
          <cell r="L2809" t="str">
            <v>NOD</v>
          </cell>
        </row>
        <row r="2810">
          <cell r="C2810" t="str">
            <v>USTRO1581S</v>
          </cell>
          <cell r="D2810" t="str">
            <v>OCOR</v>
          </cell>
          <cell r="E2810" t="str">
            <v>OC26</v>
          </cell>
          <cell r="F2810">
            <v>2599</v>
          </cell>
          <cell r="G2810" t="str">
            <v>US</v>
          </cell>
          <cell r="H2810" t="str">
            <v>USPUSMTRO</v>
          </cell>
          <cell r="I2810" t="str">
            <v>USTRO1581S004</v>
          </cell>
          <cell r="J2810" t="str">
            <v>34</v>
          </cell>
          <cell r="K2810" t="str">
            <v>TROUSER</v>
          </cell>
          <cell r="L2810" t="str">
            <v>NOD</v>
          </cell>
        </row>
        <row r="2811">
          <cell r="C2811" t="str">
            <v>USTRO1581S</v>
          </cell>
          <cell r="D2811" t="str">
            <v>OCOR</v>
          </cell>
          <cell r="E2811" t="str">
            <v>OC26</v>
          </cell>
          <cell r="F2811">
            <v>2599</v>
          </cell>
          <cell r="G2811" t="str">
            <v>US</v>
          </cell>
          <cell r="H2811" t="str">
            <v>USPUSMTRO</v>
          </cell>
          <cell r="I2811" t="str">
            <v>USTRO1581S005</v>
          </cell>
          <cell r="J2811" t="str">
            <v>36</v>
          </cell>
          <cell r="K2811" t="str">
            <v>TROUSER</v>
          </cell>
          <cell r="L2811" t="str">
            <v>NOD</v>
          </cell>
        </row>
        <row r="2812">
          <cell r="C2812" t="str">
            <v>USTRO1581S</v>
          </cell>
          <cell r="D2812" t="str">
            <v>OCOR</v>
          </cell>
          <cell r="E2812" t="str">
            <v>OC26</v>
          </cell>
          <cell r="F2812">
            <v>2599</v>
          </cell>
          <cell r="G2812" t="str">
            <v>US</v>
          </cell>
          <cell r="H2812" t="str">
            <v>USPUSMTRO</v>
          </cell>
          <cell r="I2812" t="str">
            <v>USTRO1581S006</v>
          </cell>
          <cell r="J2812" t="str">
            <v>38</v>
          </cell>
          <cell r="K2812" t="str">
            <v>TROUSER</v>
          </cell>
          <cell r="L2812" t="str">
            <v>NOD</v>
          </cell>
        </row>
        <row r="2813">
          <cell r="C2813" t="str">
            <v>USTRO1581S</v>
          </cell>
          <cell r="D2813" t="str">
            <v>OCOR</v>
          </cell>
          <cell r="E2813" t="str">
            <v>OC26</v>
          </cell>
          <cell r="F2813">
            <v>2599</v>
          </cell>
          <cell r="G2813" t="str">
            <v>US</v>
          </cell>
          <cell r="H2813" t="str">
            <v>USPUSMTRO</v>
          </cell>
          <cell r="I2813" t="str">
            <v>USTRO1581S007</v>
          </cell>
          <cell r="J2813" t="str">
            <v>40</v>
          </cell>
          <cell r="K2813" t="str">
            <v>TROUSER</v>
          </cell>
          <cell r="L2813" t="str">
            <v>NOD</v>
          </cell>
        </row>
        <row r="2814">
          <cell r="C2814" t="str">
            <v>USTRO1581S</v>
          </cell>
          <cell r="D2814" t="str">
            <v>OCOR</v>
          </cell>
          <cell r="E2814" t="str">
            <v>OC26</v>
          </cell>
          <cell r="F2814">
            <v>2599</v>
          </cell>
          <cell r="G2814" t="str">
            <v>US</v>
          </cell>
          <cell r="H2814" t="str">
            <v>USPUSMTRO</v>
          </cell>
          <cell r="I2814" t="str">
            <v>USTRO1581S008</v>
          </cell>
          <cell r="J2814" t="str">
            <v>42</v>
          </cell>
          <cell r="K2814" t="str">
            <v>TROUSER</v>
          </cell>
          <cell r="L2814" t="str">
            <v>NOD</v>
          </cell>
        </row>
        <row r="2815">
          <cell r="C2815" t="str">
            <v>USTRO1581S</v>
          </cell>
          <cell r="D2815" t="str">
            <v>OCOR</v>
          </cell>
          <cell r="E2815" t="str">
            <v>OC26</v>
          </cell>
          <cell r="F2815">
            <v>2799</v>
          </cell>
          <cell r="G2815" t="str">
            <v>US</v>
          </cell>
          <cell r="H2815" t="str">
            <v>USPUSMTRO</v>
          </cell>
          <cell r="I2815" t="str">
            <v>USTRO1581S009</v>
          </cell>
          <cell r="J2815" t="str">
            <v>44</v>
          </cell>
          <cell r="K2815" t="str">
            <v>TROUSER</v>
          </cell>
          <cell r="L2815" t="str">
            <v>NOD</v>
          </cell>
        </row>
        <row r="2816">
          <cell r="C2816" t="str">
            <v>USTRO1581S</v>
          </cell>
          <cell r="D2816" t="str">
            <v>OCOR</v>
          </cell>
          <cell r="E2816" t="str">
            <v>OC26</v>
          </cell>
          <cell r="F2816">
            <v>2799</v>
          </cell>
          <cell r="G2816" t="str">
            <v>US</v>
          </cell>
          <cell r="H2816" t="str">
            <v>USPUSMTRO</v>
          </cell>
          <cell r="I2816" t="str">
            <v>USTRO1581S010</v>
          </cell>
          <cell r="J2816" t="str">
            <v>46</v>
          </cell>
          <cell r="K2816" t="str">
            <v>TROUSER</v>
          </cell>
          <cell r="L2816" t="str">
            <v>NOD</v>
          </cell>
        </row>
        <row r="2817">
          <cell r="C2817" t="str">
            <v>USTRO1581S</v>
          </cell>
          <cell r="D2817" t="str">
            <v>OCOR</v>
          </cell>
          <cell r="E2817" t="str">
            <v>OC26</v>
          </cell>
          <cell r="F2817">
            <v>2799</v>
          </cell>
          <cell r="G2817" t="str">
            <v>US</v>
          </cell>
          <cell r="H2817" t="str">
            <v>USPUSMTRO</v>
          </cell>
          <cell r="I2817" t="str">
            <v>USTRO1581S011</v>
          </cell>
          <cell r="J2817" t="str">
            <v>48</v>
          </cell>
          <cell r="K2817" t="str">
            <v>TROUSER</v>
          </cell>
          <cell r="L2817" t="str">
            <v>NOD</v>
          </cell>
        </row>
        <row r="2818">
          <cell r="C2818" t="str">
            <v>USTRO1581S</v>
          </cell>
          <cell r="D2818" t="str">
            <v>OCOR</v>
          </cell>
          <cell r="E2818" t="str">
            <v>OC26</v>
          </cell>
          <cell r="F2818">
            <v>2799</v>
          </cell>
          <cell r="G2818" t="str">
            <v>US</v>
          </cell>
          <cell r="H2818" t="str">
            <v>USPUSMTRO</v>
          </cell>
          <cell r="I2818" t="str">
            <v>USTRO1581S012</v>
          </cell>
          <cell r="J2818" t="str">
            <v>50</v>
          </cell>
          <cell r="K2818" t="str">
            <v>TROUSER</v>
          </cell>
          <cell r="L2818" t="str">
            <v>NOD</v>
          </cell>
        </row>
        <row r="2819">
          <cell r="C2819" t="str">
            <v>USTRO1582</v>
          </cell>
          <cell r="D2819" t="str">
            <v>CORE</v>
          </cell>
          <cell r="E2819" t="str">
            <v>CO26</v>
          </cell>
          <cell r="F2819">
            <v>2599</v>
          </cell>
          <cell r="G2819" t="str">
            <v>US</v>
          </cell>
          <cell r="H2819" t="str">
            <v>USPUSMTRO</v>
          </cell>
          <cell r="I2819" t="str">
            <v>USTRO1582001</v>
          </cell>
          <cell r="J2819" t="str">
            <v>28</v>
          </cell>
          <cell r="K2819" t="str">
            <v>TROUSER</v>
          </cell>
          <cell r="L2819" t="str">
            <v>NOD</v>
          </cell>
        </row>
        <row r="2820">
          <cell r="C2820" t="str">
            <v>USTRO1582</v>
          </cell>
          <cell r="D2820" t="str">
            <v>CORE</v>
          </cell>
          <cell r="E2820" t="str">
            <v>CO26</v>
          </cell>
          <cell r="F2820">
            <v>2599</v>
          </cell>
          <cell r="G2820" t="str">
            <v>US</v>
          </cell>
          <cell r="H2820" t="str">
            <v>USPUSMTRO</v>
          </cell>
          <cell r="I2820" t="str">
            <v>USTRO1582002</v>
          </cell>
          <cell r="J2820" t="str">
            <v>30</v>
          </cell>
          <cell r="K2820" t="str">
            <v>TROUSER</v>
          </cell>
          <cell r="L2820" t="str">
            <v>NOD</v>
          </cell>
        </row>
        <row r="2821">
          <cell r="C2821" t="str">
            <v>USTRO1582</v>
          </cell>
          <cell r="D2821" t="str">
            <v>CORE</v>
          </cell>
          <cell r="E2821" t="str">
            <v>CO26</v>
          </cell>
          <cell r="F2821">
            <v>2599</v>
          </cell>
          <cell r="G2821" t="str">
            <v>US</v>
          </cell>
          <cell r="H2821" t="str">
            <v>USPUSMTRO</v>
          </cell>
          <cell r="I2821" t="str">
            <v>USTRO1582003</v>
          </cell>
          <cell r="J2821" t="str">
            <v>32</v>
          </cell>
          <cell r="K2821" t="str">
            <v>TROUSER</v>
          </cell>
          <cell r="L2821" t="str">
            <v>NOD</v>
          </cell>
        </row>
        <row r="2822">
          <cell r="C2822" t="str">
            <v>USTRO1582</v>
          </cell>
          <cell r="D2822" t="str">
            <v>CORE</v>
          </cell>
          <cell r="E2822" t="str">
            <v>CO26</v>
          </cell>
          <cell r="F2822">
            <v>2599</v>
          </cell>
          <cell r="G2822" t="str">
            <v>US</v>
          </cell>
          <cell r="H2822" t="str">
            <v>USPUSMTRO</v>
          </cell>
          <cell r="I2822" t="str">
            <v>USTRO1582004</v>
          </cell>
          <cell r="J2822" t="str">
            <v>34</v>
          </cell>
          <cell r="K2822" t="str">
            <v>TROUSER</v>
          </cell>
          <cell r="L2822" t="str">
            <v>NOD</v>
          </cell>
        </row>
        <row r="2823">
          <cell r="C2823" t="str">
            <v>USTRO1582</v>
          </cell>
          <cell r="D2823" t="str">
            <v>CORE</v>
          </cell>
          <cell r="E2823" t="str">
            <v>CO26</v>
          </cell>
          <cell r="F2823">
            <v>2599</v>
          </cell>
          <cell r="G2823" t="str">
            <v>US</v>
          </cell>
          <cell r="H2823" t="str">
            <v>USPUSMTRO</v>
          </cell>
          <cell r="I2823" t="str">
            <v>USTRO1582005</v>
          </cell>
          <cell r="J2823" t="str">
            <v>36</v>
          </cell>
          <cell r="K2823" t="str">
            <v>TROUSER</v>
          </cell>
          <cell r="L2823" t="str">
            <v>NOD</v>
          </cell>
        </row>
        <row r="2824">
          <cell r="C2824" t="str">
            <v>USTRO1582</v>
          </cell>
          <cell r="D2824" t="str">
            <v>CORE</v>
          </cell>
          <cell r="E2824" t="str">
            <v>CO26</v>
          </cell>
          <cell r="F2824">
            <v>2599</v>
          </cell>
          <cell r="G2824" t="str">
            <v>US</v>
          </cell>
          <cell r="H2824" t="str">
            <v>USPUSMTRO</v>
          </cell>
          <cell r="I2824" t="str">
            <v>USTRO1582006</v>
          </cell>
          <cell r="J2824" t="str">
            <v>38</v>
          </cell>
          <cell r="K2824" t="str">
            <v>TROUSER</v>
          </cell>
          <cell r="L2824" t="str">
            <v>NOD</v>
          </cell>
        </row>
        <row r="2825">
          <cell r="C2825" t="str">
            <v>USTRO1582</v>
          </cell>
          <cell r="D2825" t="str">
            <v>CORE</v>
          </cell>
          <cell r="E2825" t="str">
            <v>CO26</v>
          </cell>
          <cell r="F2825">
            <v>2599</v>
          </cell>
          <cell r="G2825" t="str">
            <v>US</v>
          </cell>
          <cell r="H2825" t="str">
            <v>USPUSMTRO</v>
          </cell>
          <cell r="I2825" t="str">
            <v>USTRO1582007</v>
          </cell>
          <cell r="J2825" t="str">
            <v>40</v>
          </cell>
          <cell r="K2825" t="str">
            <v>TROUSER</v>
          </cell>
          <cell r="L2825" t="str">
            <v>NOD</v>
          </cell>
        </row>
        <row r="2826">
          <cell r="C2826" t="str">
            <v>USTRO1582</v>
          </cell>
          <cell r="D2826" t="str">
            <v>CORE</v>
          </cell>
          <cell r="E2826" t="str">
            <v>CO26</v>
          </cell>
          <cell r="F2826">
            <v>2599</v>
          </cell>
          <cell r="G2826" t="str">
            <v>US</v>
          </cell>
          <cell r="H2826" t="str">
            <v>USPUSMTRO</v>
          </cell>
          <cell r="I2826" t="str">
            <v>USTRO1582008</v>
          </cell>
          <cell r="J2826" t="str">
            <v>42</v>
          </cell>
          <cell r="K2826" t="str">
            <v>TROUSER</v>
          </cell>
          <cell r="L2826" t="str">
            <v>NOD</v>
          </cell>
        </row>
        <row r="2827">
          <cell r="C2827" t="str">
            <v>USTRO1582</v>
          </cell>
          <cell r="D2827" t="str">
            <v>CORE</v>
          </cell>
          <cell r="E2827" t="str">
            <v>CO26</v>
          </cell>
          <cell r="F2827">
            <v>2799</v>
          </cell>
          <cell r="G2827" t="str">
            <v>US</v>
          </cell>
          <cell r="H2827" t="str">
            <v>USPUSMTRO</v>
          </cell>
          <cell r="I2827" t="str">
            <v>USTRO1582009</v>
          </cell>
          <cell r="J2827" t="str">
            <v>44</v>
          </cell>
          <cell r="K2827" t="str">
            <v>TROUSER</v>
          </cell>
          <cell r="L2827" t="str">
            <v>NOD</v>
          </cell>
        </row>
        <row r="2828">
          <cell r="C2828" t="str">
            <v>USTRO1582</v>
          </cell>
          <cell r="D2828" t="str">
            <v>CORE</v>
          </cell>
          <cell r="E2828" t="str">
            <v>CO26</v>
          </cell>
          <cell r="F2828">
            <v>2799</v>
          </cell>
          <cell r="G2828" t="str">
            <v>US</v>
          </cell>
          <cell r="H2828" t="str">
            <v>USPUSMTRO</v>
          </cell>
          <cell r="I2828" t="str">
            <v>USTRO1582010</v>
          </cell>
          <cell r="J2828" t="str">
            <v>46</v>
          </cell>
          <cell r="K2828" t="str">
            <v>TROUSER</v>
          </cell>
          <cell r="L2828" t="str">
            <v>NOD</v>
          </cell>
        </row>
        <row r="2829">
          <cell r="C2829" t="str">
            <v>USTRO1582</v>
          </cell>
          <cell r="D2829" t="str">
            <v>CORE</v>
          </cell>
          <cell r="E2829" t="str">
            <v>CO26</v>
          </cell>
          <cell r="F2829">
            <v>2799</v>
          </cell>
          <cell r="G2829" t="str">
            <v>US</v>
          </cell>
          <cell r="H2829" t="str">
            <v>USPUSMTRO</v>
          </cell>
          <cell r="I2829" t="str">
            <v>USTRO1582011</v>
          </cell>
          <cell r="J2829" t="str">
            <v>48</v>
          </cell>
          <cell r="K2829" t="str">
            <v>TROUSER</v>
          </cell>
          <cell r="L2829" t="str">
            <v>NOD</v>
          </cell>
        </row>
        <row r="2830">
          <cell r="C2830" t="str">
            <v>USTRO1582</v>
          </cell>
          <cell r="D2830" t="str">
            <v>CORE</v>
          </cell>
          <cell r="E2830" t="str">
            <v>CO26</v>
          </cell>
          <cell r="F2830">
            <v>2799</v>
          </cell>
          <cell r="G2830" t="str">
            <v>US</v>
          </cell>
          <cell r="H2830" t="str">
            <v>USPUSMTRO</v>
          </cell>
          <cell r="I2830" t="str">
            <v>USTRO1582012</v>
          </cell>
          <cell r="J2830" t="str">
            <v>50</v>
          </cell>
          <cell r="K2830" t="str">
            <v>TROUSER</v>
          </cell>
          <cell r="L2830" t="str">
            <v>NOD</v>
          </cell>
        </row>
        <row r="2831">
          <cell r="C2831" t="str">
            <v>USTRO1582D</v>
          </cell>
          <cell r="D2831" t="str">
            <v>CORE</v>
          </cell>
          <cell r="E2831" t="str">
            <v>CO26</v>
          </cell>
          <cell r="F2831">
            <v>2599</v>
          </cell>
          <cell r="G2831" t="str">
            <v>US</v>
          </cell>
          <cell r="H2831" t="str">
            <v>USPUSMTRO</v>
          </cell>
          <cell r="I2831" t="str">
            <v>USTRO1582D001</v>
          </cell>
          <cell r="J2831" t="str">
            <v>28</v>
          </cell>
          <cell r="K2831" t="str">
            <v>TROUSER</v>
          </cell>
          <cell r="L2831" t="str">
            <v>NOD</v>
          </cell>
        </row>
        <row r="2832">
          <cell r="C2832" t="str">
            <v>USTRO1582D</v>
          </cell>
          <cell r="D2832" t="str">
            <v>CORE</v>
          </cell>
          <cell r="E2832" t="str">
            <v>CO26</v>
          </cell>
          <cell r="F2832">
            <v>2599</v>
          </cell>
          <cell r="G2832" t="str">
            <v>US</v>
          </cell>
          <cell r="H2832" t="str">
            <v>USPUSMTRO</v>
          </cell>
          <cell r="I2832" t="str">
            <v>USTRO1582D002</v>
          </cell>
          <cell r="J2832" t="str">
            <v>30</v>
          </cell>
          <cell r="K2832" t="str">
            <v>TROUSER</v>
          </cell>
          <cell r="L2832" t="str">
            <v>NOD</v>
          </cell>
        </row>
        <row r="2833">
          <cell r="C2833" t="str">
            <v>USTRO1582D</v>
          </cell>
          <cell r="D2833" t="str">
            <v>CORE</v>
          </cell>
          <cell r="E2833" t="str">
            <v>CO26</v>
          </cell>
          <cell r="F2833">
            <v>2599</v>
          </cell>
          <cell r="G2833" t="str">
            <v>US</v>
          </cell>
          <cell r="H2833" t="str">
            <v>USPUSMTRO</v>
          </cell>
          <cell r="I2833" t="str">
            <v>USTRO1582D003</v>
          </cell>
          <cell r="J2833" t="str">
            <v>32</v>
          </cell>
          <cell r="K2833" t="str">
            <v>TROUSER</v>
          </cell>
          <cell r="L2833" t="str">
            <v>NOD</v>
          </cell>
        </row>
        <row r="2834">
          <cell r="C2834" t="str">
            <v>USTRO1582D</v>
          </cell>
          <cell r="D2834" t="str">
            <v>CORE</v>
          </cell>
          <cell r="E2834" t="str">
            <v>CO26</v>
          </cell>
          <cell r="F2834">
            <v>2599</v>
          </cell>
          <cell r="G2834" t="str">
            <v>US</v>
          </cell>
          <cell r="H2834" t="str">
            <v>USPUSMTRO</v>
          </cell>
          <cell r="I2834" t="str">
            <v>USTRO1582D004</v>
          </cell>
          <cell r="J2834" t="str">
            <v>34</v>
          </cell>
          <cell r="K2834" t="str">
            <v>TROUSER</v>
          </cell>
          <cell r="L2834" t="str">
            <v>NOD</v>
          </cell>
        </row>
        <row r="2835">
          <cell r="C2835" t="str">
            <v>USTRO1582D</v>
          </cell>
          <cell r="D2835" t="str">
            <v>CORE</v>
          </cell>
          <cell r="E2835" t="str">
            <v>CO26</v>
          </cell>
          <cell r="F2835">
            <v>2599</v>
          </cell>
          <cell r="G2835" t="str">
            <v>US</v>
          </cell>
          <cell r="H2835" t="str">
            <v>USPUSMTRO</v>
          </cell>
          <cell r="I2835" t="str">
            <v>USTRO1582D005</v>
          </cell>
          <cell r="J2835" t="str">
            <v>36</v>
          </cell>
          <cell r="K2835" t="str">
            <v>TROUSER</v>
          </cell>
          <cell r="L2835" t="str">
            <v>NOD</v>
          </cell>
        </row>
        <row r="2836">
          <cell r="C2836" t="str">
            <v>USTRO1582D</v>
          </cell>
          <cell r="D2836" t="str">
            <v>CORE</v>
          </cell>
          <cell r="E2836" t="str">
            <v>CO26</v>
          </cell>
          <cell r="F2836">
            <v>2599</v>
          </cell>
          <cell r="G2836" t="str">
            <v>US</v>
          </cell>
          <cell r="H2836" t="str">
            <v>USPUSMTRO</v>
          </cell>
          <cell r="I2836" t="str">
            <v>USTRO1582D006</v>
          </cell>
          <cell r="J2836" t="str">
            <v>38</v>
          </cell>
          <cell r="K2836" t="str">
            <v>TROUSER</v>
          </cell>
          <cell r="L2836" t="str">
            <v>NOD</v>
          </cell>
        </row>
        <row r="2837">
          <cell r="C2837" t="str">
            <v>USTRO1582D</v>
          </cell>
          <cell r="D2837" t="str">
            <v>CORE</v>
          </cell>
          <cell r="E2837" t="str">
            <v>CO26</v>
          </cell>
          <cell r="F2837">
            <v>2599</v>
          </cell>
          <cell r="G2837" t="str">
            <v>US</v>
          </cell>
          <cell r="H2837" t="str">
            <v>USPUSMTRO</v>
          </cell>
          <cell r="I2837" t="str">
            <v>USTRO1582D007</v>
          </cell>
          <cell r="J2837" t="str">
            <v>40</v>
          </cell>
          <cell r="K2837" t="str">
            <v>TROUSER</v>
          </cell>
          <cell r="L2837" t="str">
            <v>NOD</v>
          </cell>
        </row>
        <row r="2838">
          <cell r="C2838" t="str">
            <v>USTRO1582D</v>
          </cell>
          <cell r="D2838" t="str">
            <v>CORE</v>
          </cell>
          <cell r="E2838" t="str">
            <v>CO26</v>
          </cell>
          <cell r="F2838">
            <v>2599</v>
          </cell>
          <cell r="G2838" t="str">
            <v>US</v>
          </cell>
          <cell r="H2838" t="str">
            <v>USPUSMTRO</v>
          </cell>
          <cell r="I2838" t="str">
            <v>USTRO1582D008</v>
          </cell>
          <cell r="J2838" t="str">
            <v>42</v>
          </cell>
          <cell r="K2838" t="str">
            <v>TROUSER</v>
          </cell>
          <cell r="L2838" t="str">
            <v>NOD</v>
          </cell>
        </row>
        <row r="2839">
          <cell r="C2839" t="str">
            <v>USTRO1582D</v>
          </cell>
          <cell r="D2839" t="str">
            <v>CORE</v>
          </cell>
          <cell r="E2839" t="str">
            <v>CO26</v>
          </cell>
          <cell r="F2839">
            <v>2799</v>
          </cell>
          <cell r="G2839" t="str">
            <v>US</v>
          </cell>
          <cell r="H2839" t="str">
            <v>USPUSMTRO</v>
          </cell>
          <cell r="I2839" t="str">
            <v>USTRO1582D009</v>
          </cell>
          <cell r="J2839" t="str">
            <v>44</v>
          </cell>
          <cell r="K2839" t="str">
            <v>TROUSER</v>
          </cell>
          <cell r="L2839" t="str">
            <v>NOD</v>
          </cell>
        </row>
        <row r="2840">
          <cell r="C2840" t="str">
            <v>USTRO1582D</v>
          </cell>
          <cell r="D2840" t="str">
            <v>CORE</v>
          </cell>
          <cell r="E2840" t="str">
            <v>CO26</v>
          </cell>
          <cell r="F2840">
            <v>2799</v>
          </cell>
          <cell r="G2840" t="str">
            <v>US</v>
          </cell>
          <cell r="H2840" t="str">
            <v>USPUSMTRO</v>
          </cell>
          <cell r="I2840" t="str">
            <v>USTRO1582D010</v>
          </cell>
          <cell r="J2840" t="str">
            <v>46</v>
          </cell>
          <cell r="K2840" t="str">
            <v>TROUSER</v>
          </cell>
          <cell r="L2840" t="str">
            <v>NOD</v>
          </cell>
        </row>
        <row r="2841">
          <cell r="C2841" t="str">
            <v>USTRO1582D</v>
          </cell>
          <cell r="D2841" t="str">
            <v>CORE</v>
          </cell>
          <cell r="E2841" t="str">
            <v>CO26</v>
          </cell>
          <cell r="F2841">
            <v>2799</v>
          </cell>
          <cell r="G2841" t="str">
            <v>US</v>
          </cell>
          <cell r="H2841" t="str">
            <v>USPUSMTRO</v>
          </cell>
          <cell r="I2841" t="str">
            <v>USTRO1582D011</v>
          </cell>
          <cell r="J2841" t="str">
            <v>48</v>
          </cell>
          <cell r="K2841" t="str">
            <v>TROUSER</v>
          </cell>
          <cell r="L2841" t="str">
            <v>NOD</v>
          </cell>
        </row>
        <row r="2842">
          <cell r="C2842" t="str">
            <v>USTRO1582D</v>
          </cell>
          <cell r="D2842" t="str">
            <v>CORE</v>
          </cell>
          <cell r="E2842" t="str">
            <v>CO26</v>
          </cell>
          <cell r="F2842">
            <v>2799</v>
          </cell>
          <cell r="G2842" t="str">
            <v>US</v>
          </cell>
          <cell r="H2842" t="str">
            <v>USPUSMTRO</v>
          </cell>
          <cell r="I2842" t="str">
            <v>USTRO1582D012</v>
          </cell>
          <cell r="J2842" t="str">
            <v>50</v>
          </cell>
          <cell r="K2842" t="str">
            <v>TROUSER</v>
          </cell>
          <cell r="L2842" t="str">
            <v>NOD</v>
          </cell>
        </row>
        <row r="2843">
          <cell r="C2843" t="str">
            <v>USTRO1582S</v>
          </cell>
          <cell r="D2843" t="str">
            <v>CORE</v>
          </cell>
          <cell r="E2843" t="str">
            <v>CO26</v>
          </cell>
          <cell r="F2843">
            <v>2599</v>
          </cell>
          <cell r="G2843" t="str">
            <v>US</v>
          </cell>
          <cell r="H2843" t="str">
            <v>USPUSMTRO</v>
          </cell>
          <cell r="I2843" t="str">
            <v>USTRO1582S001</v>
          </cell>
          <cell r="J2843" t="str">
            <v>28</v>
          </cell>
          <cell r="K2843" t="str">
            <v>TROUSER</v>
          </cell>
          <cell r="L2843" t="str">
            <v>NOD</v>
          </cell>
        </row>
        <row r="2844">
          <cell r="C2844" t="str">
            <v>USTRO1582S</v>
          </cell>
          <cell r="D2844" t="str">
            <v>CORE</v>
          </cell>
          <cell r="E2844" t="str">
            <v>CO26</v>
          </cell>
          <cell r="F2844">
            <v>2599</v>
          </cell>
          <cell r="G2844" t="str">
            <v>US</v>
          </cell>
          <cell r="H2844" t="str">
            <v>USPUSMTRO</v>
          </cell>
          <cell r="I2844" t="str">
            <v>USTRO1582S002</v>
          </cell>
          <cell r="J2844" t="str">
            <v>30</v>
          </cell>
          <cell r="K2844" t="str">
            <v>TROUSER</v>
          </cell>
          <cell r="L2844" t="str">
            <v>NOD</v>
          </cell>
        </row>
        <row r="2845">
          <cell r="C2845" t="str">
            <v>USTRO1582S</v>
          </cell>
          <cell r="D2845" t="str">
            <v>CORE</v>
          </cell>
          <cell r="E2845" t="str">
            <v>CO26</v>
          </cell>
          <cell r="F2845">
            <v>2599</v>
          </cell>
          <cell r="G2845" t="str">
            <v>US</v>
          </cell>
          <cell r="H2845" t="str">
            <v>USPUSMTRO</v>
          </cell>
          <cell r="I2845" t="str">
            <v>USTRO1582S003</v>
          </cell>
          <cell r="J2845" t="str">
            <v>32</v>
          </cell>
          <cell r="K2845" t="str">
            <v>TROUSER</v>
          </cell>
          <cell r="L2845" t="str">
            <v>NOD</v>
          </cell>
        </row>
        <row r="2846">
          <cell r="C2846" t="str">
            <v>USTRO1582S</v>
          </cell>
          <cell r="D2846" t="str">
            <v>CORE</v>
          </cell>
          <cell r="E2846" t="str">
            <v>CO26</v>
          </cell>
          <cell r="F2846">
            <v>2599</v>
          </cell>
          <cell r="G2846" t="str">
            <v>US</v>
          </cell>
          <cell r="H2846" t="str">
            <v>USPUSMTRO</v>
          </cell>
          <cell r="I2846" t="str">
            <v>USTRO1582S004</v>
          </cell>
          <cell r="J2846" t="str">
            <v>34</v>
          </cell>
          <cell r="K2846" t="str">
            <v>TROUSER</v>
          </cell>
          <cell r="L2846" t="str">
            <v>NOD</v>
          </cell>
        </row>
        <row r="2847">
          <cell r="C2847" t="str">
            <v>USTRO1582S</v>
          </cell>
          <cell r="D2847" t="str">
            <v>CORE</v>
          </cell>
          <cell r="E2847" t="str">
            <v>CO26</v>
          </cell>
          <cell r="F2847">
            <v>2599</v>
          </cell>
          <cell r="G2847" t="str">
            <v>US</v>
          </cell>
          <cell r="H2847" t="str">
            <v>USPUSMTRO</v>
          </cell>
          <cell r="I2847" t="str">
            <v>USTRO1582S005</v>
          </cell>
          <cell r="J2847" t="str">
            <v>36</v>
          </cell>
          <cell r="K2847" t="str">
            <v>TROUSER</v>
          </cell>
          <cell r="L2847" t="str">
            <v>NOD</v>
          </cell>
        </row>
        <row r="2848">
          <cell r="C2848" t="str">
            <v>USTRO1582S</v>
          </cell>
          <cell r="D2848" t="str">
            <v>CORE</v>
          </cell>
          <cell r="E2848" t="str">
            <v>CO26</v>
          </cell>
          <cell r="F2848">
            <v>2599</v>
          </cell>
          <cell r="G2848" t="str">
            <v>US</v>
          </cell>
          <cell r="H2848" t="str">
            <v>USPUSMTRO</v>
          </cell>
          <cell r="I2848" t="str">
            <v>USTRO1582S006</v>
          </cell>
          <cell r="J2848" t="str">
            <v>38</v>
          </cell>
          <cell r="K2848" t="str">
            <v>TROUSER</v>
          </cell>
          <cell r="L2848" t="str">
            <v>NOD</v>
          </cell>
        </row>
        <row r="2849">
          <cell r="C2849" t="str">
            <v>USTRO1582S</v>
          </cell>
          <cell r="D2849" t="str">
            <v>CORE</v>
          </cell>
          <cell r="E2849" t="str">
            <v>CO26</v>
          </cell>
          <cell r="F2849">
            <v>2599</v>
          </cell>
          <cell r="G2849" t="str">
            <v>US</v>
          </cell>
          <cell r="H2849" t="str">
            <v>USPUSMTRO</v>
          </cell>
          <cell r="I2849" t="str">
            <v>USTRO1582S007</v>
          </cell>
          <cell r="J2849" t="str">
            <v>40</v>
          </cell>
          <cell r="K2849" t="str">
            <v>TROUSER</v>
          </cell>
          <cell r="L2849" t="str">
            <v>NOD</v>
          </cell>
        </row>
        <row r="2850">
          <cell r="C2850" t="str">
            <v>USTRO1582S</v>
          </cell>
          <cell r="D2850" t="str">
            <v>CORE</v>
          </cell>
          <cell r="E2850" t="str">
            <v>CO26</v>
          </cell>
          <cell r="F2850">
            <v>2599</v>
          </cell>
          <cell r="G2850" t="str">
            <v>US</v>
          </cell>
          <cell r="H2850" t="str">
            <v>USPUSMTRO</v>
          </cell>
          <cell r="I2850" t="str">
            <v>USTRO1582S008</v>
          </cell>
          <cell r="J2850" t="str">
            <v>42</v>
          </cell>
          <cell r="K2850" t="str">
            <v>TROUSER</v>
          </cell>
          <cell r="L2850" t="str">
            <v>NOD</v>
          </cell>
        </row>
        <row r="2851">
          <cell r="C2851" t="str">
            <v>USTRO1582S</v>
          </cell>
          <cell r="D2851" t="str">
            <v>CORE</v>
          </cell>
          <cell r="E2851" t="str">
            <v>CO26</v>
          </cell>
          <cell r="F2851">
            <v>2799</v>
          </cell>
          <cell r="G2851" t="str">
            <v>US</v>
          </cell>
          <cell r="H2851" t="str">
            <v>USPUSMTRO</v>
          </cell>
          <cell r="I2851" t="str">
            <v>USTRO1582S009</v>
          </cell>
          <cell r="J2851" t="str">
            <v>44</v>
          </cell>
          <cell r="K2851" t="str">
            <v>TROUSER</v>
          </cell>
          <cell r="L2851" t="str">
            <v>NOD</v>
          </cell>
        </row>
        <row r="2852">
          <cell r="C2852" t="str">
            <v>USTRO1582S</v>
          </cell>
          <cell r="D2852" t="str">
            <v>CORE</v>
          </cell>
          <cell r="E2852" t="str">
            <v>CO26</v>
          </cell>
          <cell r="F2852">
            <v>2799</v>
          </cell>
          <cell r="G2852" t="str">
            <v>US</v>
          </cell>
          <cell r="H2852" t="str">
            <v>USPUSMTRO</v>
          </cell>
          <cell r="I2852" t="str">
            <v>USTRO1582S010</v>
          </cell>
          <cell r="J2852" t="str">
            <v>46</v>
          </cell>
          <cell r="K2852" t="str">
            <v>TROUSER</v>
          </cell>
          <cell r="L2852" t="str">
            <v>NOD</v>
          </cell>
        </row>
        <row r="2853">
          <cell r="C2853" t="str">
            <v>USTRO1582S</v>
          </cell>
          <cell r="D2853" t="str">
            <v>CORE</v>
          </cell>
          <cell r="E2853" t="str">
            <v>CO26</v>
          </cell>
          <cell r="F2853">
            <v>2799</v>
          </cell>
          <cell r="G2853" t="str">
            <v>US</v>
          </cell>
          <cell r="H2853" t="str">
            <v>USPUSMTRO</v>
          </cell>
          <cell r="I2853" t="str">
            <v>USTRO1582S011</v>
          </cell>
          <cell r="J2853" t="str">
            <v>48</v>
          </cell>
          <cell r="K2853" t="str">
            <v>TROUSER</v>
          </cell>
          <cell r="L2853" t="str">
            <v>NOD</v>
          </cell>
        </row>
        <row r="2854">
          <cell r="C2854" t="str">
            <v>USTRO1582S</v>
          </cell>
          <cell r="D2854" t="str">
            <v>CORE</v>
          </cell>
          <cell r="E2854" t="str">
            <v>CO26</v>
          </cell>
          <cell r="F2854">
            <v>2799</v>
          </cell>
          <cell r="G2854" t="str">
            <v>US</v>
          </cell>
          <cell r="H2854" t="str">
            <v>USPUSMTRO</v>
          </cell>
          <cell r="I2854" t="str">
            <v>USTRO1582S012</v>
          </cell>
          <cell r="J2854" t="str">
            <v>50</v>
          </cell>
          <cell r="K2854" t="str">
            <v>TROUSER</v>
          </cell>
          <cell r="L2854" t="str">
            <v>NOD</v>
          </cell>
        </row>
        <row r="2855">
          <cell r="C2855" t="str">
            <v>USTRO1583</v>
          </cell>
          <cell r="D2855" t="str">
            <v>CORE</v>
          </cell>
          <cell r="E2855" t="str">
            <v>CO26</v>
          </cell>
          <cell r="F2855">
            <v>2599</v>
          </cell>
          <cell r="G2855" t="str">
            <v>US</v>
          </cell>
          <cell r="H2855" t="str">
            <v>USPUSMTRO</v>
          </cell>
          <cell r="I2855" t="str">
            <v>USTRO1583001</v>
          </cell>
          <cell r="J2855" t="str">
            <v>28</v>
          </cell>
          <cell r="K2855" t="str">
            <v>TROUSER</v>
          </cell>
          <cell r="L2855" t="str">
            <v>NOD</v>
          </cell>
        </row>
        <row r="2856">
          <cell r="C2856" t="str">
            <v>USTRO1583</v>
          </cell>
          <cell r="D2856" t="str">
            <v>CORE</v>
          </cell>
          <cell r="E2856" t="str">
            <v>CO26</v>
          </cell>
          <cell r="F2856">
            <v>2599</v>
          </cell>
          <cell r="G2856" t="str">
            <v>US</v>
          </cell>
          <cell r="H2856" t="str">
            <v>USPUSMTRO</v>
          </cell>
          <cell r="I2856" t="str">
            <v>USTRO1583002</v>
          </cell>
          <cell r="J2856" t="str">
            <v>30</v>
          </cell>
          <cell r="K2856" t="str">
            <v>TROUSER</v>
          </cell>
          <cell r="L2856" t="str">
            <v>NOD</v>
          </cell>
        </row>
        <row r="2857">
          <cell r="C2857" t="str">
            <v>USTRO1583</v>
          </cell>
          <cell r="D2857" t="str">
            <v>CORE</v>
          </cell>
          <cell r="E2857" t="str">
            <v>CO26</v>
          </cell>
          <cell r="F2857">
            <v>2599</v>
          </cell>
          <cell r="G2857" t="str">
            <v>US</v>
          </cell>
          <cell r="H2857" t="str">
            <v>USPUSMTRO</v>
          </cell>
          <cell r="I2857" t="str">
            <v>USTRO1583003</v>
          </cell>
          <cell r="J2857" t="str">
            <v>32</v>
          </cell>
          <cell r="K2857" t="str">
            <v>TROUSER</v>
          </cell>
          <cell r="L2857" t="str">
            <v>NOD</v>
          </cell>
        </row>
        <row r="2858">
          <cell r="C2858" t="str">
            <v>USTRO1583</v>
          </cell>
          <cell r="D2858" t="str">
            <v>CORE</v>
          </cell>
          <cell r="E2858" t="str">
            <v>CO26</v>
          </cell>
          <cell r="F2858">
            <v>2599</v>
          </cell>
          <cell r="G2858" t="str">
            <v>US</v>
          </cell>
          <cell r="H2858" t="str">
            <v>USPUSMTRO</v>
          </cell>
          <cell r="I2858" t="str">
            <v>USTRO1583004</v>
          </cell>
          <cell r="J2858" t="str">
            <v>34</v>
          </cell>
          <cell r="K2858" t="str">
            <v>TROUSER</v>
          </cell>
          <cell r="L2858" t="str">
            <v>NOD</v>
          </cell>
        </row>
        <row r="2859">
          <cell r="C2859" t="str">
            <v>USTRO1583</v>
          </cell>
          <cell r="D2859" t="str">
            <v>CORE</v>
          </cell>
          <cell r="E2859" t="str">
            <v>CO26</v>
          </cell>
          <cell r="F2859">
            <v>2599</v>
          </cell>
          <cell r="G2859" t="str">
            <v>US</v>
          </cell>
          <cell r="H2859" t="str">
            <v>USPUSMTRO</v>
          </cell>
          <cell r="I2859" t="str">
            <v>USTRO1583005</v>
          </cell>
          <cell r="J2859" t="str">
            <v>36</v>
          </cell>
          <cell r="K2859" t="str">
            <v>TROUSER</v>
          </cell>
          <cell r="L2859" t="str">
            <v>NOD</v>
          </cell>
        </row>
        <row r="2860">
          <cell r="C2860" t="str">
            <v>USTRO1583</v>
          </cell>
          <cell r="D2860" t="str">
            <v>CORE</v>
          </cell>
          <cell r="E2860" t="str">
            <v>CO26</v>
          </cell>
          <cell r="F2860">
            <v>2599</v>
          </cell>
          <cell r="G2860" t="str">
            <v>US</v>
          </cell>
          <cell r="H2860" t="str">
            <v>USPUSMTRO</v>
          </cell>
          <cell r="I2860" t="str">
            <v>USTRO1583006</v>
          </cell>
          <cell r="J2860" t="str">
            <v>38</v>
          </cell>
          <cell r="K2860" t="str">
            <v>TROUSER</v>
          </cell>
          <cell r="L2860" t="str">
            <v>NOD</v>
          </cell>
        </row>
        <row r="2861">
          <cell r="C2861" t="str">
            <v>USTRO1583</v>
          </cell>
          <cell r="D2861" t="str">
            <v>CORE</v>
          </cell>
          <cell r="E2861" t="str">
            <v>CO26</v>
          </cell>
          <cell r="F2861">
            <v>2599</v>
          </cell>
          <cell r="G2861" t="str">
            <v>US</v>
          </cell>
          <cell r="H2861" t="str">
            <v>USPUSMTRO</v>
          </cell>
          <cell r="I2861" t="str">
            <v>USTRO1583007</v>
          </cell>
          <cell r="J2861" t="str">
            <v>40</v>
          </cell>
          <cell r="K2861" t="str">
            <v>TROUSER</v>
          </cell>
          <cell r="L2861" t="str">
            <v>NOD</v>
          </cell>
        </row>
        <row r="2862">
          <cell r="C2862" t="str">
            <v>USTRO1583</v>
          </cell>
          <cell r="D2862" t="str">
            <v>CORE</v>
          </cell>
          <cell r="E2862" t="str">
            <v>CO26</v>
          </cell>
          <cell r="F2862">
            <v>2599</v>
          </cell>
          <cell r="G2862" t="str">
            <v>US</v>
          </cell>
          <cell r="H2862" t="str">
            <v>USPUSMTRO</v>
          </cell>
          <cell r="I2862" t="str">
            <v>USTRO1583008</v>
          </cell>
          <cell r="J2862" t="str">
            <v>42</v>
          </cell>
          <cell r="K2862" t="str">
            <v>TROUSER</v>
          </cell>
          <cell r="L2862" t="str">
            <v>NOD</v>
          </cell>
        </row>
        <row r="2863">
          <cell r="C2863" t="str">
            <v>USTRO1583</v>
          </cell>
          <cell r="D2863" t="str">
            <v>CORE</v>
          </cell>
          <cell r="E2863" t="str">
            <v>CO26</v>
          </cell>
          <cell r="F2863">
            <v>2799</v>
          </cell>
          <cell r="G2863" t="str">
            <v>US</v>
          </cell>
          <cell r="H2863" t="str">
            <v>USPUSMTRO</v>
          </cell>
          <cell r="I2863" t="str">
            <v>USTRO1583009</v>
          </cell>
          <cell r="J2863" t="str">
            <v>44</v>
          </cell>
          <cell r="K2863" t="str">
            <v>TROUSER</v>
          </cell>
          <cell r="L2863" t="str">
            <v>NOD</v>
          </cell>
        </row>
        <row r="2864">
          <cell r="C2864" t="str">
            <v>USTRO1583</v>
          </cell>
          <cell r="D2864" t="str">
            <v>CORE</v>
          </cell>
          <cell r="E2864" t="str">
            <v>CO26</v>
          </cell>
          <cell r="F2864">
            <v>2799</v>
          </cell>
          <cell r="G2864" t="str">
            <v>US</v>
          </cell>
          <cell r="H2864" t="str">
            <v>USPUSMTRO</v>
          </cell>
          <cell r="I2864" t="str">
            <v>USTRO1583010</v>
          </cell>
          <cell r="J2864" t="str">
            <v>46</v>
          </cell>
          <cell r="K2864" t="str">
            <v>TROUSER</v>
          </cell>
          <cell r="L2864" t="str">
            <v>NOD</v>
          </cell>
        </row>
        <row r="2865">
          <cell r="C2865" t="str">
            <v>USTRO1583</v>
          </cell>
          <cell r="D2865" t="str">
            <v>CORE</v>
          </cell>
          <cell r="E2865" t="str">
            <v>CO26</v>
          </cell>
          <cell r="F2865">
            <v>2799</v>
          </cell>
          <cell r="G2865" t="str">
            <v>US</v>
          </cell>
          <cell r="H2865" t="str">
            <v>USPUSMTRO</v>
          </cell>
          <cell r="I2865" t="str">
            <v>USTRO1583011</v>
          </cell>
          <cell r="J2865" t="str">
            <v>48</v>
          </cell>
          <cell r="K2865" t="str">
            <v>TROUSER</v>
          </cell>
          <cell r="L2865" t="str">
            <v>NOD</v>
          </cell>
        </row>
        <row r="2866">
          <cell r="C2866" t="str">
            <v>USTRO1583</v>
          </cell>
          <cell r="D2866" t="str">
            <v>CORE</v>
          </cell>
          <cell r="E2866" t="str">
            <v>CO26</v>
          </cell>
          <cell r="F2866">
            <v>2799</v>
          </cell>
          <cell r="G2866" t="str">
            <v>US</v>
          </cell>
          <cell r="H2866" t="str">
            <v>USPUSMTRO</v>
          </cell>
          <cell r="I2866" t="str">
            <v>USTRO1583012</v>
          </cell>
          <cell r="J2866" t="str">
            <v>50</v>
          </cell>
          <cell r="K2866" t="str">
            <v>TROUSER</v>
          </cell>
          <cell r="L2866" t="str">
            <v>NOD</v>
          </cell>
        </row>
        <row r="2867">
          <cell r="C2867" t="str">
            <v>USTRO1583D</v>
          </cell>
          <cell r="D2867" t="str">
            <v>CORE</v>
          </cell>
          <cell r="E2867" t="str">
            <v>CO26</v>
          </cell>
          <cell r="F2867">
            <v>2599</v>
          </cell>
          <cell r="G2867" t="str">
            <v>US</v>
          </cell>
          <cell r="H2867" t="str">
            <v>USPUSMTRO</v>
          </cell>
          <cell r="I2867" t="str">
            <v>USTRO1583D001</v>
          </cell>
          <cell r="J2867" t="str">
            <v>28</v>
          </cell>
          <cell r="K2867" t="str">
            <v>TROUSER</v>
          </cell>
          <cell r="L2867" t="str">
            <v>NOD</v>
          </cell>
        </row>
        <row r="2868">
          <cell r="C2868" t="str">
            <v>USTRO1583D</v>
          </cell>
          <cell r="D2868" t="str">
            <v>CORE</v>
          </cell>
          <cell r="E2868" t="str">
            <v>CO26</v>
          </cell>
          <cell r="F2868">
            <v>2599</v>
          </cell>
          <cell r="G2868" t="str">
            <v>US</v>
          </cell>
          <cell r="H2868" t="str">
            <v>USPUSMTRO</v>
          </cell>
          <cell r="I2868" t="str">
            <v>USTRO1583D002</v>
          </cell>
          <cell r="J2868" t="str">
            <v>30</v>
          </cell>
          <cell r="K2868" t="str">
            <v>TROUSER</v>
          </cell>
          <cell r="L2868" t="str">
            <v>NOD</v>
          </cell>
        </row>
        <row r="2869">
          <cell r="C2869" t="str">
            <v>USTRO1583D</v>
          </cell>
          <cell r="D2869" t="str">
            <v>CORE</v>
          </cell>
          <cell r="E2869" t="str">
            <v>CO26</v>
          </cell>
          <cell r="F2869">
            <v>2599</v>
          </cell>
          <cell r="G2869" t="str">
            <v>US</v>
          </cell>
          <cell r="H2869" t="str">
            <v>USPUSMTRO</v>
          </cell>
          <cell r="I2869" t="str">
            <v>USTRO1583D003</v>
          </cell>
          <cell r="J2869" t="str">
            <v>32</v>
          </cell>
          <cell r="K2869" t="str">
            <v>TROUSER</v>
          </cell>
          <cell r="L2869" t="str">
            <v>NOD</v>
          </cell>
        </row>
        <row r="2870">
          <cell r="C2870" t="str">
            <v>USTRO1583D</v>
          </cell>
          <cell r="D2870" t="str">
            <v>CORE</v>
          </cell>
          <cell r="E2870" t="str">
            <v>CO26</v>
          </cell>
          <cell r="F2870">
            <v>2599</v>
          </cell>
          <cell r="G2870" t="str">
            <v>US</v>
          </cell>
          <cell r="H2870" t="str">
            <v>USPUSMTRO</v>
          </cell>
          <cell r="I2870" t="str">
            <v>USTRO1583D004</v>
          </cell>
          <cell r="J2870" t="str">
            <v>34</v>
          </cell>
          <cell r="K2870" t="str">
            <v>TROUSER</v>
          </cell>
          <cell r="L2870" t="str">
            <v>NOD</v>
          </cell>
        </row>
        <row r="2871">
          <cell r="C2871" t="str">
            <v>USTRO1583D</v>
          </cell>
          <cell r="D2871" t="str">
            <v>CORE</v>
          </cell>
          <cell r="E2871" t="str">
            <v>CO26</v>
          </cell>
          <cell r="F2871">
            <v>2599</v>
          </cell>
          <cell r="G2871" t="str">
            <v>US</v>
          </cell>
          <cell r="H2871" t="str">
            <v>USPUSMTRO</v>
          </cell>
          <cell r="I2871" t="str">
            <v>USTRO1583D005</v>
          </cell>
          <cell r="J2871" t="str">
            <v>36</v>
          </cell>
          <cell r="K2871" t="str">
            <v>TROUSER</v>
          </cell>
          <cell r="L2871" t="str">
            <v>NOD</v>
          </cell>
        </row>
        <row r="2872">
          <cell r="C2872" t="str">
            <v>USTRO1583D</v>
          </cell>
          <cell r="D2872" t="str">
            <v>CORE</v>
          </cell>
          <cell r="E2872" t="str">
            <v>CO26</v>
          </cell>
          <cell r="F2872">
            <v>2599</v>
          </cell>
          <cell r="G2872" t="str">
            <v>US</v>
          </cell>
          <cell r="H2872" t="str">
            <v>USPUSMTRO</v>
          </cell>
          <cell r="I2872" t="str">
            <v>USTRO1583D006</v>
          </cell>
          <cell r="J2872" t="str">
            <v>38</v>
          </cell>
          <cell r="K2872" t="str">
            <v>TROUSER</v>
          </cell>
          <cell r="L2872" t="str">
            <v>NOD</v>
          </cell>
        </row>
        <row r="2873">
          <cell r="C2873" t="str">
            <v>USTRO1583D</v>
          </cell>
          <cell r="D2873" t="str">
            <v>CORE</v>
          </cell>
          <cell r="E2873" t="str">
            <v>CO26</v>
          </cell>
          <cell r="F2873">
            <v>2599</v>
          </cell>
          <cell r="G2873" t="str">
            <v>US</v>
          </cell>
          <cell r="H2873" t="str">
            <v>USPUSMTRO</v>
          </cell>
          <cell r="I2873" t="str">
            <v>USTRO1583D007</v>
          </cell>
          <cell r="J2873" t="str">
            <v>40</v>
          </cell>
          <cell r="K2873" t="str">
            <v>TROUSER</v>
          </cell>
          <cell r="L2873" t="str">
            <v>NOD</v>
          </cell>
        </row>
        <row r="2874">
          <cell r="C2874" t="str">
            <v>USTRO1583D</v>
          </cell>
          <cell r="D2874" t="str">
            <v>CORE</v>
          </cell>
          <cell r="E2874" t="str">
            <v>CO26</v>
          </cell>
          <cell r="F2874">
            <v>2599</v>
          </cell>
          <cell r="G2874" t="str">
            <v>US</v>
          </cell>
          <cell r="H2874" t="str">
            <v>USPUSMTRO</v>
          </cell>
          <cell r="I2874" t="str">
            <v>USTRO1583D008</v>
          </cell>
          <cell r="J2874" t="str">
            <v>42</v>
          </cell>
          <cell r="K2874" t="str">
            <v>TROUSER</v>
          </cell>
          <cell r="L2874" t="str">
            <v>NOD</v>
          </cell>
        </row>
        <row r="2875">
          <cell r="C2875" t="str">
            <v>USTRO1583D</v>
          </cell>
          <cell r="D2875" t="str">
            <v>CORE</v>
          </cell>
          <cell r="E2875" t="str">
            <v>CO26</v>
          </cell>
          <cell r="F2875">
            <v>2799</v>
          </cell>
          <cell r="G2875" t="str">
            <v>US</v>
          </cell>
          <cell r="H2875" t="str">
            <v>USPUSMTRO</v>
          </cell>
          <cell r="I2875" t="str">
            <v>USTRO1583D009</v>
          </cell>
          <cell r="J2875" t="str">
            <v>44</v>
          </cell>
          <cell r="K2875" t="str">
            <v>TROUSER</v>
          </cell>
          <cell r="L2875" t="str">
            <v>NOD</v>
          </cell>
        </row>
        <row r="2876">
          <cell r="C2876" t="str">
            <v>USTRO1583D</v>
          </cell>
          <cell r="D2876" t="str">
            <v>CORE</v>
          </cell>
          <cell r="E2876" t="str">
            <v>CO26</v>
          </cell>
          <cell r="F2876">
            <v>2799</v>
          </cell>
          <cell r="G2876" t="str">
            <v>US</v>
          </cell>
          <cell r="H2876" t="str">
            <v>USPUSMTRO</v>
          </cell>
          <cell r="I2876" t="str">
            <v>USTRO1583D010</v>
          </cell>
          <cell r="J2876" t="str">
            <v>46</v>
          </cell>
          <cell r="K2876" t="str">
            <v>TROUSER</v>
          </cell>
          <cell r="L2876" t="str">
            <v>NOD</v>
          </cell>
        </row>
        <row r="2877">
          <cell r="C2877" t="str">
            <v>USTRO1583D</v>
          </cell>
          <cell r="D2877" t="str">
            <v>CORE</v>
          </cell>
          <cell r="E2877" t="str">
            <v>CO26</v>
          </cell>
          <cell r="F2877">
            <v>2799</v>
          </cell>
          <cell r="G2877" t="str">
            <v>US</v>
          </cell>
          <cell r="H2877" t="str">
            <v>USPUSMTRO</v>
          </cell>
          <cell r="I2877" t="str">
            <v>USTRO1583D011</v>
          </cell>
          <cell r="J2877" t="str">
            <v>48</v>
          </cell>
          <cell r="K2877" t="str">
            <v>TROUSER</v>
          </cell>
          <cell r="L2877" t="str">
            <v>NOD</v>
          </cell>
        </row>
        <row r="2878">
          <cell r="C2878" t="str">
            <v>USTRO1583D</v>
          </cell>
          <cell r="D2878" t="str">
            <v>CORE</v>
          </cell>
          <cell r="E2878" t="str">
            <v>CO26</v>
          </cell>
          <cell r="F2878">
            <v>2799</v>
          </cell>
          <cell r="G2878" t="str">
            <v>US</v>
          </cell>
          <cell r="H2878" t="str">
            <v>USPUSMTRO</v>
          </cell>
          <cell r="I2878" t="str">
            <v>USTRO1583D012</v>
          </cell>
          <cell r="J2878" t="str">
            <v>50</v>
          </cell>
          <cell r="K2878" t="str">
            <v>TROUSER</v>
          </cell>
          <cell r="L2878" t="str">
            <v>NOD</v>
          </cell>
        </row>
        <row r="2879">
          <cell r="C2879" t="str">
            <v>USTRO1583S</v>
          </cell>
          <cell r="D2879" t="str">
            <v>OCOR</v>
          </cell>
          <cell r="E2879" t="str">
            <v>OC26</v>
          </cell>
          <cell r="F2879">
            <v>2599</v>
          </cell>
          <cell r="G2879" t="str">
            <v>US</v>
          </cell>
          <cell r="H2879" t="str">
            <v>USPUSMTRO</v>
          </cell>
          <cell r="I2879" t="str">
            <v>USTRO1583S001</v>
          </cell>
          <cell r="J2879" t="str">
            <v>28</v>
          </cell>
          <cell r="K2879" t="str">
            <v>TROUSER</v>
          </cell>
          <cell r="L2879" t="str">
            <v>NOD</v>
          </cell>
        </row>
        <row r="2880">
          <cell r="C2880" t="str">
            <v>USTRO1583S</v>
          </cell>
          <cell r="D2880" t="str">
            <v>OCOR</v>
          </cell>
          <cell r="E2880" t="str">
            <v>OC26</v>
          </cell>
          <cell r="F2880">
            <v>2599</v>
          </cell>
          <cell r="G2880" t="str">
            <v>US</v>
          </cell>
          <cell r="H2880" t="str">
            <v>USPUSMTRO</v>
          </cell>
          <cell r="I2880" t="str">
            <v>USTRO1583S002</v>
          </cell>
          <cell r="J2880" t="str">
            <v>30</v>
          </cell>
          <cell r="K2880" t="str">
            <v>TROUSER</v>
          </cell>
          <cell r="L2880" t="str">
            <v>NOD</v>
          </cell>
        </row>
        <row r="2881">
          <cell r="C2881" t="str">
            <v>USTRO1583S</v>
          </cell>
          <cell r="D2881" t="str">
            <v>OCOR</v>
          </cell>
          <cell r="E2881" t="str">
            <v>OC26</v>
          </cell>
          <cell r="F2881">
            <v>2599</v>
          </cell>
          <cell r="G2881" t="str">
            <v>US</v>
          </cell>
          <cell r="H2881" t="str">
            <v>USPUSMTRO</v>
          </cell>
          <cell r="I2881" t="str">
            <v>USTRO1583S003</v>
          </cell>
          <cell r="J2881" t="str">
            <v>32</v>
          </cell>
          <cell r="K2881" t="str">
            <v>TROUSER</v>
          </cell>
          <cell r="L2881" t="str">
            <v>NOD</v>
          </cell>
        </row>
        <row r="2882">
          <cell r="C2882" t="str">
            <v>USTRO1583S</v>
          </cell>
          <cell r="D2882" t="str">
            <v>OCOR</v>
          </cell>
          <cell r="E2882" t="str">
            <v>OC26</v>
          </cell>
          <cell r="F2882">
            <v>2599</v>
          </cell>
          <cell r="G2882" t="str">
            <v>US</v>
          </cell>
          <cell r="H2882" t="str">
            <v>USPUSMTRO</v>
          </cell>
          <cell r="I2882" t="str">
            <v>USTRO1583S004</v>
          </cell>
          <cell r="J2882" t="str">
            <v>34</v>
          </cell>
          <cell r="K2882" t="str">
            <v>TROUSER</v>
          </cell>
          <cell r="L2882" t="str">
            <v>NOD</v>
          </cell>
        </row>
        <row r="2883">
          <cell r="C2883" t="str">
            <v>USTRO1583S</v>
          </cell>
          <cell r="D2883" t="str">
            <v>OCOR</v>
          </cell>
          <cell r="E2883" t="str">
            <v>OC26</v>
          </cell>
          <cell r="F2883">
            <v>2599</v>
          </cell>
          <cell r="G2883" t="str">
            <v>US</v>
          </cell>
          <cell r="H2883" t="str">
            <v>USPUSMTRO</v>
          </cell>
          <cell r="I2883" t="str">
            <v>USTRO1583S005</v>
          </cell>
          <cell r="J2883" t="str">
            <v>36</v>
          </cell>
          <cell r="K2883" t="str">
            <v>TROUSER</v>
          </cell>
          <cell r="L2883" t="str">
            <v>NOD</v>
          </cell>
        </row>
        <row r="2884">
          <cell r="C2884" t="str">
            <v>USTRO1583S</v>
          </cell>
          <cell r="D2884" t="str">
            <v>OCOR</v>
          </cell>
          <cell r="E2884" t="str">
            <v>OC26</v>
          </cell>
          <cell r="F2884">
            <v>2599</v>
          </cell>
          <cell r="G2884" t="str">
            <v>US</v>
          </cell>
          <cell r="H2884" t="str">
            <v>USPUSMTRO</v>
          </cell>
          <cell r="I2884" t="str">
            <v>USTRO1583S006</v>
          </cell>
          <cell r="J2884" t="str">
            <v>38</v>
          </cell>
          <cell r="K2884" t="str">
            <v>TROUSER</v>
          </cell>
          <cell r="L2884" t="str">
            <v>NOD</v>
          </cell>
        </row>
        <row r="2885">
          <cell r="C2885" t="str">
            <v>USTRO1583S</v>
          </cell>
          <cell r="D2885" t="str">
            <v>OCOR</v>
          </cell>
          <cell r="E2885" t="str">
            <v>OC26</v>
          </cell>
          <cell r="F2885">
            <v>2599</v>
          </cell>
          <cell r="G2885" t="str">
            <v>US</v>
          </cell>
          <cell r="H2885" t="str">
            <v>USPUSMTRO</v>
          </cell>
          <cell r="I2885" t="str">
            <v>USTRO1583S007</v>
          </cell>
          <cell r="J2885" t="str">
            <v>40</v>
          </cell>
          <cell r="K2885" t="str">
            <v>TROUSER</v>
          </cell>
          <cell r="L2885" t="str">
            <v>NOD</v>
          </cell>
        </row>
        <row r="2886">
          <cell r="C2886" t="str">
            <v>USTRO1583S</v>
          </cell>
          <cell r="D2886" t="str">
            <v>OCOR</v>
          </cell>
          <cell r="E2886" t="str">
            <v>OC26</v>
          </cell>
          <cell r="F2886">
            <v>2599</v>
          </cell>
          <cell r="G2886" t="str">
            <v>US</v>
          </cell>
          <cell r="H2886" t="str">
            <v>USPUSMTRO</v>
          </cell>
          <cell r="I2886" t="str">
            <v>USTRO1583S008</v>
          </cell>
          <cell r="J2886" t="str">
            <v>42</v>
          </cell>
          <cell r="K2886" t="str">
            <v>TROUSER</v>
          </cell>
          <cell r="L2886" t="str">
            <v>NOD</v>
          </cell>
        </row>
        <row r="2887">
          <cell r="C2887" t="str">
            <v>USTRO1583S</v>
          </cell>
          <cell r="D2887" t="str">
            <v>OCOR</v>
          </cell>
          <cell r="E2887" t="str">
            <v>OC26</v>
          </cell>
          <cell r="F2887">
            <v>2799</v>
          </cell>
          <cell r="G2887" t="str">
            <v>US</v>
          </cell>
          <cell r="H2887" t="str">
            <v>USPUSMTRO</v>
          </cell>
          <cell r="I2887" t="str">
            <v>USTRO1583S009</v>
          </cell>
          <cell r="J2887" t="str">
            <v>44</v>
          </cell>
          <cell r="K2887" t="str">
            <v>TROUSER</v>
          </cell>
          <cell r="L2887" t="str">
            <v>NOD</v>
          </cell>
        </row>
        <row r="2888">
          <cell r="C2888" t="str">
            <v>USTRO1583S</v>
          </cell>
          <cell r="D2888" t="str">
            <v>OCOR</v>
          </cell>
          <cell r="E2888" t="str">
            <v>OC26</v>
          </cell>
          <cell r="F2888">
            <v>2799</v>
          </cell>
          <cell r="G2888" t="str">
            <v>US</v>
          </cell>
          <cell r="H2888" t="str">
            <v>USPUSMTRO</v>
          </cell>
          <cell r="I2888" t="str">
            <v>USTRO1583S010</v>
          </cell>
          <cell r="J2888" t="str">
            <v>46</v>
          </cell>
          <cell r="K2888" t="str">
            <v>TROUSER</v>
          </cell>
          <cell r="L2888" t="str">
            <v>NOD</v>
          </cell>
        </row>
        <row r="2889">
          <cell r="C2889" t="str">
            <v>USTRO1583S</v>
          </cell>
          <cell r="D2889" t="str">
            <v>OCOR</v>
          </cell>
          <cell r="E2889" t="str">
            <v>OC26</v>
          </cell>
          <cell r="F2889">
            <v>2799</v>
          </cell>
          <cell r="G2889" t="str">
            <v>US</v>
          </cell>
          <cell r="H2889" t="str">
            <v>USPUSMTRO</v>
          </cell>
          <cell r="I2889" t="str">
            <v>USTRO1583S011</v>
          </cell>
          <cell r="J2889" t="str">
            <v>48</v>
          </cell>
          <cell r="K2889" t="str">
            <v>TROUSER</v>
          </cell>
          <cell r="L2889" t="str">
            <v>NOD</v>
          </cell>
        </row>
        <row r="2890">
          <cell r="C2890" t="str">
            <v>USTRO1583S</v>
          </cell>
          <cell r="D2890" t="str">
            <v>OCOR</v>
          </cell>
          <cell r="E2890" t="str">
            <v>OC26</v>
          </cell>
          <cell r="F2890">
            <v>2799</v>
          </cell>
          <cell r="G2890" t="str">
            <v>US</v>
          </cell>
          <cell r="H2890" t="str">
            <v>USPUSMTRO</v>
          </cell>
          <cell r="I2890" t="str">
            <v>USTRO1583S012</v>
          </cell>
          <cell r="J2890" t="str">
            <v>50</v>
          </cell>
          <cell r="K2890" t="str">
            <v>TROUSER</v>
          </cell>
          <cell r="L2890" t="str">
            <v>NOD</v>
          </cell>
        </row>
        <row r="2891">
          <cell r="C2891" t="str">
            <v>USTRO1596</v>
          </cell>
          <cell r="D2891" t="str">
            <v>CORE</v>
          </cell>
          <cell r="E2891" t="str">
            <v>CO25</v>
          </cell>
          <cell r="F2891">
            <v>2599</v>
          </cell>
          <cell r="G2891" t="str">
            <v>US</v>
          </cell>
          <cell r="H2891" t="str">
            <v>USPUSMTRO</v>
          </cell>
          <cell r="I2891" t="str">
            <v>USTRO1596001</v>
          </cell>
          <cell r="J2891" t="str">
            <v>28</v>
          </cell>
          <cell r="K2891" t="str">
            <v>TROUSER</v>
          </cell>
          <cell r="L2891" t="str">
            <v>NOD</v>
          </cell>
        </row>
        <row r="2892">
          <cell r="C2892" t="str">
            <v>USTRO1596</v>
          </cell>
          <cell r="D2892" t="str">
            <v>CORE</v>
          </cell>
          <cell r="E2892" t="str">
            <v>CO25</v>
          </cell>
          <cell r="F2892">
            <v>2599</v>
          </cell>
          <cell r="G2892" t="str">
            <v>US</v>
          </cell>
          <cell r="H2892" t="str">
            <v>USPUSMTRO</v>
          </cell>
          <cell r="I2892" t="str">
            <v>USTRO1596002</v>
          </cell>
          <cell r="J2892" t="str">
            <v>30</v>
          </cell>
          <cell r="K2892" t="str">
            <v>TROUSER</v>
          </cell>
          <cell r="L2892" t="str">
            <v>NOD</v>
          </cell>
        </row>
        <row r="2893">
          <cell r="C2893" t="str">
            <v>USTRO1596</v>
          </cell>
          <cell r="D2893" t="str">
            <v>CORE</v>
          </cell>
          <cell r="E2893" t="str">
            <v>CO25</v>
          </cell>
          <cell r="F2893">
            <v>2599</v>
          </cell>
          <cell r="G2893" t="str">
            <v>US</v>
          </cell>
          <cell r="H2893" t="str">
            <v>USPUSMTRO</v>
          </cell>
          <cell r="I2893" t="str">
            <v>USTRO1596003</v>
          </cell>
          <cell r="J2893" t="str">
            <v>32</v>
          </cell>
          <cell r="K2893" t="str">
            <v>TROUSER</v>
          </cell>
          <cell r="L2893" t="str">
            <v>NOD</v>
          </cell>
        </row>
        <row r="2894">
          <cell r="C2894" t="str">
            <v>USTRO1596</v>
          </cell>
          <cell r="D2894" t="str">
            <v>CORE</v>
          </cell>
          <cell r="E2894" t="str">
            <v>CO25</v>
          </cell>
          <cell r="F2894">
            <v>2599</v>
          </cell>
          <cell r="G2894" t="str">
            <v>US</v>
          </cell>
          <cell r="H2894" t="str">
            <v>USPUSMTRO</v>
          </cell>
          <cell r="I2894" t="str">
            <v>USTRO1596004</v>
          </cell>
          <cell r="J2894" t="str">
            <v>34</v>
          </cell>
          <cell r="K2894" t="str">
            <v>TROUSER</v>
          </cell>
          <cell r="L2894" t="str">
            <v>NOD</v>
          </cell>
        </row>
        <row r="2895">
          <cell r="C2895" t="str">
            <v>USTRO1596</v>
          </cell>
          <cell r="D2895" t="str">
            <v>CORE</v>
          </cell>
          <cell r="E2895" t="str">
            <v>CO25</v>
          </cell>
          <cell r="F2895">
            <v>2599</v>
          </cell>
          <cell r="G2895" t="str">
            <v>US</v>
          </cell>
          <cell r="H2895" t="str">
            <v>USPUSMTRO</v>
          </cell>
          <cell r="I2895" t="str">
            <v>USTRO1596005</v>
          </cell>
          <cell r="J2895" t="str">
            <v>36</v>
          </cell>
          <cell r="K2895" t="str">
            <v>TROUSER</v>
          </cell>
          <cell r="L2895" t="str">
            <v>NOD</v>
          </cell>
        </row>
        <row r="2896">
          <cell r="C2896" t="str">
            <v>USTRO1596</v>
          </cell>
          <cell r="D2896" t="str">
            <v>CORE</v>
          </cell>
          <cell r="E2896" t="str">
            <v>CO25</v>
          </cell>
          <cell r="F2896">
            <v>2599</v>
          </cell>
          <cell r="G2896" t="str">
            <v>US</v>
          </cell>
          <cell r="H2896" t="str">
            <v>USPUSMTRO</v>
          </cell>
          <cell r="I2896" t="str">
            <v>USTRO1596006</v>
          </cell>
          <cell r="J2896" t="str">
            <v>38</v>
          </cell>
          <cell r="K2896" t="str">
            <v>TROUSER</v>
          </cell>
          <cell r="L2896" t="str">
            <v>NOD</v>
          </cell>
        </row>
        <row r="2897">
          <cell r="C2897" t="str">
            <v>USTRO1596</v>
          </cell>
          <cell r="D2897" t="str">
            <v>CORE</v>
          </cell>
          <cell r="E2897" t="str">
            <v>CO25</v>
          </cell>
          <cell r="F2897">
            <v>2599</v>
          </cell>
          <cell r="G2897" t="str">
            <v>US</v>
          </cell>
          <cell r="H2897" t="str">
            <v>USPUSMTRO</v>
          </cell>
          <cell r="I2897" t="str">
            <v>USTRO1596007</v>
          </cell>
          <cell r="J2897" t="str">
            <v>40</v>
          </cell>
          <cell r="K2897" t="str">
            <v>TROUSER</v>
          </cell>
          <cell r="L2897" t="str">
            <v>NOD</v>
          </cell>
        </row>
        <row r="2898">
          <cell r="C2898" t="str">
            <v>USTRO1596</v>
          </cell>
          <cell r="D2898" t="str">
            <v>CORE</v>
          </cell>
          <cell r="E2898" t="str">
            <v>CO25</v>
          </cell>
          <cell r="F2898">
            <v>2599</v>
          </cell>
          <cell r="G2898" t="str">
            <v>US</v>
          </cell>
          <cell r="H2898" t="str">
            <v>USPUSMTRO</v>
          </cell>
          <cell r="I2898" t="str">
            <v>USTRO1596008</v>
          </cell>
          <cell r="J2898" t="str">
            <v>42</v>
          </cell>
          <cell r="K2898" t="str">
            <v>TROUSER</v>
          </cell>
          <cell r="L2898" t="str">
            <v>NOD</v>
          </cell>
        </row>
        <row r="2899">
          <cell r="C2899" t="str">
            <v>USTRO1596</v>
          </cell>
          <cell r="D2899" t="str">
            <v>CORE</v>
          </cell>
          <cell r="E2899" t="str">
            <v>CO25</v>
          </cell>
          <cell r="F2899">
            <v>2799</v>
          </cell>
          <cell r="G2899" t="str">
            <v>US</v>
          </cell>
          <cell r="H2899" t="str">
            <v>USPUSMTRO</v>
          </cell>
          <cell r="I2899" t="str">
            <v>USTRO1596009</v>
          </cell>
          <cell r="J2899" t="str">
            <v>44</v>
          </cell>
          <cell r="K2899" t="str">
            <v>TROUSER</v>
          </cell>
          <cell r="L2899" t="str">
            <v>NOD</v>
          </cell>
        </row>
        <row r="2900">
          <cell r="C2900" t="str">
            <v>USTRO1596</v>
          </cell>
          <cell r="D2900" t="str">
            <v>CORE</v>
          </cell>
          <cell r="E2900" t="str">
            <v>CO25</v>
          </cell>
          <cell r="F2900">
            <v>2799</v>
          </cell>
          <cell r="G2900" t="str">
            <v>US</v>
          </cell>
          <cell r="H2900" t="str">
            <v>USPUSMTRO</v>
          </cell>
          <cell r="I2900" t="str">
            <v>USTRO1596010</v>
          </cell>
          <cell r="J2900" t="str">
            <v>46</v>
          </cell>
          <cell r="K2900" t="str">
            <v>TROUSER</v>
          </cell>
          <cell r="L2900" t="str">
            <v>NOD</v>
          </cell>
        </row>
        <row r="2901">
          <cell r="C2901" t="str">
            <v>USTRO1596</v>
          </cell>
          <cell r="D2901" t="str">
            <v>CORE</v>
          </cell>
          <cell r="E2901" t="str">
            <v>CO25</v>
          </cell>
          <cell r="F2901">
            <v>2799</v>
          </cell>
          <cell r="G2901" t="str">
            <v>US</v>
          </cell>
          <cell r="H2901" t="str">
            <v>USPUSMTRO</v>
          </cell>
          <cell r="I2901" t="str">
            <v>USTRO1596011</v>
          </cell>
          <cell r="J2901" t="str">
            <v>48</v>
          </cell>
          <cell r="K2901" t="str">
            <v>TROUSER</v>
          </cell>
          <cell r="L2901" t="str">
            <v>NOD</v>
          </cell>
        </row>
        <row r="2902">
          <cell r="C2902" t="str">
            <v>USTRO1596</v>
          </cell>
          <cell r="D2902" t="str">
            <v>CORE</v>
          </cell>
          <cell r="E2902" t="str">
            <v>CO25</v>
          </cell>
          <cell r="F2902">
            <v>2799</v>
          </cell>
          <cell r="G2902" t="str">
            <v>US</v>
          </cell>
          <cell r="H2902" t="str">
            <v>USPUSMTRO</v>
          </cell>
          <cell r="I2902" t="str">
            <v>USTRO1596012</v>
          </cell>
          <cell r="J2902" t="str">
            <v>50</v>
          </cell>
          <cell r="K2902" t="str">
            <v>TROUSER</v>
          </cell>
          <cell r="L2902" t="str">
            <v>NOD</v>
          </cell>
        </row>
        <row r="2903">
          <cell r="C2903" t="str">
            <v>USTRO1596D</v>
          </cell>
          <cell r="D2903" t="str">
            <v>CORE</v>
          </cell>
          <cell r="E2903" t="str">
            <v>CO25</v>
          </cell>
          <cell r="F2903">
            <v>2599</v>
          </cell>
          <cell r="G2903" t="str">
            <v>US</v>
          </cell>
          <cell r="H2903" t="str">
            <v>USPUSMTRO</v>
          </cell>
          <cell r="I2903" t="str">
            <v>USTRO1596D001</v>
          </cell>
          <cell r="J2903" t="str">
            <v>28</v>
          </cell>
          <cell r="K2903" t="str">
            <v>TROUSER</v>
          </cell>
          <cell r="L2903" t="str">
            <v>NOD</v>
          </cell>
        </row>
        <row r="2904">
          <cell r="C2904" t="str">
            <v>USTRO1596D</v>
          </cell>
          <cell r="D2904" t="str">
            <v>CORE</v>
          </cell>
          <cell r="E2904" t="str">
            <v>CO25</v>
          </cell>
          <cell r="F2904">
            <v>2599</v>
          </cell>
          <cell r="G2904" t="str">
            <v>US</v>
          </cell>
          <cell r="H2904" t="str">
            <v>USPUSMTRO</v>
          </cell>
          <cell r="I2904" t="str">
            <v>USTRO1596D002</v>
          </cell>
          <cell r="J2904" t="str">
            <v>30</v>
          </cell>
          <cell r="K2904" t="str">
            <v>TROUSER</v>
          </cell>
          <cell r="L2904" t="str">
            <v>NOD</v>
          </cell>
        </row>
        <row r="2905">
          <cell r="C2905" t="str">
            <v>USTRO1596D</v>
          </cell>
          <cell r="D2905" t="str">
            <v>CORE</v>
          </cell>
          <cell r="E2905" t="str">
            <v>CO25</v>
          </cell>
          <cell r="F2905">
            <v>2599</v>
          </cell>
          <cell r="G2905" t="str">
            <v>US</v>
          </cell>
          <cell r="H2905" t="str">
            <v>USPUSMTRO</v>
          </cell>
          <cell r="I2905" t="str">
            <v>USTRO1596D003</v>
          </cell>
          <cell r="J2905" t="str">
            <v>32</v>
          </cell>
          <cell r="K2905" t="str">
            <v>TROUSER</v>
          </cell>
          <cell r="L2905" t="str">
            <v>NOD</v>
          </cell>
        </row>
        <row r="2906">
          <cell r="C2906" t="str">
            <v>USTRO1596D</v>
          </cell>
          <cell r="D2906" t="str">
            <v>CORE</v>
          </cell>
          <cell r="E2906" t="str">
            <v>CO25</v>
          </cell>
          <cell r="F2906">
            <v>2599</v>
          </cell>
          <cell r="G2906" t="str">
            <v>US</v>
          </cell>
          <cell r="H2906" t="str">
            <v>USPUSMTRO</v>
          </cell>
          <cell r="I2906" t="str">
            <v>USTRO1596D004</v>
          </cell>
          <cell r="J2906" t="str">
            <v>34</v>
          </cell>
          <cell r="K2906" t="str">
            <v>TROUSER</v>
          </cell>
          <cell r="L2906" t="str">
            <v>NOD</v>
          </cell>
        </row>
        <row r="2907">
          <cell r="C2907" t="str">
            <v>USTRO1596D</v>
          </cell>
          <cell r="D2907" t="str">
            <v>CORE</v>
          </cell>
          <cell r="E2907" t="str">
            <v>CO25</v>
          </cell>
          <cell r="F2907">
            <v>2599</v>
          </cell>
          <cell r="G2907" t="str">
            <v>US</v>
          </cell>
          <cell r="H2907" t="str">
            <v>USPUSMTRO</v>
          </cell>
          <cell r="I2907" t="str">
            <v>USTRO1596D005</v>
          </cell>
          <cell r="J2907" t="str">
            <v>36</v>
          </cell>
          <cell r="K2907" t="str">
            <v>TROUSER</v>
          </cell>
          <cell r="L2907" t="str">
            <v>NOD</v>
          </cell>
        </row>
        <row r="2908">
          <cell r="C2908" t="str">
            <v>USTRO1596D</v>
          </cell>
          <cell r="D2908" t="str">
            <v>CORE</v>
          </cell>
          <cell r="E2908" t="str">
            <v>CO25</v>
          </cell>
          <cell r="F2908">
            <v>2599</v>
          </cell>
          <cell r="G2908" t="str">
            <v>US</v>
          </cell>
          <cell r="H2908" t="str">
            <v>USPUSMTRO</v>
          </cell>
          <cell r="I2908" t="str">
            <v>USTRO1596D006</v>
          </cell>
          <cell r="J2908" t="str">
            <v>38</v>
          </cell>
          <cell r="K2908" t="str">
            <v>TROUSER</v>
          </cell>
          <cell r="L2908" t="str">
            <v>NOD</v>
          </cell>
        </row>
        <row r="2909">
          <cell r="C2909" t="str">
            <v>USTRO1596D</v>
          </cell>
          <cell r="D2909" t="str">
            <v>CORE</v>
          </cell>
          <cell r="E2909" t="str">
            <v>CO25</v>
          </cell>
          <cell r="F2909">
            <v>2599</v>
          </cell>
          <cell r="G2909" t="str">
            <v>US</v>
          </cell>
          <cell r="H2909" t="str">
            <v>USPUSMTRO</v>
          </cell>
          <cell r="I2909" t="str">
            <v>USTRO1596D007</v>
          </cell>
          <cell r="J2909" t="str">
            <v>40</v>
          </cell>
          <cell r="K2909" t="str">
            <v>TROUSER</v>
          </cell>
          <cell r="L2909" t="str">
            <v>NOD</v>
          </cell>
        </row>
        <row r="2910">
          <cell r="C2910" t="str">
            <v>USTRO1596D</v>
          </cell>
          <cell r="D2910" t="str">
            <v>CORE</v>
          </cell>
          <cell r="E2910" t="str">
            <v>CO25</v>
          </cell>
          <cell r="F2910">
            <v>2599</v>
          </cell>
          <cell r="G2910" t="str">
            <v>US</v>
          </cell>
          <cell r="H2910" t="str">
            <v>USPUSMTRO</v>
          </cell>
          <cell r="I2910" t="str">
            <v>USTRO1596D008</v>
          </cell>
          <cell r="J2910" t="str">
            <v>42</v>
          </cell>
          <cell r="K2910" t="str">
            <v>TROUSER</v>
          </cell>
          <cell r="L2910" t="str">
            <v>NOD</v>
          </cell>
        </row>
        <row r="2911">
          <cell r="C2911" t="str">
            <v>USTRO1596D</v>
          </cell>
          <cell r="D2911" t="str">
            <v>CORE</v>
          </cell>
          <cell r="E2911" t="str">
            <v>CO25</v>
          </cell>
          <cell r="F2911">
            <v>2799</v>
          </cell>
          <cell r="G2911" t="str">
            <v>US</v>
          </cell>
          <cell r="H2911" t="str">
            <v>USPUSMTRO</v>
          </cell>
          <cell r="I2911" t="str">
            <v>USTRO1596D009</v>
          </cell>
          <cell r="J2911" t="str">
            <v>44</v>
          </cell>
          <cell r="K2911" t="str">
            <v>TROUSER</v>
          </cell>
          <cell r="L2911" t="str">
            <v>NOD</v>
          </cell>
        </row>
        <row r="2912">
          <cell r="C2912" t="str">
            <v>USTRO1596D</v>
          </cell>
          <cell r="D2912" t="str">
            <v>CORE</v>
          </cell>
          <cell r="E2912" t="str">
            <v>CO25</v>
          </cell>
          <cell r="F2912">
            <v>2799</v>
          </cell>
          <cell r="G2912" t="str">
            <v>US</v>
          </cell>
          <cell r="H2912" t="str">
            <v>USPUSMTRO</v>
          </cell>
          <cell r="I2912" t="str">
            <v>USTRO1596D010</v>
          </cell>
          <cell r="J2912" t="str">
            <v>46</v>
          </cell>
          <cell r="K2912" t="str">
            <v>TROUSER</v>
          </cell>
          <cell r="L2912" t="str">
            <v>NOD</v>
          </cell>
        </row>
        <row r="2913">
          <cell r="C2913" t="str">
            <v>USTRO1596D</v>
          </cell>
          <cell r="D2913" t="str">
            <v>CORE</v>
          </cell>
          <cell r="E2913" t="str">
            <v>CO25</v>
          </cell>
          <cell r="F2913">
            <v>2799</v>
          </cell>
          <cell r="G2913" t="str">
            <v>US</v>
          </cell>
          <cell r="H2913" t="str">
            <v>USPUSMTRO</v>
          </cell>
          <cell r="I2913" t="str">
            <v>USTRO1596D011</v>
          </cell>
          <cell r="J2913" t="str">
            <v>48</v>
          </cell>
          <cell r="K2913" t="str">
            <v>TROUSER</v>
          </cell>
          <cell r="L2913" t="str">
            <v>NOD</v>
          </cell>
        </row>
        <row r="2914">
          <cell r="C2914" t="str">
            <v>USTRO1596D</v>
          </cell>
          <cell r="D2914" t="str">
            <v>CORE</v>
          </cell>
          <cell r="E2914" t="str">
            <v>CO25</v>
          </cell>
          <cell r="F2914">
            <v>2799</v>
          </cell>
          <cell r="G2914" t="str">
            <v>US</v>
          </cell>
          <cell r="H2914" t="str">
            <v>USPUSMTRO</v>
          </cell>
          <cell r="I2914" t="str">
            <v>USTRO1596D012</v>
          </cell>
          <cell r="J2914" t="str">
            <v>50</v>
          </cell>
          <cell r="K2914" t="str">
            <v>TROUSER</v>
          </cell>
          <cell r="L2914" t="str">
            <v>NOD</v>
          </cell>
        </row>
        <row r="2915">
          <cell r="C2915" t="str">
            <v>USTRO1597</v>
          </cell>
          <cell r="D2915" t="str">
            <v>OCOR</v>
          </cell>
          <cell r="E2915" t="str">
            <v>OC25</v>
          </cell>
          <cell r="F2915">
            <v>2599</v>
          </cell>
          <cell r="G2915" t="str">
            <v>US</v>
          </cell>
          <cell r="H2915" t="str">
            <v>USPUSMTRO</v>
          </cell>
          <cell r="I2915" t="str">
            <v>USTRO1597001</v>
          </cell>
          <cell r="J2915" t="str">
            <v>28</v>
          </cell>
          <cell r="K2915" t="str">
            <v>TROUSER</v>
          </cell>
          <cell r="L2915" t="str">
            <v>NOD</v>
          </cell>
        </row>
        <row r="2916">
          <cell r="C2916" t="str">
            <v>USTRO1597</v>
          </cell>
          <cell r="D2916" t="str">
            <v>OCOR</v>
          </cell>
          <cell r="E2916" t="str">
            <v>OC25</v>
          </cell>
          <cell r="F2916">
            <v>2599</v>
          </cell>
          <cell r="G2916" t="str">
            <v>US</v>
          </cell>
          <cell r="H2916" t="str">
            <v>USPUSMTRO</v>
          </cell>
          <cell r="I2916" t="str">
            <v>USTRO1597002</v>
          </cell>
          <cell r="J2916" t="str">
            <v>30</v>
          </cell>
          <cell r="K2916" t="str">
            <v>TROUSER</v>
          </cell>
          <cell r="L2916" t="str">
            <v>NOD</v>
          </cell>
        </row>
        <row r="2917">
          <cell r="C2917" t="str">
            <v>USTRO1597</v>
          </cell>
          <cell r="D2917" t="str">
            <v>OCOR</v>
          </cell>
          <cell r="E2917" t="str">
            <v>OC25</v>
          </cell>
          <cell r="F2917">
            <v>2599</v>
          </cell>
          <cell r="G2917" t="str">
            <v>US</v>
          </cell>
          <cell r="H2917" t="str">
            <v>USPUSMTRO</v>
          </cell>
          <cell r="I2917" t="str">
            <v>USTRO1597003</v>
          </cell>
          <cell r="J2917" t="str">
            <v>32</v>
          </cell>
          <cell r="K2917" t="str">
            <v>TROUSER</v>
          </cell>
          <cell r="L2917" t="str">
            <v>NOD</v>
          </cell>
        </row>
        <row r="2918">
          <cell r="C2918" t="str">
            <v>USTRO1597</v>
          </cell>
          <cell r="D2918" t="str">
            <v>OCOR</v>
          </cell>
          <cell r="E2918" t="str">
            <v>OC25</v>
          </cell>
          <cell r="F2918">
            <v>2599</v>
          </cell>
          <cell r="G2918" t="str">
            <v>US</v>
          </cell>
          <cell r="H2918" t="str">
            <v>USPUSMTRO</v>
          </cell>
          <cell r="I2918" t="str">
            <v>USTRO1597004</v>
          </cell>
          <cell r="J2918" t="str">
            <v>34</v>
          </cell>
          <cell r="K2918" t="str">
            <v>TROUSER</v>
          </cell>
          <cell r="L2918" t="str">
            <v>NOD</v>
          </cell>
        </row>
        <row r="2919">
          <cell r="C2919" t="str">
            <v>USTRO1597</v>
          </cell>
          <cell r="D2919" t="str">
            <v>OCOR</v>
          </cell>
          <cell r="E2919" t="str">
            <v>OC25</v>
          </cell>
          <cell r="F2919">
            <v>2599</v>
          </cell>
          <cell r="G2919" t="str">
            <v>US</v>
          </cell>
          <cell r="H2919" t="str">
            <v>USPUSMTRO</v>
          </cell>
          <cell r="I2919" t="str">
            <v>USTRO1597005</v>
          </cell>
          <cell r="J2919" t="str">
            <v>36</v>
          </cell>
          <cell r="K2919" t="str">
            <v>TROUSER</v>
          </cell>
          <cell r="L2919" t="str">
            <v>NOD</v>
          </cell>
        </row>
        <row r="2920">
          <cell r="C2920" t="str">
            <v>USTRO1597</v>
          </cell>
          <cell r="D2920" t="str">
            <v>OCOR</v>
          </cell>
          <cell r="E2920" t="str">
            <v>OC25</v>
          </cell>
          <cell r="F2920">
            <v>2599</v>
          </cell>
          <cell r="G2920" t="str">
            <v>US</v>
          </cell>
          <cell r="H2920" t="str">
            <v>USPUSMTRO</v>
          </cell>
          <cell r="I2920" t="str">
            <v>USTRO1597006</v>
          </cell>
          <cell r="J2920" t="str">
            <v>38</v>
          </cell>
          <cell r="K2920" t="str">
            <v>TROUSER</v>
          </cell>
          <cell r="L2920" t="str">
            <v>NOD</v>
          </cell>
        </row>
        <row r="2921">
          <cell r="C2921" t="str">
            <v>USTRO1597</v>
          </cell>
          <cell r="D2921" t="str">
            <v>OCOR</v>
          </cell>
          <cell r="E2921" t="str">
            <v>OC25</v>
          </cell>
          <cell r="F2921">
            <v>2599</v>
          </cell>
          <cell r="G2921" t="str">
            <v>US</v>
          </cell>
          <cell r="H2921" t="str">
            <v>USPUSMTRO</v>
          </cell>
          <cell r="I2921" t="str">
            <v>USTRO1597007</v>
          </cell>
          <cell r="J2921" t="str">
            <v>40</v>
          </cell>
          <cell r="K2921" t="str">
            <v>TROUSER</v>
          </cell>
          <cell r="L2921" t="str">
            <v>NOD</v>
          </cell>
        </row>
        <row r="2922">
          <cell r="C2922" t="str">
            <v>USTRO1597</v>
          </cell>
          <cell r="D2922" t="str">
            <v>OCOR</v>
          </cell>
          <cell r="E2922" t="str">
            <v>OC25</v>
          </cell>
          <cell r="F2922">
            <v>2599</v>
          </cell>
          <cell r="G2922" t="str">
            <v>US</v>
          </cell>
          <cell r="H2922" t="str">
            <v>USPUSMTRO</v>
          </cell>
          <cell r="I2922" t="str">
            <v>USTRO1597008</v>
          </cell>
          <cell r="J2922" t="str">
            <v>42</v>
          </cell>
          <cell r="K2922" t="str">
            <v>TROUSER</v>
          </cell>
          <cell r="L2922" t="str">
            <v>NOD</v>
          </cell>
        </row>
        <row r="2923">
          <cell r="C2923" t="str">
            <v>USTRO1597</v>
          </cell>
          <cell r="D2923" t="str">
            <v>OCOR</v>
          </cell>
          <cell r="E2923" t="str">
            <v>OC25</v>
          </cell>
          <cell r="F2923">
            <v>2799</v>
          </cell>
          <cell r="G2923" t="str">
            <v>US</v>
          </cell>
          <cell r="H2923" t="str">
            <v>USPUSMTRO</v>
          </cell>
          <cell r="I2923" t="str">
            <v>USTRO1597009</v>
          </cell>
          <cell r="J2923" t="str">
            <v>44</v>
          </cell>
          <cell r="K2923" t="str">
            <v>TROUSER</v>
          </cell>
          <cell r="L2923" t="str">
            <v>NOD</v>
          </cell>
        </row>
        <row r="2924">
          <cell r="C2924" t="str">
            <v>USTRO1597</v>
          </cell>
          <cell r="D2924" t="str">
            <v>OCOR</v>
          </cell>
          <cell r="E2924" t="str">
            <v>OC25</v>
          </cell>
          <cell r="F2924">
            <v>2799</v>
          </cell>
          <cell r="G2924" t="str">
            <v>US</v>
          </cell>
          <cell r="H2924" t="str">
            <v>USPUSMTRO</v>
          </cell>
          <cell r="I2924" t="str">
            <v>USTRO1597010</v>
          </cell>
          <cell r="J2924" t="str">
            <v>46</v>
          </cell>
          <cell r="K2924" t="str">
            <v>TROUSER</v>
          </cell>
          <cell r="L2924" t="str">
            <v>NOD</v>
          </cell>
        </row>
        <row r="2925">
          <cell r="C2925" t="str">
            <v>USTRO1597</v>
          </cell>
          <cell r="D2925" t="str">
            <v>OCOR</v>
          </cell>
          <cell r="E2925" t="str">
            <v>OC25</v>
          </cell>
          <cell r="F2925">
            <v>2799</v>
          </cell>
          <cell r="G2925" t="str">
            <v>US</v>
          </cell>
          <cell r="H2925" t="str">
            <v>USPUSMTRO</v>
          </cell>
          <cell r="I2925" t="str">
            <v>USTRO1597011</v>
          </cell>
          <cell r="J2925" t="str">
            <v>48</v>
          </cell>
          <cell r="K2925" t="str">
            <v>TROUSER</v>
          </cell>
          <cell r="L2925" t="str">
            <v>NOD</v>
          </cell>
        </row>
        <row r="2926">
          <cell r="C2926" t="str">
            <v>USTRO1597</v>
          </cell>
          <cell r="D2926" t="str">
            <v>OCOR</v>
          </cell>
          <cell r="E2926" t="str">
            <v>OC25</v>
          </cell>
          <cell r="F2926">
            <v>2799</v>
          </cell>
          <cell r="G2926" t="str">
            <v>US</v>
          </cell>
          <cell r="H2926" t="str">
            <v>USPUSMTRO</v>
          </cell>
          <cell r="I2926" t="str">
            <v>USTRO1597012</v>
          </cell>
          <cell r="J2926" t="str">
            <v>50</v>
          </cell>
          <cell r="K2926" t="str">
            <v>TROUSER</v>
          </cell>
          <cell r="L2926" t="str">
            <v>NOD</v>
          </cell>
        </row>
        <row r="2927">
          <cell r="C2927" t="str">
            <v>USTRO1597D</v>
          </cell>
          <cell r="D2927" t="str">
            <v>CORE</v>
          </cell>
          <cell r="E2927" t="str">
            <v>CO25</v>
          </cell>
          <cell r="F2927">
            <v>2599</v>
          </cell>
          <cell r="G2927" t="str">
            <v>US</v>
          </cell>
          <cell r="H2927" t="str">
            <v>USPUSMTRO</v>
          </cell>
          <cell r="I2927" t="str">
            <v>USTRO1597D001</v>
          </cell>
          <cell r="J2927" t="str">
            <v>28</v>
          </cell>
          <cell r="K2927" t="str">
            <v>TROUSER</v>
          </cell>
          <cell r="L2927" t="str">
            <v>NOD</v>
          </cell>
        </row>
        <row r="2928">
          <cell r="C2928" t="str">
            <v>USTRO1597D</v>
          </cell>
          <cell r="D2928" t="str">
            <v>CORE</v>
          </cell>
          <cell r="E2928" t="str">
            <v>CO25</v>
          </cell>
          <cell r="F2928">
            <v>2599</v>
          </cell>
          <cell r="G2928" t="str">
            <v>US</v>
          </cell>
          <cell r="H2928" t="str">
            <v>USPUSMTRO</v>
          </cell>
          <cell r="I2928" t="str">
            <v>USTRO1597D002</v>
          </cell>
          <cell r="J2928" t="str">
            <v>30</v>
          </cell>
          <cell r="K2928" t="str">
            <v>TROUSER</v>
          </cell>
          <cell r="L2928" t="str">
            <v>NOD</v>
          </cell>
        </row>
        <row r="2929">
          <cell r="C2929" t="str">
            <v>USTRO1597D</v>
          </cell>
          <cell r="D2929" t="str">
            <v>CORE</v>
          </cell>
          <cell r="E2929" t="str">
            <v>CO25</v>
          </cell>
          <cell r="F2929">
            <v>2599</v>
          </cell>
          <cell r="G2929" t="str">
            <v>US</v>
          </cell>
          <cell r="H2929" t="str">
            <v>USPUSMTRO</v>
          </cell>
          <cell r="I2929" t="str">
            <v>USTRO1597D003</v>
          </cell>
          <cell r="J2929" t="str">
            <v>32</v>
          </cell>
          <cell r="K2929" t="str">
            <v>TROUSER</v>
          </cell>
          <cell r="L2929" t="str">
            <v>NOD</v>
          </cell>
        </row>
        <row r="2930">
          <cell r="C2930" t="str">
            <v>USTRO1597D</v>
          </cell>
          <cell r="D2930" t="str">
            <v>CORE</v>
          </cell>
          <cell r="E2930" t="str">
            <v>CO25</v>
          </cell>
          <cell r="F2930">
            <v>2599</v>
          </cell>
          <cell r="G2930" t="str">
            <v>US</v>
          </cell>
          <cell r="H2930" t="str">
            <v>USPUSMTRO</v>
          </cell>
          <cell r="I2930" t="str">
            <v>USTRO1597D004</v>
          </cell>
          <cell r="J2930" t="str">
            <v>34</v>
          </cell>
          <cell r="K2930" t="str">
            <v>TROUSER</v>
          </cell>
          <cell r="L2930" t="str">
            <v>NOD</v>
          </cell>
        </row>
        <row r="2931">
          <cell r="C2931" t="str">
            <v>USTRO1597D</v>
          </cell>
          <cell r="D2931" t="str">
            <v>CORE</v>
          </cell>
          <cell r="E2931" t="str">
            <v>CO25</v>
          </cell>
          <cell r="F2931">
            <v>2599</v>
          </cell>
          <cell r="G2931" t="str">
            <v>US</v>
          </cell>
          <cell r="H2931" t="str">
            <v>USPUSMTRO</v>
          </cell>
          <cell r="I2931" t="str">
            <v>USTRO1597D005</v>
          </cell>
          <cell r="J2931" t="str">
            <v>36</v>
          </cell>
          <cell r="K2931" t="str">
            <v>TROUSER</v>
          </cell>
          <cell r="L2931" t="str">
            <v>NOD</v>
          </cell>
        </row>
        <row r="2932">
          <cell r="C2932" t="str">
            <v>USTRO1597D</v>
          </cell>
          <cell r="D2932" t="str">
            <v>CORE</v>
          </cell>
          <cell r="E2932" t="str">
            <v>CO25</v>
          </cell>
          <cell r="F2932">
            <v>2599</v>
          </cell>
          <cell r="G2932" t="str">
            <v>US</v>
          </cell>
          <cell r="H2932" t="str">
            <v>USPUSMTRO</v>
          </cell>
          <cell r="I2932" t="str">
            <v>USTRO1597D006</v>
          </cell>
          <cell r="J2932" t="str">
            <v>38</v>
          </cell>
          <cell r="K2932" t="str">
            <v>TROUSER</v>
          </cell>
          <cell r="L2932" t="str">
            <v>NOD</v>
          </cell>
        </row>
        <row r="2933">
          <cell r="C2933" t="str">
            <v>USTRO1597D</v>
          </cell>
          <cell r="D2933" t="str">
            <v>CORE</v>
          </cell>
          <cell r="E2933" t="str">
            <v>CO25</v>
          </cell>
          <cell r="F2933">
            <v>2599</v>
          </cell>
          <cell r="G2933" t="str">
            <v>US</v>
          </cell>
          <cell r="H2933" t="str">
            <v>USPUSMTRO</v>
          </cell>
          <cell r="I2933" t="str">
            <v>USTRO1597D007</v>
          </cell>
          <cell r="J2933" t="str">
            <v>40</v>
          </cell>
          <cell r="K2933" t="str">
            <v>TROUSER</v>
          </cell>
          <cell r="L2933" t="str">
            <v>NOD</v>
          </cell>
        </row>
        <row r="2934">
          <cell r="C2934" t="str">
            <v>USTRO1597D</v>
          </cell>
          <cell r="D2934" t="str">
            <v>CORE</v>
          </cell>
          <cell r="E2934" t="str">
            <v>CO25</v>
          </cell>
          <cell r="F2934">
            <v>2599</v>
          </cell>
          <cell r="G2934" t="str">
            <v>US</v>
          </cell>
          <cell r="H2934" t="str">
            <v>USPUSMTRO</v>
          </cell>
          <cell r="I2934" t="str">
            <v>USTRO1597D008</v>
          </cell>
          <cell r="J2934" t="str">
            <v>42</v>
          </cell>
          <cell r="K2934" t="str">
            <v>TROUSER</v>
          </cell>
          <cell r="L2934" t="str">
            <v>NOD</v>
          </cell>
        </row>
        <row r="2935">
          <cell r="C2935" t="str">
            <v>USTRO1597D</v>
          </cell>
          <cell r="D2935" t="str">
            <v>CORE</v>
          </cell>
          <cell r="E2935" t="str">
            <v>CO25</v>
          </cell>
          <cell r="F2935">
            <v>2799</v>
          </cell>
          <cell r="G2935" t="str">
            <v>US</v>
          </cell>
          <cell r="H2935" t="str">
            <v>USPUSMTRO</v>
          </cell>
          <cell r="I2935" t="str">
            <v>USTRO1597D009</v>
          </cell>
          <cell r="J2935" t="str">
            <v>44</v>
          </cell>
          <cell r="K2935" t="str">
            <v>TROUSER</v>
          </cell>
          <cell r="L2935" t="str">
            <v>NOD</v>
          </cell>
        </row>
        <row r="2936">
          <cell r="C2936" t="str">
            <v>USTRO1597D</v>
          </cell>
          <cell r="D2936" t="str">
            <v>CORE</v>
          </cell>
          <cell r="E2936" t="str">
            <v>CO25</v>
          </cell>
          <cell r="F2936">
            <v>2799</v>
          </cell>
          <cell r="G2936" t="str">
            <v>US</v>
          </cell>
          <cell r="H2936" t="str">
            <v>USPUSMTRO</v>
          </cell>
          <cell r="I2936" t="str">
            <v>USTRO1597D010</v>
          </cell>
          <cell r="J2936" t="str">
            <v>46</v>
          </cell>
          <cell r="K2936" t="str">
            <v>TROUSER</v>
          </cell>
          <cell r="L2936" t="str">
            <v>NOD</v>
          </cell>
        </row>
        <row r="2937">
          <cell r="C2937" t="str">
            <v>USTRO1597D</v>
          </cell>
          <cell r="D2937" t="str">
            <v>CORE</v>
          </cell>
          <cell r="E2937" t="str">
            <v>CO25</v>
          </cell>
          <cell r="F2937">
            <v>2799</v>
          </cell>
          <cell r="G2937" t="str">
            <v>US</v>
          </cell>
          <cell r="H2937" t="str">
            <v>USPUSMTRO</v>
          </cell>
          <cell r="I2937" t="str">
            <v>USTRO1597D011</v>
          </cell>
          <cell r="J2937" t="str">
            <v>48</v>
          </cell>
          <cell r="K2937" t="str">
            <v>TROUSER</v>
          </cell>
          <cell r="L2937" t="str">
            <v>NOD</v>
          </cell>
        </row>
        <row r="2938">
          <cell r="C2938" t="str">
            <v>USTRO1597D</v>
          </cell>
          <cell r="D2938" t="str">
            <v>CORE</v>
          </cell>
          <cell r="E2938" t="str">
            <v>CO25</v>
          </cell>
          <cell r="F2938">
            <v>2799</v>
          </cell>
          <cell r="G2938" t="str">
            <v>US</v>
          </cell>
          <cell r="H2938" t="str">
            <v>USPUSMTRO</v>
          </cell>
          <cell r="I2938" t="str">
            <v>USTRO1597D012</v>
          </cell>
          <cell r="J2938" t="str">
            <v>50</v>
          </cell>
          <cell r="K2938" t="str">
            <v>TROUSER</v>
          </cell>
          <cell r="L2938" t="str">
            <v>NOD</v>
          </cell>
        </row>
        <row r="2939">
          <cell r="C2939" t="str">
            <v>USTRO1598</v>
          </cell>
          <cell r="D2939" t="str">
            <v>OCOR</v>
          </cell>
          <cell r="E2939" t="str">
            <v>OC25</v>
          </cell>
          <cell r="F2939">
            <v>2599</v>
          </cell>
          <cell r="G2939" t="str">
            <v>US</v>
          </cell>
          <cell r="H2939" t="str">
            <v>USPUSMTRO</v>
          </cell>
          <cell r="I2939" t="str">
            <v>USTRO1598001</v>
          </cell>
          <cell r="J2939" t="str">
            <v>28</v>
          </cell>
          <cell r="K2939" t="str">
            <v>TROUSER</v>
          </cell>
          <cell r="L2939" t="str">
            <v>NOD</v>
          </cell>
        </row>
        <row r="2940">
          <cell r="C2940" t="str">
            <v>USTRO1598</v>
          </cell>
          <cell r="D2940" t="str">
            <v>OCOR</v>
          </cell>
          <cell r="E2940" t="str">
            <v>OC25</v>
          </cell>
          <cell r="F2940">
            <v>2599</v>
          </cell>
          <cell r="G2940" t="str">
            <v>US</v>
          </cell>
          <cell r="H2940" t="str">
            <v>USPUSMTRO</v>
          </cell>
          <cell r="I2940" t="str">
            <v>USTRO1598002</v>
          </cell>
          <cell r="J2940" t="str">
            <v>30</v>
          </cell>
          <cell r="K2940" t="str">
            <v>TROUSER</v>
          </cell>
          <cell r="L2940" t="str">
            <v>NOD</v>
          </cell>
        </row>
        <row r="2941">
          <cell r="C2941" t="str">
            <v>USTRO1598</v>
          </cell>
          <cell r="D2941" t="str">
            <v>OCOR</v>
          </cell>
          <cell r="E2941" t="str">
            <v>OC25</v>
          </cell>
          <cell r="F2941">
            <v>2599</v>
          </cell>
          <cell r="G2941" t="str">
            <v>US</v>
          </cell>
          <cell r="H2941" t="str">
            <v>USPUSMTRO</v>
          </cell>
          <cell r="I2941" t="str">
            <v>USTRO1598003</v>
          </cell>
          <cell r="J2941" t="str">
            <v>32</v>
          </cell>
          <cell r="K2941" t="str">
            <v>TROUSER</v>
          </cell>
          <cell r="L2941" t="str">
            <v>NOD</v>
          </cell>
        </row>
        <row r="2942">
          <cell r="C2942" t="str">
            <v>USTRO1598</v>
          </cell>
          <cell r="D2942" t="str">
            <v>OCOR</v>
          </cell>
          <cell r="E2942" t="str">
            <v>OC25</v>
          </cell>
          <cell r="F2942">
            <v>2599</v>
          </cell>
          <cell r="G2942" t="str">
            <v>US</v>
          </cell>
          <cell r="H2942" t="str">
            <v>USPUSMTRO</v>
          </cell>
          <cell r="I2942" t="str">
            <v>USTRO1598004</v>
          </cell>
          <cell r="J2942" t="str">
            <v>34</v>
          </cell>
          <cell r="K2942" t="str">
            <v>TROUSER</v>
          </cell>
          <cell r="L2942" t="str">
            <v>NOD</v>
          </cell>
        </row>
        <row r="2943">
          <cell r="C2943" t="str">
            <v>USTRO1598</v>
          </cell>
          <cell r="D2943" t="str">
            <v>OCOR</v>
          </cell>
          <cell r="E2943" t="str">
            <v>OC25</v>
          </cell>
          <cell r="F2943">
            <v>2599</v>
          </cell>
          <cell r="G2943" t="str">
            <v>US</v>
          </cell>
          <cell r="H2943" t="str">
            <v>USPUSMTRO</v>
          </cell>
          <cell r="I2943" t="str">
            <v>USTRO1598005</v>
          </cell>
          <cell r="J2943" t="str">
            <v>36</v>
          </cell>
          <cell r="K2943" t="str">
            <v>TROUSER</v>
          </cell>
          <cell r="L2943" t="str">
            <v>NOD</v>
          </cell>
        </row>
        <row r="2944">
          <cell r="C2944" t="str">
            <v>USTRO1598</v>
          </cell>
          <cell r="D2944" t="str">
            <v>OCOR</v>
          </cell>
          <cell r="E2944" t="str">
            <v>OC25</v>
          </cell>
          <cell r="F2944">
            <v>2599</v>
          </cell>
          <cell r="G2944" t="str">
            <v>US</v>
          </cell>
          <cell r="H2944" t="str">
            <v>USPUSMTRO</v>
          </cell>
          <cell r="I2944" t="str">
            <v>USTRO1598006</v>
          </cell>
          <cell r="J2944" t="str">
            <v>38</v>
          </cell>
          <cell r="K2944" t="str">
            <v>TROUSER</v>
          </cell>
          <cell r="L2944" t="str">
            <v>NOD</v>
          </cell>
        </row>
        <row r="2945">
          <cell r="C2945" t="str">
            <v>USTRO1598</v>
          </cell>
          <cell r="D2945" t="str">
            <v>OCOR</v>
          </cell>
          <cell r="E2945" t="str">
            <v>OC25</v>
          </cell>
          <cell r="F2945">
            <v>2599</v>
          </cell>
          <cell r="G2945" t="str">
            <v>US</v>
          </cell>
          <cell r="H2945" t="str">
            <v>USPUSMTRO</v>
          </cell>
          <cell r="I2945" t="str">
            <v>USTRO1598007</v>
          </cell>
          <cell r="J2945" t="str">
            <v>40</v>
          </cell>
          <cell r="K2945" t="str">
            <v>TROUSER</v>
          </cell>
          <cell r="L2945" t="str">
            <v>NOD</v>
          </cell>
        </row>
        <row r="2946">
          <cell r="C2946" t="str">
            <v>USTRO1598</v>
          </cell>
          <cell r="D2946" t="str">
            <v>OCOR</v>
          </cell>
          <cell r="E2946" t="str">
            <v>OC25</v>
          </cell>
          <cell r="F2946">
            <v>2599</v>
          </cell>
          <cell r="G2946" t="str">
            <v>US</v>
          </cell>
          <cell r="H2946" t="str">
            <v>USPUSMTRO</v>
          </cell>
          <cell r="I2946" t="str">
            <v>USTRO1598008</v>
          </cell>
          <cell r="J2946" t="str">
            <v>42</v>
          </cell>
          <cell r="K2946" t="str">
            <v>TROUSER</v>
          </cell>
          <cell r="L2946" t="str">
            <v>NOD</v>
          </cell>
        </row>
        <row r="2947">
          <cell r="C2947" t="str">
            <v>USTRO1598</v>
          </cell>
          <cell r="D2947" t="str">
            <v>OCOR</v>
          </cell>
          <cell r="E2947" t="str">
            <v>OC25</v>
          </cell>
          <cell r="F2947">
            <v>2799</v>
          </cell>
          <cell r="G2947" t="str">
            <v>US</v>
          </cell>
          <cell r="H2947" t="str">
            <v>USPUSMTRO</v>
          </cell>
          <cell r="I2947" t="str">
            <v>USTRO1598009</v>
          </cell>
          <cell r="J2947" t="str">
            <v>44</v>
          </cell>
          <cell r="K2947" t="str">
            <v>TROUSER</v>
          </cell>
          <cell r="L2947" t="str">
            <v>NOD</v>
          </cell>
        </row>
        <row r="2948">
          <cell r="C2948" t="str">
            <v>USTRO1598</v>
          </cell>
          <cell r="D2948" t="str">
            <v>OCOR</v>
          </cell>
          <cell r="E2948" t="str">
            <v>OC25</v>
          </cell>
          <cell r="F2948">
            <v>2799</v>
          </cell>
          <cell r="G2948" t="str">
            <v>US</v>
          </cell>
          <cell r="H2948" t="str">
            <v>USPUSMTRO</v>
          </cell>
          <cell r="I2948" t="str">
            <v>USTRO1598010</v>
          </cell>
          <cell r="J2948" t="str">
            <v>46</v>
          </cell>
          <cell r="K2948" t="str">
            <v>TROUSER</v>
          </cell>
          <cell r="L2948" t="str">
            <v>NOD</v>
          </cell>
        </row>
        <row r="2949">
          <cell r="C2949" t="str">
            <v>USTRO1598</v>
          </cell>
          <cell r="D2949" t="str">
            <v>OCOR</v>
          </cell>
          <cell r="E2949" t="str">
            <v>OC25</v>
          </cell>
          <cell r="F2949">
            <v>2799</v>
          </cell>
          <cell r="G2949" t="str">
            <v>US</v>
          </cell>
          <cell r="H2949" t="str">
            <v>USPUSMTRO</v>
          </cell>
          <cell r="I2949" t="str">
            <v>USTRO1598011</v>
          </cell>
          <cell r="J2949" t="str">
            <v>48</v>
          </cell>
          <cell r="K2949" t="str">
            <v>TROUSER</v>
          </cell>
          <cell r="L2949" t="str">
            <v>NOD</v>
          </cell>
        </row>
        <row r="2950">
          <cell r="C2950" t="str">
            <v>USTRO1598</v>
          </cell>
          <cell r="D2950" t="str">
            <v>OCOR</v>
          </cell>
          <cell r="E2950" t="str">
            <v>OC25</v>
          </cell>
          <cell r="F2950">
            <v>2799</v>
          </cell>
          <cell r="G2950" t="str">
            <v>US</v>
          </cell>
          <cell r="H2950" t="str">
            <v>USPUSMTRO</v>
          </cell>
          <cell r="I2950" t="str">
            <v>USTRO1598012</v>
          </cell>
          <cell r="J2950" t="str">
            <v>50</v>
          </cell>
          <cell r="K2950" t="str">
            <v>TROUSER</v>
          </cell>
          <cell r="L2950" t="str">
            <v>NOD</v>
          </cell>
        </row>
        <row r="2951">
          <cell r="C2951" t="str">
            <v>USTRO1598D</v>
          </cell>
          <cell r="D2951" t="str">
            <v>CORE</v>
          </cell>
          <cell r="E2951" t="str">
            <v>CO25</v>
          </cell>
          <cell r="F2951">
            <v>2599</v>
          </cell>
          <cell r="G2951" t="str">
            <v>US</v>
          </cell>
          <cell r="H2951" t="str">
            <v>USPUSMTRO</v>
          </cell>
          <cell r="I2951" t="str">
            <v>USTRO1598D001</v>
          </cell>
          <cell r="J2951" t="str">
            <v>28</v>
          </cell>
          <cell r="K2951" t="str">
            <v>TROUSER</v>
          </cell>
          <cell r="L2951" t="str">
            <v>NOD</v>
          </cell>
        </row>
        <row r="2952">
          <cell r="C2952" t="str">
            <v>USTRO1598D</v>
          </cell>
          <cell r="D2952" t="str">
            <v>CORE</v>
          </cell>
          <cell r="E2952" t="str">
            <v>CO25</v>
          </cell>
          <cell r="F2952">
            <v>2599</v>
          </cell>
          <cell r="G2952" t="str">
            <v>US</v>
          </cell>
          <cell r="H2952" t="str">
            <v>USPUSMTRO</v>
          </cell>
          <cell r="I2952" t="str">
            <v>USTRO1598D002</v>
          </cell>
          <cell r="J2952" t="str">
            <v>30</v>
          </cell>
          <cell r="K2952" t="str">
            <v>TROUSER</v>
          </cell>
          <cell r="L2952" t="str">
            <v>NOD</v>
          </cell>
        </row>
        <row r="2953">
          <cell r="C2953" t="str">
            <v>USTRO1598D</v>
          </cell>
          <cell r="D2953" t="str">
            <v>CORE</v>
          </cell>
          <cell r="E2953" t="str">
            <v>CO25</v>
          </cell>
          <cell r="F2953">
            <v>2599</v>
          </cell>
          <cell r="G2953" t="str">
            <v>US</v>
          </cell>
          <cell r="H2953" t="str">
            <v>USPUSMTRO</v>
          </cell>
          <cell r="I2953" t="str">
            <v>USTRO1598D003</v>
          </cell>
          <cell r="J2953" t="str">
            <v>32</v>
          </cell>
          <cell r="K2953" t="str">
            <v>TROUSER</v>
          </cell>
          <cell r="L2953" t="str">
            <v>NOD</v>
          </cell>
        </row>
        <row r="2954">
          <cell r="C2954" t="str">
            <v>USTRO1598D</v>
          </cell>
          <cell r="D2954" t="str">
            <v>CORE</v>
          </cell>
          <cell r="E2954" t="str">
            <v>CO25</v>
          </cell>
          <cell r="F2954">
            <v>2599</v>
          </cell>
          <cell r="G2954" t="str">
            <v>US</v>
          </cell>
          <cell r="H2954" t="str">
            <v>USPUSMTRO</v>
          </cell>
          <cell r="I2954" t="str">
            <v>USTRO1598D004</v>
          </cell>
          <cell r="J2954" t="str">
            <v>34</v>
          </cell>
          <cell r="K2954" t="str">
            <v>TROUSER</v>
          </cell>
          <cell r="L2954" t="str">
            <v>NOD</v>
          </cell>
        </row>
        <row r="2955">
          <cell r="C2955" t="str">
            <v>USTRO1598D</v>
          </cell>
          <cell r="D2955" t="str">
            <v>CORE</v>
          </cell>
          <cell r="E2955" t="str">
            <v>CO25</v>
          </cell>
          <cell r="F2955">
            <v>2599</v>
          </cell>
          <cell r="G2955" t="str">
            <v>US</v>
          </cell>
          <cell r="H2955" t="str">
            <v>USPUSMTRO</v>
          </cell>
          <cell r="I2955" t="str">
            <v>USTRO1598D005</v>
          </cell>
          <cell r="J2955" t="str">
            <v>36</v>
          </cell>
          <cell r="K2955" t="str">
            <v>TROUSER</v>
          </cell>
          <cell r="L2955" t="str">
            <v>NOD</v>
          </cell>
        </row>
        <row r="2956">
          <cell r="C2956" t="str">
            <v>USTRO1598D</v>
          </cell>
          <cell r="D2956" t="str">
            <v>CORE</v>
          </cell>
          <cell r="E2956" t="str">
            <v>CO25</v>
          </cell>
          <cell r="F2956">
            <v>2599</v>
          </cell>
          <cell r="G2956" t="str">
            <v>US</v>
          </cell>
          <cell r="H2956" t="str">
            <v>USPUSMTRO</v>
          </cell>
          <cell r="I2956" t="str">
            <v>USTRO1598D006</v>
          </cell>
          <cell r="J2956" t="str">
            <v>38</v>
          </cell>
          <cell r="K2956" t="str">
            <v>TROUSER</v>
          </cell>
          <cell r="L2956" t="str">
            <v>NOD</v>
          </cell>
        </row>
        <row r="2957">
          <cell r="C2957" t="str">
            <v>USTRO1598D</v>
          </cell>
          <cell r="D2957" t="str">
            <v>CORE</v>
          </cell>
          <cell r="E2957" t="str">
            <v>CO25</v>
          </cell>
          <cell r="F2957">
            <v>2599</v>
          </cell>
          <cell r="G2957" t="str">
            <v>US</v>
          </cell>
          <cell r="H2957" t="str">
            <v>USPUSMTRO</v>
          </cell>
          <cell r="I2957" t="str">
            <v>USTRO1598D007</v>
          </cell>
          <cell r="J2957" t="str">
            <v>40</v>
          </cell>
          <cell r="K2957" t="str">
            <v>TROUSER</v>
          </cell>
          <cell r="L2957" t="str">
            <v>NOD</v>
          </cell>
        </row>
        <row r="2958">
          <cell r="C2958" t="str">
            <v>USTRO1598D</v>
          </cell>
          <cell r="D2958" t="str">
            <v>CORE</v>
          </cell>
          <cell r="E2958" t="str">
            <v>CO25</v>
          </cell>
          <cell r="F2958">
            <v>2599</v>
          </cell>
          <cell r="G2958" t="str">
            <v>US</v>
          </cell>
          <cell r="H2958" t="str">
            <v>USPUSMTRO</v>
          </cell>
          <cell r="I2958" t="str">
            <v>USTRO1598D008</v>
          </cell>
          <cell r="J2958" t="str">
            <v>42</v>
          </cell>
          <cell r="K2958" t="str">
            <v>TROUSER</v>
          </cell>
          <cell r="L2958" t="str">
            <v>NOD</v>
          </cell>
        </row>
        <row r="2959">
          <cell r="C2959" t="str">
            <v>USTRO1598D</v>
          </cell>
          <cell r="D2959" t="str">
            <v>CORE</v>
          </cell>
          <cell r="E2959" t="str">
            <v>CO25</v>
          </cell>
          <cell r="F2959">
            <v>2799</v>
          </cell>
          <cell r="G2959" t="str">
            <v>US</v>
          </cell>
          <cell r="H2959" t="str">
            <v>USPUSMTRO</v>
          </cell>
          <cell r="I2959" t="str">
            <v>USTRO1598D009</v>
          </cell>
          <cell r="J2959" t="str">
            <v>44</v>
          </cell>
          <cell r="K2959" t="str">
            <v>TROUSER</v>
          </cell>
          <cell r="L2959" t="str">
            <v>NOD</v>
          </cell>
        </row>
        <row r="2960">
          <cell r="C2960" t="str">
            <v>USTRO1598D</v>
          </cell>
          <cell r="D2960" t="str">
            <v>CORE</v>
          </cell>
          <cell r="E2960" t="str">
            <v>CO25</v>
          </cell>
          <cell r="F2960">
            <v>2799</v>
          </cell>
          <cell r="G2960" t="str">
            <v>US</v>
          </cell>
          <cell r="H2960" t="str">
            <v>USPUSMTRO</v>
          </cell>
          <cell r="I2960" t="str">
            <v>USTRO1598D010</v>
          </cell>
          <cell r="J2960" t="str">
            <v>46</v>
          </cell>
          <cell r="K2960" t="str">
            <v>TROUSER</v>
          </cell>
          <cell r="L2960" t="str">
            <v>NOD</v>
          </cell>
        </row>
        <row r="2961">
          <cell r="C2961" t="str">
            <v>USTRO1598D</v>
          </cell>
          <cell r="D2961" t="str">
            <v>CORE</v>
          </cell>
          <cell r="E2961" t="str">
            <v>CO25</v>
          </cell>
          <cell r="F2961">
            <v>2799</v>
          </cell>
          <cell r="G2961" t="str">
            <v>US</v>
          </cell>
          <cell r="H2961" t="str">
            <v>USPUSMTRO</v>
          </cell>
          <cell r="I2961" t="str">
            <v>USTRO1598D011</v>
          </cell>
          <cell r="J2961" t="str">
            <v>48</v>
          </cell>
          <cell r="K2961" t="str">
            <v>TROUSER</v>
          </cell>
          <cell r="L2961" t="str">
            <v>NOD</v>
          </cell>
        </row>
        <row r="2962">
          <cell r="C2962" t="str">
            <v>USTRO1598D</v>
          </cell>
          <cell r="D2962" t="str">
            <v>CORE</v>
          </cell>
          <cell r="E2962" t="str">
            <v>CO25</v>
          </cell>
          <cell r="F2962">
            <v>2799</v>
          </cell>
          <cell r="G2962" t="str">
            <v>US</v>
          </cell>
          <cell r="H2962" t="str">
            <v>USPUSMTRO</v>
          </cell>
          <cell r="I2962" t="str">
            <v>USTRO1598D012</v>
          </cell>
          <cell r="J2962" t="str">
            <v>50</v>
          </cell>
          <cell r="K2962" t="str">
            <v>TROUSER</v>
          </cell>
          <cell r="L2962" t="str">
            <v>NOD</v>
          </cell>
        </row>
        <row r="2963">
          <cell r="C2963" t="str">
            <v>USTRO1599</v>
          </cell>
          <cell r="D2963" t="str">
            <v>CORE</v>
          </cell>
          <cell r="E2963" t="str">
            <v>CO25</v>
          </cell>
          <cell r="F2963">
            <v>2599</v>
          </cell>
          <cell r="G2963" t="str">
            <v>US</v>
          </cell>
          <cell r="H2963" t="str">
            <v>USPUSMTRO</v>
          </cell>
          <cell r="I2963" t="str">
            <v>USTRO1599001</v>
          </cell>
          <cell r="J2963" t="str">
            <v>28</v>
          </cell>
          <cell r="K2963" t="str">
            <v>TROUSER</v>
          </cell>
          <cell r="L2963" t="str">
            <v>NOD</v>
          </cell>
        </row>
        <row r="2964">
          <cell r="C2964" t="str">
            <v>USTRO1599</v>
          </cell>
          <cell r="D2964" t="str">
            <v>CORE</v>
          </cell>
          <cell r="E2964" t="str">
            <v>CO25</v>
          </cell>
          <cell r="F2964">
            <v>2599</v>
          </cell>
          <cell r="G2964" t="str">
            <v>US</v>
          </cell>
          <cell r="H2964" t="str">
            <v>USPUSMTRO</v>
          </cell>
          <cell r="I2964" t="str">
            <v>USTRO1599002</v>
          </cell>
          <cell r="J2964" t="str">
            <v>30</v>
          </cell>
          <cell r="K2964" t="str">
            <v>TROUSER</v>
          </cell>
          <cell r="L2964" t="str">
            <v>NOD</v>
          </cell>
        </row>
        <row r="2965">
          <cell r="C2965" t="str">
            <v>USTRO1599</v>
          </cell>
          <cell r="D2965" t="str">
            <v>CORE</v>
          </cell>
          <cell r="E2965" t="str">
            <v>CO25</v>
          </cell>
          <cell r="F2965">
            <v>2599</v>
          </cell>
          <cell r="G2965" t="str">
            <v>US</v>
          </cell>
          <cell r="H2965" t="str">
            <v>USPUSMTRO</v>
          </cell>
          <cell r="I2965" t="str">
            <v>USTRO1599003</v>
          </cell>
          <cell r="J2965" t="str">
            <v>32</v>
          </cell>
          <cell r="K2965" t="str">
            <v>TROUSER</v>
          </cell>
          <cell r="L2965" t="str">
            <v>NOD</v>
          </cell>
        </row>
        <row r="2966">
          <cell r="C2966" t="str">
            <v>USTRO1599</v>
          </cell>
          <cell r="D2966" t="str">
            <v>CORE</v>
          </cell>
          <cell r="E2966" t="str">
            <v>CO25</v>
          </cell>
          <cell r="F2966">
            <v>2599</v>
          </cell>
          <cell r="G2966" t="str">
            <v>US</v>
          </cell>
          <cell r="H2966" t="str">
            <v>USPUSMTRO</v>
          </cell>
          <cell r="I2966" t="str">
            <v>USTRO1599004</v>
          </cell>
          <cell r="J2966" t="str">
            <v>34</v>
          </cell>
          <cell r="K2966" t="str">
            <v>TROUSER</v>
          </cell>
          <cell r="L2966" t="str">
            <v>NOD</v>
          </cell>
        </row>
        <row r="2967">
          <cell r="C2967" t="str">
            <v>USTRO1599</v>
          </cell>
          <cell r="D2967" t="str">
            <v>CORE</v>
          </cell>
          <cell r="E2967" t="str">
            <v>CO25</v>
          </cell>
          <cell r="F2967">
            <v>2599</v>
          </cell>
          <cell r="G2967" t="str">
            <v>US</v>
          </cell>
          <cell r="H2967" t="str">
            <v>USPUSMTRO</v>
          </cell>
          <cell r="I2967" t="str">
            <v>USTRO1599005</v>
          </cell>
          <cell r="J2967" t="str">
            <v>36</v>
          </cell>
          <cell r="K2967" t="str">
            <v>TROUSER</v>
          </cell>
          <cell r="L2967" t="str">
            <v>NOD</v>
          </cell>
        </row>
        <row r="2968">
          <cell r="C2968" t="str">
            <v>USTRO1599</v>
          </cell>
          <cell r="D2968" t="str">
            <v>CORE</v>
          </cell>
          <cell r="E2968" t="str">
            <v>CO25</v>
          </cell>
          <cell r="F2968">
            <v>2599</v>
          </cell>
          <cell r="G2968" t="str">
            <v>US</v>
          </cell>
          <cell r="H2968" t="str">
            <v>USPUSMTRO</v>
          </cell>
          <cell r="I2968" t="str">
            <v>USTRO1599006</v>
          </cell>
          <cell r="J2968" t="str">
            <v>38</v>
          </cell>
          <cell r="K2968" t="str">
            <v>TROUSER</v>
          </cell>
          <cell r="L2968" t="str">
            <v>NOD</v>
          </cell>
        </row>
        <row r="2969">
          <cell r="C2969" t="str">
            <v>USTRO1599</v>
          </cell>
          <cell r="D2969" t="str">
            <v>CORE</v>
          </cell>
          <cell r="E2969" t="str">
            <v>CO25</v>
          </cell>
          <cell r="F2969">
            <v>2599</v>
          </cell>
          <cell r="G2969" t="str">
            <v>US</v>
          </cell>
          <cell r="H2969" t="str">
            <v>USPUSMTRO</v>
          </cell>
          <cell r="I2969" t="str">
            <v>USTRO1599007</v>
          </cell>
          <cell r="J2969" t="str">
            <v>40</v>
          </cell>
          <cell r="K2969" t="str">
            <v>TROUSER</v>
          </cell>
          <cell r="L2969" t="str">
            <v>NOD</v>
          </cell>
        </row>
        <row r="2970">
          <cell r="C2970" t="str">
            <v>USTRO1599</v>
          </cell>
          <cell r="D2970" t="str">
            <v>CORE</v>
          </cell>
          <cell r="E2970" t="str">
            <v>CO25</v>
          </cell>
          <cell r="F2970">
            <v>2599</v>
          </cell>
          <cell r="G2970" t="str">
            <v>US</v>
          </cell>
          <cell r="H2970" t="str">
            <v>USPUSMTRO</v>
          </cell>
          <cell r="I2970" t="str">
            <v>USTRO1599008</v>
          </cell>
          <cell r="J2970" t="str">
            <v>42</v>
          </cell>
          <cell r="K2970" t="str">
            <v>TROUSER</v>
          </cell>
          <cell r="L2970" t="str">
            <v>NOD</v>
          </cell>
        </row>
        <row r="2971">
          <cell r="C2971" t="str">
            <v>USTRO1599</v>
          </cell>
          <cell r="D2971" t="str">
            <v>CORE</v>
          </cell>
          <cell r="E2971" t="str">
            <v>CO25</v>
          </cell>
          <cell r="F2971">
            <v>2799</v>
          </cell>
          <cell r="G2971" t="str">
            <v>US</v>
          </cell>
          <cell r="H2971" t="str">
            <v>USPUSMTRO</v>
          </cell>
          <cell r="I2971" t="str">
            <v>USTRO1599009</v>
          </cell>
          <cell r="J2971" t="str">
            <v>44</v>
          </cell>
          <cell r="K2971" t="str">
            <v>TROUSER</v>
          </cell>
          <cell r="L2971" t="str">
            <v>NOD</v>
          </cell>
        </row>
        <row r="2972">
          <cell r="C2972" t="str">
            <v>USTRO1599</v>
          </cell>
          <cell r="D2972" t="str">
            <v>CORE</v>
          </cell>
          <cell r="E2972" t="str">
            <v>CO25</v>
          </cell>
          <cell r="F2972">
            <v>2799</v>
          </cell>
          <cell r="G2972" t="str">
            <v>US</v>
          </cell>
          <cell r="H2972" t="str">
            <v>USPUSMTRO</v>
          </cell>
          <cell r="I2972" t="str">
            <v>USTRO1599010</v>
          </cell>
          <cell r="J2972" t="str">
            <v>46</v>
          </cell>
          <cell r="K2972" t="str">
            <v>TROUSER</v>
          </cell>
          <cell r="L2972" t="str">
            <v>NOD</v>
          </cell>
        </row>
        <row r="2973">
          <cell r="C2973" t="str">
            <v>USTRO1599</v>
          </cell>
          <cell r="D2973" t="str">
            <v>CORE</v>
          </cell>
          <cell r="E2973" t="str">
            <v>CO25</v>
          </cell>
          <cell r="F2973">
            <v>2799</v>
          </cell>
          <cell r="G2973" t="str">
            <v>US</v>
          </cell>
          <cell r="H2973" t="str">
            <v>USPUSMTRO</v>
          </cell>
          <cell r="I2973" t="str">
            <v>USTRO1599011</v>
          </cell>
          <cell r="J2973" t="str">
            <v>48</v>
          </cell>
          <cell r="K2973" t="str">
            <v>TROUSER</v>
          </cell>
          <cell r="L2973" t="str">
            <v>NOD</v>
          </cell>
        </row>
        <row r="2974">
          <cell r="C2974" t="str">
            <v>USTRO1599</v>
          </cell>
          <cell r="D2974" t="str">
            <v>CORE</v>
          </cell>
          <cell r="E2974" t="str">
            <v>CO25</v>
          </cell>
          <cell r="F2974">
            <v>2799</v>
          </cell>
          <cell r="G2974" t="str">
            <v>US</v>
          </cell>
          <cell r="H2974" t="str">
            <v>USPUSMTRO</v>
          </cell>
          <cell r="I2974" t="str">
            <v>USTRO1599012</v>
          </cell>
          <cell r="J2974" t="str">
            <v>50</v>
          </cell>
          <cell r="K2974" t="str">
            <v>TROUSER</v>
          </cell>
          <cell r="L2974" t="str">
            <v>NOD</v>
          </cell>
        </row>
        <row r="2975">
          <cell r="C2975" t="str">
            <v>USTRO1599D</v>
          </cell>
          <cell r="D2975" t="str">
            <v>OCOR</v>
          </cell>
          <cell r="E2975" t="str">
            <v>OC25</v>
          </cell>
          <cell r="F2975">
            <v>2599</v>
          </cell>
          <cell r="G2975" t="str">
            <v>US</v>
          </cell>
          <cell r="H2975" t="str">
            <v>USPUSMTRO</v>
          </cell>
          <cell r="I2975" t="str">
            <v>USTRO1599D001</v>
          </cell>
          <cell r="J2975" t="str">
            <v>28</v>
          </cell>
          <cell r="K2975" t="str">
            <v>TROUSER</v>
          </cell>
          <cell r="L2975" t="str">
            <v>NOD</v>
          </cell>
        </row>
        <row r="2976">
          <cell r="C2976" t="str">
            <v>USTRO1599D</v>
          </cell>
          <cell r="D2976" t="str">
            <v>OCOR</v>
          </cell>
          <cell r="E2976" t="str">
            <v>OC25</v>
          </cell>
          <cell r="F2976">
            <v>2599</v>
          </cell>
          <cell r="G2976" t="str">
            <v>US</v>
          </cell>
          <cell r="H2976" t="str">
            <v>USPUSMTRO</v>
          </cell>
          <cell r="I2976" t="str">
            <v>USTRO1599D002</v>
          </cell>
          <cell r="J2976" t="str">
            <v>30</v>
          </cell>
          <cell r="K2976" t="str">
            <v>TROUSER</v>
          </cell>
          <cell r="L2976" t="str">
            <v>NOD</v>
          </cell>
        </row>
        <row r="2977">
          <cell r="C2977" t="str">
            <v>USTRO1599D</v>
          </cell>
          <cell r="D2977" t="str">
            <v>OCOR</v>
          </cell>
          <cell r="E2977" t="str">
            <v>OC25</v>
          </cell>
          <cell r="F2977">
            <v>2599</v>
          </cell>
          <cell r="G2977" t="str">
            <v>US</v>
          </cell>
          <cell r="H2977" t="str">
            <v>USPUSMTRO</v>
          </cell>
          <cell r="I2977" t="str">
            <v>USTRO1599D003</v>
          </cell>
          <cell r="J2977" t="str">
            <v>32</v>
          </cell>
          <cell r="K2977" t="str">
            <v>TROUSER</v>
          </cell>
          <cell r="L2977" t="str">
            <v>NOD</v>
          </cell>
        </row>
        <row r="2978">
          <cell r="C2978" t="str">
            <v>USTRO1599D</v>
          </cell>
          <cell r="D2978" t="str">
            <v>OCOR</v>
          </cell>
          <cell r="E2978" t="str">
            <v>OC25</v>
          </cell>
          <cell r="F2978">
            <v>2599</v>
          </cell>
          <cell r="G2978" t="str">
            <v>US</v>
          </cell>
          <cell r="H2978" t="str">
            <v>USPUSMTRO</v>
          </cell>
          <cell r="I2978" t="str">
            <v>USTRO1599D004</v>
          </cell>
          <cell r="J2978" t="str">
            <v>34</v>
          </cell>
          <cell r="K2978" t="str">
            <v>TROUSER</v>
          </cell>
          <cell r="L2978" t="str">
            <v>NOD</v>
          </cell>
        </row>
        <row r="2979">
          <cell r="C2979" t="str">
            <v>USTRO1599D</v>
          </cell>
          <cell r="D2979" t="str">
            <v>OCOR</v>
          </cell>
          <cell r="E2979" t="str">
            <v>OC25</v>
          </cell>
          <cell r="F2979">
            <v>2599</v>
          </cell>
          <cell r="G2979" t="str">
            <v>US</v>
          </cell>
          <cell r="H2979" t="str">
            <v>USPUSMTRO</v>
          </cell>
          <cell r="I2979" t="str">
            <v>USTRO1599D005</v>
          </cell>
          <cell r="J2979" t="str">
            <v>36</v>
          </cell>
          <cell r="K2979" t="str">
            <v>TROUSER</v>
          </cell>
          <cell r="L2979" t="str">
            <v>NOD</v>
          </cell>
        </row>
        <row r="2980">
          <cell r="C2980" t="str">
            <v>USTRO1599D</v>
          </cell>
          <cell r="D2980" t="str">
            <v>OCOR</v>
          </cell>
          <cell r="E2980" t="str">
            <v>OC25</v>
          </cell>
          <cell r="F2980">
            <v>2599</v>
          </cell>
          <cell r="G2980" t="str">
            <v>US</v>
          </cell>
          <cell r="H2980" t="str">
            <v>USPUSMTRO</v>
          </cell>
          <cell r="I2980" t="str">
            <v>USTRO1599D006</v>
          </cell>
          <cell r="J2980" t="str">
            <v>38</v>
          </cell>
          <cell r="K2980" t="str">
            <v>TROUSER</v>
          </cell>
          <cell r="L2980" t="str">
            <v>NOD</v>
          </cell>
        </row>
        <row r="2981">
          <cell r="C2981" t="str">
            <v>USTRO1599D</v>
          </cell>
          <cell r="D2981" t="str">
            <v>OCOR</v>
          </cell>
          <cell r="E2981" t="str">
            <v>OC25</v>
          </cell>
          <cell r="F2981">
            <v>2599</v>
          </cell>
          <cell r="G2981" t="str">
            <v>US</v>
          </cell>
          <cell r="H2981" t="str">
            <v>USPUSMTRO</v>
          </cell>
          <cell r="I2981" t="str">
            <v>USTRO1599D007</v>
          </cell>
          <cell r="J2981" t="str">
            <v>40</v>
          </cell>
          <cell r="K2981" t="str">
            <v>TROUSER</v>
          </cell>
          <cell r="L2981" t="str">
            <v>NOD</v>
          </cell>
        </row>
        <row r="2982">
          <cell r="C2982" t="str">
            <v>USTRO1599D</v>
          </cell>
          <cell r="D2982" t="str">
            <v>OCOR</v>
          </cell>
          <cell r="E2982" t="str">
            <v>OC25</v>
          </cell>
          <cell r="F2982">
            <v>2599</v>
          </cell>
          <cell r="G2982" t="str">
            <v>US</v>
          </cell>
          <cell r="H2982" t="str">
            <v>USPUSMTRO</v>
          </cell>
          <cell r="I2982" t="str">
            <v>USTRO1599D008</v>
          </cell>
          <cell r="J2982" t="str">
            <v>42</v>
          </cell>
          <cell r="K2982" t="str">
            <v>TROUSER</v>
          </cell>
          <cell r="L2982" t="str">
            <v>NOD</v>
          </cell>
        </row>
        <row r="2983">
          <cell r="C2983" t="str">
            <v>USTRO1599D</v>
          </cell>
          <cell r="D2983" t="str">
            <v>OCOR</v>
          </cell>
          <cell r="E2983" t="str">
            <v>OC25</v>
          </cell>
          <cell r="F2983">
            <v>2799</v>
          </cell>
          <cell r="G2983" t="str">
            <v>US</v>
          </cell>
          <cell r="H2983" t="str">
            <v>USPUSMTRO</v>
          </cell>
          <cell r="I2983" t="str">
            <v>USTRO1599D009</v>
          </cell>
          <cell r="J2983" t="str">
            <v>44</v>
          </cell>
          <cell r="K2983" t="str">
            <v>TROUSER</v>
          </cell>
          <cell r="L2983" t="str">
            <v>NOD</v>
          </cell>
        </row>
        <row r="2984">
          <cell r="C2984" t="str">
            <v>USTRO1599D</v>
          </cell>
          <cell r="D2984" t="str">
            <v>OCOR</v>
          </cell>
          <cell r="E2984" t="str">
            <v>OC25</v>
          </cell>
          <cell r="F2984">
            <v>2799</v>
          </cell>
          <cell r="G2984" t="str">
            <v>US</v>
          </cell>
          <cell r="H2984" t="str">
            <v>USPUSMTRO</v>
          </cell>
          <cell r="I2984" t="str">
            <v>USTRO1599D010</v>
          </cell>
          <cell r="J2984" t="str">
            <v>46</v>
          </cell>
          <cell r="K2984" t="str">
            <v>TROUSER</v>
          </cell>
          <cell r="L2984" t="str">
            <v>NOD</v>
          </cell>
        </row>
        <row r="2985">
          <cell r="C2985" t="str">
            <v>USTRO1599D</v>
          </cell>
          <cell r="D2985" t="str">
            <v>OCOR</v>
          </cell>
          <cell r="E2985" t="str">
            <v>OC25</v>
          </cell>
          <cell r="F2985">
            <v>2799</v>
          </cell>
          <cell r="G2985" t="str">
            <v>US</v>
          </cell>
          <cell r="H2985" t="str">
            <v>USPUSMTRO</v>
          </cell>
          <cell r="I2985" t="str">
            <v>USTRO1599D011</v>
          </cell>
          <cell r="J2985" t="str">
            <v>48</v>
          </cell>
          <cell r="K2985" t="str">
            <v>TROUSER</v>
          </cell>
          <cell r="L2985" t="str">
            <v>NOD</v>
          </cell>
        </row>
        <row r="2986">
          <cell r="C2986" t="str">
            <v>USTRO1599D</v>
          </cell>
          <cell r="D2986" t="str">
            <v>OCOR</v>
          </cell>
          <cell r="E2986" t="str">
            <v>OC25</v>
          </cell>
          <cell r="F2986">
            <v>2799</v>
          </cell>
          <cell r="G2986" t="str">
            <v>US</v>
          </cell>
          <cell r="H2986" t="str">
            <v>USPUSMTRO</v>
          </cell>
          <cell r="I2986" t="str">
            <v>USTRO1599D012</v>
          </cell>
          <cell r="J2986" t="str">
            <v>50</v>
          </cell>
          <cell r="K2986" t="str">
            <v>TROUSER</v>
          </cell>
          <cell r="L2986" t="str">
            <v>NOD</v>
          </cell>
        </row>
        <row r="2987">
          <cell r="C2987" t="str">
            <v>USTRO1632</v>
          </cell>
          <cell r="D2987" t="str">
            <v>CORE</v>
          </cell>
          <cell r="E2987" t="str">
            <v>CO26</v>
          </cell>
          <cell r="F2987">
            <v>2799</v>
          </cell>
          <cell r="G2987" t="str">
            <v>US</v>
          </cell>
          <cell r="H2987" t="str">
            <v>USPUSMTRO</v>
          </cell>
          <cell r="I2987" t="str">
            <v>USTRO1632001</v>
          </cell>
          <cell r="J2987" t="str">
            <v>28</v>
          </cell>
          <cell r="K2987" t="str">
            <v>TROUSER</v>
          </cell>
          <cell r="L2987" t="str">
            <v>NOD</v>
          </cell>
        </row>
        <row r="2988">
          <cell r="C2988" t="str">
            <v>USTRO1632</v>
          </cell>
          <cell r="D2988" t="str">
            <v>CORE</v>
          </cell>
          <cell r="E2988" t="str">
            <v>CO26</v>
          </cell>
          <cell r="F2988">
            <v>2799</v>
          </cell>
          <cell r="G2988" t="str">
            <v>US</v>
          </cell>
          <cell r="H2988" t="str">
            <v>USPUSMTRO</v>
          </cell>
          <cell r="I2988" t="str">
            <v>USTRO1632002</v>
          </cell>
          <cell r="J2988" t="str">
            <v>30</v>
          </cell>
          <cell r="K2988" t="str">
            <v>TROUSER</v>
          </cell>
          <cell r="L2988" t="str">
            <v>NOD</v>
          </cell>
        </row>
        <row r="2989">
          <cell r="C2989" t="str">
            <v>USTRO1632</v>
          </cell>
          <cell r="D2989" t="str">
            <v>CORE</v>
          </cell>
          <cell r="E2989" t="str">
            <v>CO26</v>
          </cell>
          <cell r="F2989">
            <v>2799</v>
          </cell>
          <cell r="G2989" t="str">
            <v>US</v>
          </cell>
          <cell r="H2989" t="str">
            <v>USPUSMTRO</v>
          </cell>
          <cell r="I2989" t="str">
            <v>USTRO1632003</v>
          </cell>
          <cell r="J2989" t="str">
            <v>32</v>
          </cell>
          <cell r="K2989" t="str">
            <v>TROUSER</v>
          </cell>
          <cell r="L2989" t="str">
            <v>NOD</v>
          </cell>
        </row>
        <row r="2990">
          <cell r="C2990" t="str">
            <v>USTRO1632</v>
          </cell>
          <cell r="D2990" t="str">
            <v>CORE</v>
          </cell>
          <cell r="E2990" t="str">
            <v>CO26</v>
          </cell>
          <cell r="F2990">
            <v>2799</v>
          </cell>
          <cell r="G2990" t="str">
            <v>US</v>
          </cell>
          <cell r="H2990" t="str">
            <v>USPUSMTRO</v>
          </cell>
          <cell r="I2990" t="str">
            <v>USTRO1632004</v>
          </cell>
          <cell r="J2990" t="str">
            <v>34</v>
          </cell>
          <cell r="K2990" t="str">
            <v>TROUSER</v>
          </cell>
          <cell r="L2990" t="str">
            <v>NOD</v>
          </cell>
        </row>
        <row r="2991">
          <cell r="C2991" t="str">
            <v>USTRO1632</v>
          </cell>
          <cell r="D2991" t="str">
            <v>CORE</v>
          </cell>
          <cell r="E2991" t="str">
            <v>CO26</v>
          </cell>
          <cell r="F2991">
            <v>2799</v>
          </cell>
          <cell r="G2991" t="str">
            <v>US</v>
          </cell>
          <cell r="H2991" t="str">
            <v>USPUSMTRO</v>
          </cell>
          <cell r="I2991" t="str">
            <v>USTRO1632005</v>
          </cell>
          <cell r="J2991" t="str">
            <v>36</v>
          </cell>
          <cell r="K2991" t="str">
            <v>TROUSER</v>
          </cell>
          <cell r="L2991" t="str">
            <v>NOD</v>
          </cell>
        </row>
        <row r="2992">
          <cell r="C2992" t="str">
            <v>USTRO1632</v>
          </cell>
          <cell r="D2992" t="str">
            <v>CORE</v>
          </cell>
          <cell r="E2992" t="str">
            <v>CO26</v>
          </cell>
          <cell r="F2992">
            <v>2799</v>
          </cell>
          <cell r="G2992" t="str">
            <v>US</v>
          </cell>
          <cell r="H2992" t="str">
            <v>USPUSMTRO</v>
          </cell>
          <cell r="I2992" t="str">
            <v>USTRO1632006</v>
          </cell>
          <cell r="J2992" t="str">
            <v>38</v>
          </cell>
          <cell r="K2992" t="str">
            <v>TROUSER</v>
          </cell>
          <cell r="L2992" t="str">
            <v>NOD</v>
          </cell>
        </row>
        <row r="2993">
          <cell r="C2993" t="str">
            <v>USTRO1632</v>
          </cell>
          <cell r="D2993" t="str">
            <v>CORE</v>
          </cell>
          <cell r="E2993" t="str">
            <v>CO26</v>
          </cell>
          <cell r="F2993">
            <v>2799</v>
          </cell>
          <cell r="G2993" t="str">
            <v>US</v>
          </cell>
          <cell r="H2993" t="str">
            <v>USPUSMTRO</v>
          </cell>
          <cell r="I2993" t="str">
            <v>USTRO1632007</v>
          </cell>
          <cell r="J2993" t="str">
            <v>40</v>
          </cell>
          <cell r="K2993" t="str">
            <v>TROUSER</v>
          </cell>
          <cell r="L2993" t="str">
            <v>NOD</v>
          </cell>
        </row>
        <row r="2994">
          <cell r="C2994" t="str">
            <v>USTRO1632</v>
          </cell>
          <cell r="D2994" t="str">
            <v>CORE</v>
          </cell>
          <cell r="E2994" t="str">
            <v>CO26</v>
          </cell>
          <cell r="F2994">
            <v>2799</v>
          </cell>
          <cell r="G2994" t="str">
            <v>US</v>
          </cell>
          <cell r="H2994" t="str">
            <v>USPUSMTRO</v>
          </cell>
          <cell r="I2994" t="str">
            <v>USTRO1632008</v>
          </cell>
          <cell r="J2994" t="str">
            <v>42</v>
          </cell>
          <cell r="K2994" t="str">
            <v>TROUSER</v>
          </cell>
          <cell r="L2994" t="str">
            <v>NOD</v>
          </cell>
        </row>
        <row r="2995">
          <cell r="C2995" t="str">
            <v>USTRO1632</v>
          </cell>
          <cell r="D2995" t="str">
            <v>CORE</v>
          </cell>
          <cell r="E2995" t="str">
            <v>CO26</v>
          </cell>
          <cell r="F2995">
            <v>3159.66</v>
          </cell>
          <cell r="G2995" t="str">
            <v>US</v>
          </cell>
          <cell r="H2995" t="str">
            <v>USPUSMTRO</v>
          </cell>
          <cell r="I2995" t="str">
            <v>USTRO1632009</v>
          </cell>
          <cell r="J2995" t="str">
            <v>44</v>
          </cell>
          <cell r="K2995" t="str">
            <v>TROUSER</v>
          </cell>
          <cell r="L2995" t="str">
            <v>NOD</v>
          </cell>
        </row>
        <row r="2996">
          <cell r="C2996" t="str">
            <v>USTRO1632</v>
          </cell>
          <cell r="D2996" t="str">
            <v>CORE</v>
          </cell>
          <cell r="E2996" t="str">
            <v>CO26</v>
          </cell>
          <cell r="F2996">
            <v>3159.66</v>
          </cell>
          <cell r="G2996" t="str">
            <v>US</v>
          </cell>
          <cell r="H2996" t="str">
            <v>USPUSMTRO</v>
          </cell>
          <cell r="I2996" t="str">
            <v>USTRO1632010</v>
          </cell>
          <cell r="J2996" t="str">
            <v>46</v>
          </cell>
          <cell r="K2996" t="str">
            <v>TROUSER</v>
          </cell>
          <cell r="L2996" t="str">
            <v>NOD</v>
          </cell>
        </row>
        <row r="2997">
          <cell r="C2997" t="str">
            <v>USTRO1632</v>
          </cell>
          <cell r="D2997" t="str">
            <v>CORE</v>
          </cell>
          <cell r="E2997" t="str">
            <v>CO26</v>
          </cell>
          <cell r="F2997">
            <v>3159.66</v>
          </cell>
          <cell r="G2997" t="str">
            <v>US</v>
          </cell>
          <cell r="H2997" t="str">
            <v>USPUSMTRO</v>
          </cell>
          <cell r="I2997" t="str">
            <v>USTRO1632011</v>
          </cell>
          <cell r="J2997" t="str">
            <v>48</v>
          </cell>
          <cell r="K2997" t="str">
            <v>TROUSER</v>
          </cell>
          <cell r="L2997" t="str">
            <v>NOD</v>
          </cell>
        </row>
        <row r="2998">
          <cell r="C2998" t="str">
            <v>USTRO1632</v>
          </cell>
          <cell r="D2998" t="str">
            <v>CORE</v>
          </cell>
          <cell r="E2998" t="str">
            <v>CO26</v>
          </cell>
          <cell r="F2998">
            <v>3159.66</v>
          </cell>
          <cell r="G2998" t="str">
            <v>US</v>
          </cell>
          <cell r="H2998" t="str">
            <v>USPUSMTRO</v>
          </cell>
          <cell r="I2998" t="str">
            <v>USTRO1632012</v>
          </cell>
          <cell r="J2998" t="str">
            <v>50</v>
          </cell>
          <cell r="K2998" t="str">
            <v>TROUSER</v>
          </cell>
          <cell r="L2998" t="str">
            <v>NOD</v>
          </cell>
        </row>
        <row r="2999">
          <cell r="C2999" t="str">
            <v>USTRO1632D</v>
          </cell>
          <cell r="D2999" t="str">
            <v>CORE</v>
          </cell>
          <cell r="E2999" t="str">
            <v>CO26</v>
          </cell>
          <cell r="F2999">
            <v>2799</v>
          </cell>
          <cell r="G2999" t="str">
            <v>US</v>
          </cell>
          <cell r="H2999" t="str">
            <v>USPUSMTRO</v>
          </cell>
          <cell r="I2999" t="str">
            <v>USTRO1632D001</v>
          </cell>
          <cell r="J2999" t="str">
            <v>28</v>
          </cell>
          <cell r="K2999" t="str">
            <v>TROUSER</v>
          </cell>
          <cell r="L2999" t="str">
            <v>NOD</v>
          </cell>
        </row>
        <row r="3000">
          <cell r="C3000" t="str">
            <v>USTRO1632D</v>
          </cell>
          <cell r="D3000" t="str">
            <v>CORE</v>
          </cell>
          <cell r="E3000" t="str">
            <v>CO26</v>
          </cell>
          <cell r="F3000">
            <v>2799</v>
          </cell>
          <cell r="G3000" t="str">
            <v>US</v>
          </cell>
          <cell r="H3000" t="str">
            <v>USPUSMTRO</v>
          </cell>
          <cell r="I3000" t="str">
            <v>USTRO1632D002</v>
          </cell>
          <cell r="J3000" t="str">
            <v>30</v>
          </cell>
          <cell r="K3000" t="str">
            <v>TROUSER</v>
          </cell>
          <cell r="L3000" t="str">
            <v>NOD</v>
          </cell>
        </row>
        <row r="3001">
          <cell r="C3001" t="str">
            <v>USTRO1632D</v>
          </cell>
          <cell r="D3001" t="str">
            <v>CORE</v>
          </cell>
          <cell r="E3001" t="str">
            <v>CO26</v>
          </cell>
          <cell r="F3001">
            <v>2799</v>
          </cell>
          <cell r="G3001" t="str">
            <v>US</v>
          </cell>
          <cell r="H3001" t="str">
            <v>USPUSMTRO</v>
          </cell>
          <cell r="I3001" t="str">
            <v>USTRO1632D003</v>
          </cell>
          <cell r="J3001" t="str">
            <v>32</v>
          </cell>
          <cell r="K3001" t="str">
            <v>TROUSER</v>
          </cell>
          <cell r="L3001" t="str">
            <v>NOD</v>
          </cell>
        </row>
        <row r="3002">
          <cell r="C3002" t="str">
            <v>USTRO1632D</v>
          </cell>
          <cell r="D3002" t="str">
            <v>CORE</v>
          </cell>
          <cell r="E3002" t="str">
            <v>CO26</v>
          </cell>
          <cell r="F3002">
            <v>2799</v>
          </cell>
          <cell r="G3002" t="str">
            <v>US</v>
          </cell>
          <cell r="H3002" t="str">
            <v>USPUSMTRO</v>
          </cell>
          <cell r="I3002" t="str">
            <v>USTRO1632D004</v>
          </cell>
          <cell r="J3002" t="str">
            <v>34</v>
          </cell>
          <cell r="K3002" t="str">
            <v>TROUSER</v>
          </cell>
          <cell r="L3002" t="str">
            <v>NOD</v>
          </cell>
        </row>
        <row r="3003">
          <cell r="C3003" t="str">
            <v>USTRO1632D</v>
          </cell>
          <cell r="D3003" t="str">
            <v>CORE</v>
          </cell>
          <cell r="E3003" t="str">
            <v>CO26</v>
          </cell>
          <cell r="F3003">
            <v>2799</v>
          </cell>
          <cell r="G3003" t="str">
            <v>US</v>
          </cell>
          <cell r="H3003" t="str">
            <v>USPUSMTRO</v>
          </cell>
          <cell r="I3003" t="str">
            <v>USTRO1632D005</v>
          </cell>
          <cell r="J3003" t="str">
            <v>36</v>
          </cell>
          <cell r="K3003" t="str">
            <v>TROUSER</v>
          </cell>
          <cell r="L3003" t="str">
            <v>NOD</v>
          </cell>
        </row>
        <row r="3004">
          <cell r="C3004" t="str">
            <v>USTRO1632D</v>
          </cell>
          <cell r="D3004" t="str">
            <v>CORE</v>
          </cell>
          <cell r="E3004" t="str">
            <v>CO26</v>
          </cell>
          <cell r="F3004">
            <v>2799</v>
          </cell>
          <cell r="G3004" t="str">
            <v>US</v>
          </cell>
          <cell r="H3004" t="str">
            <v>USPUSMTRO</v>
          </cell>
          <cell r="I3004" t="str">
            <v>USTRO1632D006</v>
          </cell>
          <cell r="J3004" t="str">
            <v>38</v>
          </cell>
          <cell r="K3004" t="str">
            <v>TROUSER</v>
          </cell>
          <cell r="L3004" t="str">
            <v>NOD</v>
          </cell>
        </row>
        <row r="3005">
          <cell r="C3005" t="str">
            <v>USTRO1632D</v>
          </cell>
          <cell r="D3005" t="str">
            <v>CORE</v>
          </cell>
          <cell r="E3005" t="str">
            <v>CO26</v>
          </cell>
          <cell r="F3005">
            <v>2799</v>
          </cell>
          <cell r="G3005" t="str">
            <v>US</v>
          </cell>
          <cell r="H3005" t="str">
            <v>USPUSMTRO</v>
          </cell>
          <cell r="I3005" t="str">
            <v>USTRO1632D007</v>
          </cell>
          <cell r="J3005" t="str">
            <v>40</v>
          </cell>
          <cell r="K3005" t="str">
            <v>TROUSER</v>
          </cell>
          <cell r="L3005" t="str">
            <v>NOD</v>
          </cell>
        </row>
        <row r="3006">
          <cell r="C3006" t="str">
            <v>USTRO1632D</v>
          </cell>
          <cell r="D3006" t="str">
            <v>CORE</v>
          </cell>
          <cell r="E3006" t="str">
            <v>CO26</v>
          </cell>
          <cell r="F3006">
            <v>2799</v>
          </cell>
          <cell r="G3006" t="str">
            <v>US</v>
          </cell>
          <cell r="H3006" t="str">
            <v>USPUSMTRO</v>
          </cell>
          <cell r="I3006" t="str">
            <v>USTRO1632D008</v>
          </cell>
          <cell r="J3006" t="str">
            <v>42</v>
          </cell>
          <cell r="K3006" t="str">
            <v>TROUSER</v>
          </cell>
          <cell r="L3006" t="str">
            <v>NOD</v>
          </cell>
        </row>
        <row r="3007">
          <cell r="C3007" t="str">
            <v>USTRO1632D</v>
          </cell>
          <cell r="D3007" t="str">
            <v>CORE</v>
          </cell>
          <cell r="E3007" t="str">
            <v>CO26</v>
          </cell>
          <cell r="F3007">
            <v>3159.66</v>
          </cell>
          <cell r="G3007" t="str">
            <v>US</v>
          </cell>
          <cell r="H3007" t="str">
            <v>USPUSMTRO</v>
          </cell>
          <cell r="I3007" t="str">
            <v>USTRO1632D009</v>
          </cell>
          <cell r="J3007" t="str">
            <v>44</v>
          </cell>
          <cell r="K3007" t="str">
            <v>TROUSER</v>
          </cell>
          <cell r="L3007" t="str">
            <v>NOD</v>
          </cell>
        </row>
        <row r="3008">
          <cell r="C3008" t="str">
            <v>USTRO1632D</v>
          </cell>
          <cell r="D3008" t="str">
            <v>CORE</v>
          </cell>
          <cell r="E3008" t="str">
            <v>CO26</v>
          </cell>
          <cell r="F3008">
            <v>3159.66</v>
          </cell>
          <cell r="G3008" t="str">
            <v>US</v>
          </cell>
          <cell r="H3008" t="str">
            <v>USPUSMTRO</v>
          </cell>
          <cell r="I3008" t="str">
            <v>USTRO1632D010</v>
          </cell>
          <cell r="J3008" t="str">
            <v>46</v>
          </cell>
          <cell r="K3008" t="str">
            <v>TROUSER</v>
          </cell>
          <cell r="L3008" t="str">
            <v>NOD</v>
          </cell>
        </row>
        <row r="3009">
          <cell r="C3009" t="str">
            <v>USTRO1632D</v>
          </cell>
          <cell r="D3009" t="str">
            <v>CORE</v>
          </cell>
          <cell r="E3009" t="str">
            <v>CO26</v>
          </cell>
          <cell r="F3009">
            <v>3159.66</v>
          </cell>
          <cell r="G3009" t="str">
            <v>US</v>
          </cell>
          <cell r="H3009" t="str">
            <v>USPUSMTRO</v>
          </cell>
          <cell r="I3009" t="str">
            <v>USTRO1632D011</v>
          </cell>
          <cell r="J3009" t="str">
            <v>48</v>
          </cell>
          <cell r="K3009" t="str">
            <v>TROUSER</v>
          </cell>
          <cell r="L3009" t="str">
            <v>NOD</v>
          </cell>
        </row>
        <row r="3010">
          <cell r="C3010" t="str">
            <v>USTRO1632D</v>
          </cell>
          <cell r="D3010" t="str">
            <v>CORE</v>
          </cell>
          <cell r="E3010" t="str">
            <v>CO26</v>
          </cell>
          <cell r="F3010">
            <v>3159.66</v>
          </cell>
          <cell r="G3010" t="str">
            <v>US</v>
          </cell>
          <cell r="H3010" t="str">
            <v>USPUSMTRO</v>
          </cell>
          <cell r="I3010" t="str">
            <v>USTRO1632D012</v>
          </cell>
          <cell r="J3010" t="str">
            <v>50</v>
          </cell>
          <cell r="K3010" t="str">
            <v>TROUSER</v>
          </cell>
          <cell r="L3010" t="str">
            <v>NOD</v>
          </cell>
        </row>
        <row r="3011">
          <cell r="C3011" t="str">
            <v>USTRO1632S</v>
          </cell>
          <cell r="D3011" t="str">
            <v>CORE</v>
          </cell>
          <cell r="E3011" t="str">
            <v>CO26</v>
          </cell>
          <cell r="F3011">
            <v>2799</v>
          </cell>
          <cell r="G3011" t="str">
            <v>US</v>
          </cell>
          <cell r="H3011" t="str">
            <v>USPUSMTRO</v>
          </cell>
          <cell r="I3011" t="str">
            <v>USTRO1632S001</v>
          </cell>
          <cell r="J3011" t="str">
            <v>28</v>
          </cell>
          <cell r="K3011" t="str">
            <v>TROUSER</v>
          </cell>
          <cell r="L3011" t="str">
            <v>NOD</v>
          </cell>
        </row>
        <row r="3012">
          <cell r="C3012" t="str">
            <v>USTRO1632S</v>
          </cell>
          <cell r="D3012" t="str">
            <v>CORE</v>
          </cell>
          <cell r="E3012" t="str">
            <v>CO26</v>
          </cell>
          <cell r="F3012">
            <v>2799</v>
          </cell>
          <cell r="G3012" t="str">
            <v>US</v>
          </cell>
          <cell r="H3012" t="str">
            <v>USPUSMTRO</v>
          </cell>
          <cell r="I3012" t="str">
            <v>USTRO1632S002</v>
          </cell>
          <cell r="J3012" t="str">
            <v>30</v>
          </cell>
          <cell r="K3012" t="str">
            <v>TROUSER</v>
          </cell>
          <cell r="L3012" t="str">
            <v>NOD</v>
          </cell>
        </row>
        <row r="3013">
          <cell r="C3013" t="str">
            <v>USTRO1632S</v>
          </cell>
          <cell r="D3013" t="str">
            <v>CORE</v>
          </cell>
          <cell r="E3013" t="str">
            <v>CO26</v>
          </cell>
          <cell r="F3013">
            <v>2799</v>
          </cell>
          <cell r="G3013" t="str">
            <v>US</v>
          </cell>
          <cell r="H3013" t="str">
            <v>USPUSMTRO</v>
          </cell>
          <cell r="I3013" t="str">
            <v>USTRO1632S003</v>
          </cell>
          <cell r="J3013" t="str">
            <v>32</v>
          </cell>
          <cell r="K3013" t="str">
            <v>TROUSER</v>
          </cell>
          <cell r="L3013" t="str">
            <v>NOD</v>
          </cell>
        </row>
        <row r="3014">
          <cell r="C3014" t="str">
            <v>USTRO1632S</v>
          </cell>
          <cell r="D3014" t="str">
            <v>CORE</v>
          </cell>
          <cell r="E3014" t="str">
            <v>CO26</v>
          </cell>
          <cell r="F3014">
            <v>2799</v>
          </cell>
          <cell r="G3014" t="str">
            <v>US</v>
          </cell>
          <cell r="H3014" t="str">
            <v>USPUSMTRO</v>
          </cell>
          <cell r="I3014" t="str">
            <v>USTRO1632S004</v>
          </cell>
          <cell r="J3014" t="str">
            <v>34</v>
          </cell>
          <cell r="K3014" t="str">
            <v>TROUSER</v>
          </cell>
          <cell r="L3014" t="str">
            <v>NOD</v>
          </cell>
        </row>
        <row r="3015">
          <cell r="C3015" t="str">
            <v>USTRO1632S</v>
          </cell>
          <cell r="D3015" t="str">
            <v>CORE</v>
          </cell>
          <cell r="E3015" t="str">
            <v>CO26</v>
          </cell>
          <cell r="F3015">
            <v>2799</v>
          </cell>
          <cell r="G3015" t="str">
            <v>US</v>
          </cell>
          <cell r="H3015" t="str">
            <v>USPUSMTRO</v>
          </cell>
          <cell r="I3015" t="str">
            <v>USTRO1632S005</v>
          </cell>
          <cell r="J3015" t="str">
            <v>36</v>
          </cell>
          <cell r="K3015" t="str">
            <v>TROUSER</v>
          </cell>
          <cell r="L3015" t="str">
            <v>NOD</v>
          </cell>
        </row>
        <row r="3016">
          <cell r="C3016" t="str">
            <v>USTRO1632S</v>
          </cell>
          <cell r="D3016" t="str">
            <v>CORE</v>
          </cell>
          <cell r="E3016" t="str">
            <v>CO26</v>
          </cell>
          <cell r="F3016">
            <v>2799</v>
          </cell>
          <cell r="G3016" t="str">
            <v>US</v>
          </cell>
          <cell r="H3016" t="str">
            <v>USPUSMTRO</v>
          </cell>
          <cell r="I3016" t="str">
            <v>USTRO1632S006</v>
          </cell>
          <cell r="J3016" t="str">
            <v>38</v>
          </cell>
          <cell r="K3016" t="str">
            <v>TROUSER</v>
          </cell>
          <cell r="L3016" t="str">
            <v>NOD</v>
          </cell>
        </row>
        <row r="3017">
          <cell r="C3017" t="str">
            <v>USTRO1632S</v>
          </cell>
          <cell r="D3017" t="str">
            <v>CORE</v>
          </cell>
          <cell r="E3017" t="str">
            <v>CO26</v>
          </cell>
          <cell r="F3017">
            <v>2799</v>
          </cell>
          <cell r="G3017" t="str">
            <v>US</v>
          </cell>
          <cell r="H3017" t="str">
            <v>USPUSMTRO</v>
          </cell>
          <cell r="I3017" t="str">
            <v>USTRO1632S007</v>
          </cell>
          <cell r="J3017" t="str">
            <v>40</v>
          </cell>
          <cell r="K3017" t="str">
            <v>TROUSER</v>
          </cell>
          <cell r="L3017" t="str">
            <v>NOD</v>
          </cell>
        </row>
        <row r="3018">
          <cell r="C3018" t="str">
            <v>USTRO1632S</v>
          </cell>
          <cell r="D3018" t="str">
            <v>CORE</v>
          </cell>
          <cell r="E3018" t="str">
            <v>CO26</v>
          </cell>
          <cell r="F3018">
            <v>2799</v>
          </cell>
          <cell r="G3018" t="str">
            <v>US</v>
          </cell>
          <cell r="H3018" t="str">
            <v>USPUSMTRO</v>
          </cell>
          <cell r="I3018" t="str">
            <v>USTRO1632S008</v>
          </cell>
          <cell r="J3018" t="str">
            <v>42</v>
          </cell>
          <cell r="K3018" t="str">
            <v>TROUSER</v>
          </cell>
          <cell r="L3018" t="str">
            <v>NOD</v>
          </cell>
        </row>
        <row r="3019">
          <cell r="C3019" t="str">
            <v>USTRO1632S</v>
          </cell>
          <cell r="D3019" t="str">
            <v>CORE</v>
          </cell>
          <cell r="E3019" t="str">
            <v>CO26</v>
          </cell>
          <cell r="F3019">
            <v>3159.66</v>
          </cell>
          <cell r="G3019" t="str">
            <v>US</v>
          </cell>
          <cell r="H3019" t="str">
            <v>USPUSMTRO</v>
          </cell>
          <cell r="I3019" t="str">
            <v>USTRO1632S009</v>
          </cell>
          <cell r="J3019" t="str">
            <v>44</v>
          </cell>
          <cell r="K3019" t="str">
            <v>TROUSER</v>
          </cell>
          <cell r="L3019" t="str">
            <v>NOD</v>
          </cell>
        </row>
        <row r="3020">
          <cell r="C3020" t="str">
            <v>USTRO1632S</v>
          </cell>
          <cell r="D3020" t="str">
            <v>CORE</v>
          </cell>
          <cell r="E3020" t="str">
            <v>CO26</v>
          </cell>
          <cell r="F3020">
            <v>3159.66</v>
          </cell>
          <cell r="G3020" t="str">
            <v>US</v>
          </cell>
          <cell r="H3020" t="str">
            <v>USPUSMTRO</v>
          </cell>
          <cell r="I3020" t="str">
            <v>USTRO1632S010</v>
          </cell>
          <cell r="J3020" t="str">
            <v>46</v>
          </cell>
          <cell r="K3020" t="str">
            <v>TROUSER</v>
          </cell>
          <cell r="L3020" t="str">
            <v>NOD</v>
          </cell>
        </row>
        <row r="3021">
          <cell r="C3021" t="str">
            <v>USTRO1632S</v>
          </cell>
          <cell r="D3021" t="str">
            <v>CORE</v>
          </cell>
          <cell r="E3021" t="str">
            <v>CO26</v>
          </cell>
          <cell r="F3021">
            <v>3159.66</v>
          </cell>
          <cell r="G3021" t="str">
            <v>US</v>
          </cell>
          <cell r="H3021" t="str">
            <v>USPUSMTRO</v>
          </cell>
          <cell r="I3021" t="str">
            <v>USTRO1632S011</v>
          </cell>
          <cell r="J3021" t="str">
            <v>48</v>
          </cell>
          <cell r="K3021" t="str">
            <v>TROUSER</v>
          </cell>
          <cell r="L3021" t="str">
            <v>NOD</v>
          </cell>
        </row>
        <row r="3022">
          <cell r="C3022" t="str">
            <v>USTRO1633</v>
          </cell>
          <cell r="D3022" t="str">
            <v>CORE</v>
          </cell>
          <cell r="E3022" t="str">
            <v>CO26</v>
          </cell>
          <cell r="F3022">
            <v>2799</v>
          </cell>
          <cell r="G3022" t="str">
            <v>US</v>
          </cell>
          <cell r="H3022" t="str">
            <v>USPUSMTRO</v>
          </cell>
          <cell r="I3022" t="str">
            <v>USTRO1633001</v>
          </cell>
          <cell r="J3022" t="str">
            <v>28</v>
          </cell>
          <cell r="K3022" t="str">
            <v>TROUSER</v>
          </cell>
          <cell r="L3022" t="str">
            <v>NOD</v>
          </cell>
        </row>
        <row r="3023">
          <cell r="C3023" t="str">
            <v>USTRO1633</v>
          </cell>
          <cell r="D3023" t="str">
            <v>CORE</v>
          </cell>
          <cell r="E3023" t="str">
            <v>CO26</v>
          </cell>
          <cell r="F3023">
            <v>2799</v>
          </cell>
          <cell r="G3023" t="str">
            <v>US</v>
          </cell>
          <cell r="H3023" t="str">
            <v>USPUSMTRO</v>
          </cell>
          <cell r="I3023" t="str">
            <v>USTRO1633002</v>
          </cell>
          <cell r="J3023" t="str">
            <v>30</v>
          </cell>
          <cell r="K3023" t="str">
            <v>TROUSER</v>
          </cell>
          <cell r="L3023" t="str">
            <v>NOD</v>
          </cell>
        </row>
        <row r="3024">
          <cell r="C3024" t="str">
            <v>USTRO1633</v>
          </cell>
          <cell r="D3024" t="str">
            <v>CORE</v>
          </cell>
          <cell r="E3024" t="str">
            <v>CO26</v>
          </cell>
          <cell r="F3024">
            <v>2799</v>
          </cell>
          <cell r="G3024" t="str">
            <v>US</v>
          </cell>
          <cell r="H3024" t="str">
            <v>USPUSMTRO</v>
          </cell>
          <cell r="I3024" t="str">
            <v>USTRO1633003</v>
          </cell>
          <cell r="J3024" t="str">
            <v>32</v>
          </cell>
          <cell r="K3024" t="str">
            <v>TROUSER</v>
          </cell>
          <cell r="L3024" t="str">
            <v>NOD</v>
          </cell>
        </row>
        <row r="3025">
          <cell r="C3025" t="str">
            <v>USTRO1633</v>
          </cell>
          <cell r="D3025" t="str">
            <v>CORE</v>
          </cell>
          <cell r="E3025" t="str">
            <v>CO26</v>
          </cell>
          <cell r="F3025">
            <v>2799</v>
          </cell>
          <cell r="G3025" t="str">
            <v>US</v>
          </cell>
          <cell r="H3025" t="str">
            <v>USPUSMTRO</v>
          </cell>
          <cell r="I3025" t="str">
            <v>USTRO1633004</v>
          </cell>
          <cell r="J3025" t="str">
            <v>34</v>
          </cell>
          <cell r="K3025" t="str">
            <v>TROUSER</v>
          </cell>
          <cell r="L3025" t="str">
            <v>NOD</v>
          </cell>
        </row>
        <row r="3026">
          <cell r="C3026" t="str">
            <v>USTRO1633</v>
          </cell>
          <cell r="D3026" t="str">
            <v>CORE</v>
          </cell>
          <cell r="E3026" t="str">
            <v>CO26</v>
          </cell>
          <cell r="F3026">
            <v>2799</v>
          </cell>
          <cell r="G3026" t="str">
            <v>US</v>
          </cell>
          <cell r="H3026" t="str">
            <v>USPUSMTRO</v>
          </cell>
          <cell r="I3026" t="str">
            <v>USTRO1633005</v>
          </cell>
          <cell r="J3026" t="str">
            <v>36</v>
          </cell>
          <cell r="K3026" t="str">
            <v>TROUSER</v>
          </cell>
          <cell r="L3026" t="str">
            <v>NOD</v>
          </cell>
        </row>
        <row r="3027">
          <cell r="C3027" t="str">
            <v>USTRO1633</v>
          </cell>
          <cell r="D3027" t="str">
            <v>CORE</v>
          </cell>
          <cell r="E3027" t="str">
            <v>CO26</v>
          </cell>
          <cell r="F3027">
            <v>2799</v>
          </cell>
          <cell r="G3027" t="str">
            <v>US</v>
          </cell>
          <cell r="H3027" t="str">
            <v>USPUSMTRO</v>
          </cell>
          <cell r="I3027" t="str">
            <v>USTRO1633006</v>
          </cell>
          <cell r="J3027" t="str">
            <v>38</v>
          </cell>
          <cell r="K3027" t="str">
            <v>TROUSER</v>
          </cell>
          <cell r="L3027" t="str">
            <v>NOD</v>
          </cell>
        </row>
        <row r="3028">
          <cell r="C3028" t="str">
            <v>USTRO1633</v>
          </cell>
          <cell r="D3028" t="str">
            <v>CORE</v>
          </cell>
          <cell r="E3028" t="str">
            <v>CO26</v>
          </cell>
          <cell r="F3028">
            <v>2799</v>
          </cell>
          <cell r="G3028" t="str">
            <v>US</v>
          </cell>
          <cell r="H3028" t="str">
            <v>USPUSMTRO</v>
          </cell>
          <cell r="I3028" t="str">
            <v>USTRO1633007</v>
          </cell>
          <cell r="J3028" t="str">
            <v>40</v>
          </cell>
          <cell r="K3028" t="str">
            <v>TROUSER</v>
          </cell>
          <cell r="L3028" t="str">
            <v>NOD</v>
          </cell>
        </row>
        <row r="3029">
          <cell r="C3029" t="str">
            <v>USTRO1633</v>
          </cell>
          <cell r="D3029" t="str">
            <v>CORE</v>
          </cell>
          <cell r="E3029" t="str">
            <v>CO26</v>
          </cell>
          <cell r="F3029">
            <v>2799</v>
          </cell>
          <cell r="G3029" t="str">
            <v>US</v>
          </cell>
          <cell r="H3029" t="str">
            <v>USPUSMTRO</v>
          </cell>
          <cell r="I3029" t="str">
            <v>USTRO1633008</v>
          </cell>
          <cell r="J3029" t="str">
            <v>42</v>
          </cell>
          <cell r="K3029" t="str">
            <v>TROUSER</v>
          </cell>
          <cell r="L3029" t="str">
            <v>NOD</v>
          </cell>
        </row>
        <row r="3030">
          <cell r="C3030" t="str">
            <v>USTRO1633</v>
          </cell>
          <cell r="D3030" t="str">
            <v>CORE</v>
          </cell>
          <cell r="E3030" t="str">
            <v>CO26</v>
          </cell>
          <cell r="F3030">
            <v>3159.66</v>
          </cell>
          <cell r="G3030" t="str">
            <v>US</v>
          </cell>
          <cell r="H3030" t="str">
            <v>USPUSMTRO</v>
          </cell>
          <cell r="I3030" t="str">
            <v>USTRO1633009</v>
          </cell>
          <cell r="J3030" t="str">
            <v>44</v>
          </cell>
          <cell r="K3030" t="str">
            <v>TROUSER</v>
          </cell>
          <cell r="L3030" t="str">
            <v>NOD</v>
          </cell>
        </row>
        <row r="3031">
          <cell r="C3031" t="str">
            <v>USTRO1633</v>
          </cell>
          <cell r="D3031" t="str">
            <v>CORE</v>
          </cell>
          <cell r="E3031" t="str">
            <v>CO26</v>
          </cell>
          <cell r="F3031">
            <v>3159.66</v>
          </cell>
          <cell r="G3031" t="str">
            <v>US</v>
          </cell>
          <cell r="H3031" t="str">
            <v>USPUSMTRO</v>
          </cell>
          <cell r="I3031" t="str">
            <v>USTRO1633010</v>
          </cell>
          <cell r="J3031" t="str">
            <v>46</v>
          </cell>
          <cell r="K3031" t="str">
            <v>TROUSER</v>
          </cell>
          <cell r="L3031" t="str">
            <v>NOD</v>
          </cell>
        </row>
        <row r="3032">
          <cell r="C3032" t="str">
            <v>USTRO1633</v>
          </cell>
          <cell r="D3032" t="str">
            <v>CORE</v>
          </cell>
          <cell r="E3032" t="str">
            <v>CO26</v>
          </cell>
          <cell r="F3032">
            <v>3159.66</v>
          </cell>
          <cell r="G3032" t="str">
            <v>US</v>
          </cell>
          <cell r="H3032" t="str">
            <v>USPUSMTRO</v>
          </cell>
          <cell r="I3032" t="str">
            <v>USTRO1633011</v>
          </cell>
          <cell r="J3032" t="str">
            <v>48</v>
          </cell>
          <cell r="K3032" t="str">
            <v>TROUSER</v>
          </cell>
          <cell r="L3032" t="str">
            <v>NOD</v>
          </cell>
        </row>
        <row r="3033">
          <cell r="C3033" t="str">
            <v>USTRO1633</v>
          </cell>
          <cell r="D3033" t="str">
            <v>CORE</v>
          </cell>
          <cell r="E3033" t="str">
            <v>CO26</v>
          </cell>
          <cell r="F3033">
            <v>3159.66</v>
          </cell>
          <cell r="G3033" t="str">
            <v>US</v>
          </cell>
          <cell r="H3033" t="str">
            <v>USPUSMTRO</v>
          </cell>
          <cell r="I3033" t="str">
            <v>USTRO1633012</v>
          </cell>
          <cell r="J3033" t="str">
            <v>50</v>
          </cell>
          <cell r="K3033" t="str">
            <v>TROUSER</v>
          </cell>
          <cell r="L3033" t="str">
            <v>NOD</v>
          </cell>
        </row>
        <row r="3034">
          <cell r="C3034" t="str">
            <v>USTRO1633D</v>
          </cell>
          <cell r="D3034" t="str">
            <v>CORE</v>
          </cell>
          <cell r="E3034" t="str">
            <v>CO26</v>
          </cell>
          <cell r="F3034">
            <v>2799</v>
          </cell>
          <cell r="G3034" t="str">
            <v>US</v>
          </cell>
          <cell r="H3034" t="str">
            <v>USPUSMTRO</v>
          </cell>
          <cell r="I3034" t="str">
            <v>USTRO1633D001</v>
          </cell>
          <cell r="J3034" t="str">
            <v>28</v>
          </cell>
          <cell r="K3034" t="str">
            <v>TROUSER</v>
          </cell>
          <cell r="L3034" t="str">
            <v>NOD</v>
          </cell>
        </row>
        <row r="3035">
          <cell r="C3035" t="str">
            <v>USTRO1633D</v>
          </cell>
          <cell r="D3035" t="str">
            <v>CORE</v>
          </cell>
          <cell r="E3035" t="str">
            <v>CO26</v>
          </cell>
          <cell r="F3035">
            <v>2799</v>
          </cell>
          <cell r="G3035" t="str">
            <v>US</v>
          </cell>
          <cell r="H3035" t="str">
            <v>USPUSMTRO</v>
          </cell>
          <cell r="I3035" t="str">
            <v>USTRO1633D002</v>
          </cell>
          <cell r="J3035" t="str">
            <v>30</v>
          </cell>
          <cell r="K3035" t="str">
            <v>TROUSER</v>
          </cell>
          <cell r="L3035" t="str">
            <v>NOD</v>
          </cell>
        </row>
        <row r="3036">
          <cell r="C3036" t="str">
            <v>USTRO1633D</v>
          </cell>
          <cell r="D3036" t="str">
            <v>CORE</v>
          </cell>
          <cell r="E3036" t="str">
            <v>CO26</v>
          </cell>
          <cell r="F3036">
            <v>2799</v>
          </cell>
          <cell r="G3036" t="str">
            <v>US</v>
          </cell>
          <cell r="H3036" t="str">
            <v>USPUSMTRO</v>
          </cell>
          <cell r="I3036" t="str">
            <v>USTRO1633D003</v>
          </cell>
          <cell r="J3036" t="str">
            <v>32</v>
          </cell>
          <cell r="K3036" t="str">
            <v>TROUSER</v>
          </cell>
          <cell r="L3036" t="str">
            <v>NOD</v>
          </cell>
        </row>
        <row r="3037">
          <cell r="C3037" t="str">
            <v>USTRO1633D</v>
          </cell>
          <cell r="D3037" t="str">
            <v>CORE</v>
          </cell>
          <cell r="E3037" t="str">
            <v>CO26</v>
          </cell>
          <cell r="F3037">
            <v>2799</v>
          </cell>
          <cell r="G3037" t="str">
            <v>US</v>
          </cell>
          <cell r="H3037" t="str">
            <v>USPUSMTRO</v>
          </cell>
          <cell r="I3037" t="str">
            <v>USTRO1633D004</v>
          </cell>
          <cell r="J3037" t="str">
            <v>34</v>
          </cell>
          <cell r="K3037" t="str">
            <v>TROUSER</v>
          </cell>
          <cell r="L3037" t="str">
            <v>NOD</v>
          </cell>
        </row>
        <row r="3038">
          <cell r="C3038" t="str">
            <v>USTRO1633D</v>
          </cell>
          <cell r="D3038" t="str">
            <v>CORE</v>
          </cell>
          <cell r="E3038" t="str">
            <v>CO26</v>
          </cell>
          <cell r="F3038">
            <v>2799</v>
          </cell>
          <cell r="G3038" t="str">
            <v>US</v>
          </cell>
          <cell r="H3038" t="str">
            <v>USPUSMTRO</v>
          </cell>
          <cell r="I3038" t="str">
            <v>USTRO1633D005</v>
          </cell>
          <cell r="J3038" t="str">
            <v>36</v>
          </cell>
          <cell r="K3038" t="str">
            <v>TROUSER</v>
          </cell>
          <cell r="L3038" t="str">
            <v>NOD</v>
          </cell>
        </row>
        <row r="3039">
          <cell r="C3039" t="str">
            <v>USTRO1633D</v>
          </cell>
          <cell r="D3039" t="str">
            <v>CORE</v>
          </cell>
          <cell r="E3039" t="str">
            <v>CO26</v>
          </cell>
          <cell r="F3039">
            <v>2799</v>
          </cell>
          <cell r="G3039" t="str">
            <v>US</v>
          </cell>
          <cell r="H3039" t="str">
            <v>USPUSMTRO</v>
          </cell>
          <cell r="I3039" t="str">
            <v>USTRO1633D006</v>
          </cell>
          <cell r="J3039" t="str">
            <v>38</v>
          </cell>
          <cell r="K3039" t="str">
            <v>TROUSER</v>
          </cell>
          <cell r="L3039" t="str">
            <v>NOD</v>
          </cell>
        </row>
        <row r="3040">
          <cell r="C3040" t="str">
            <v>USTRO1633D</v>
          </cell>
          <cell r="D3040" t="str">
            <v>CORE</v>
          </cell>
          <cell r="E3040" t="str">
            <v>CO26</v>
          </cell>
          <cell r="F3040">
            <v>2799</v>
          </cell>
          <cell r="G3040" t="str">
            <v>US</v>
          </cell>
          <cell r="H3040" t="str">
            <v>USPUSMTRO</v>
          </cell>
          <cell r="I3040" t="str">
            <v>USTRO1633D007</v>
          </cell>
          <cell r="J3040" t="str">
            <v>40</v>
          </cell>
          <cell r="K3040" t="str">
            <v>TROUSER</v>
          </cell>
          <cell r="L3040" t="str">
            <v>NOD</v>
          </cell>
        </row>
        <row r="3041">
          <cell r="C3041" t="str">
            <v>USTRO1633D</v>
          </cell>
          <cell r="D3041" t="str">
            <v>CORE</v>
          </cell>
          <cell r="E3041" t="str">
            <v>CO26</v>
          </cell>
          <cell r="F3041">
            <v>2799</v>
          </cell>
          <cell r="G3041" t="str">
            <v>US</v>
          </cell>
          <cell r="H3041" t="str">
            <v>USPUSMTRO</v>
          </cell>
          <cell r="I3041" t="str">
            <v>USTRO1633D008</v>
          </cell>
          <cell r="J3041" t="str">
            <v>42</v>
          </cell>
          <cell r="K3041" t="str">
            <v>TROUSER</v>
          </cell>
          <cell r="L3041" t="str">
            <v>NOD</v>
          </cell>
        </row>
        <row r="3042">
          <cell r="C3042" t="str">
            <v>USTRO1633D</v>
          </cell>
          <cell r="D3042" t="str">
            <v>CORE</v>
          </cell>
          <cell r="E3042" t="str">
            <v>CO26</v>
          </cell>
          <cell r="F3042">
            <v>3159.66</v>
          </cell>
          <cell r="G3042" t="str">
            <v>US</v>
          </cell>
          <cell r="H3042" t="str">
            <v>USPUSMTRO</v>
          </cell>
          <cell r="I3042" t="str">
            <v>USTRO1633D009</v>
          </cell>
          <cell r="J3042" t="str">
            <v>44</v>
          </cell>
          <cell r="K3042" t="str">
            <v>TROUSER</v>
          </cell>
          <cell r="L3042" t="str">
            <v>NOD</v>
          </cell>
        </row>
        <row r="3043">
          <cell r="C3043" t="str">
            <v>USTRO1633D</v>
          </cell>
          <cell r="D3043" t="str">
            <v>CORE</v>
          </cell>
          <cell r="E3043" t="str">
            <v>CO26</v>
          </cell>
          <cell r="F3043">
            <v>3159.66</v>
          </cell>
          <cell r="G3043" t="str">
            <v>US</v>
          </cell>
          <cell r="H3043" t="str">
            <v>USPUSMTRO</v>
          </cell>
          <cell r="I3043" t="str">
            <v>USTRO1633D010</v>
          </cell>
          <cell r="J3043" t="str">
            <v>46</v>
          </cell>
          <cell r="K3043" t="str">
            <v>TROUSER</v>
          </cell>
          <cell r="L3043" t="str">
            <v>NOD</v>
          </cell>
        </row>
        <row r="3044">
          <cell r="C3044" t="str">
            <v>USTRO1633D</v>
          </cell>
          <cell r="D3044" t="str">
            <v>CORE</v>
          </cell>
          <cell r="E3044" t="str">
            <v>CO26</v>
          </cell>
          <cell r="F3044">
            <v>3159.66</v>
          </cell>
          <cell r="G3044" t="str">
            <v>US</v>
          </cell>
          <cell r="H3044" t="str">
            <v>USPUSMTRO</v>
          </cell>
          <cell r="I3044" t="str">
            <v>USTRO1633D011</v>
          </cell>
          <cell r="J3044" t="str">
            <v>48</v>
          </cell>
          <cell r="K3044" t="str">
            <v>TROUSER</v>
          </cell>
          <cell r="L3044" t="str">
            <v>NOD</v>
          </cell>
        </row>
        <row r="3045">
          <cell r="C3045" t="str">
            <v>USTRO1633D</v>
          </cell>
          <cell r="D3045" t="str">
            <v>CORE</v>
          </cell>
          <cell r="E3045" t="str">
            <v>CO26</v>
          </cell>
          <cell r="F3045">
            <v>3159.66</v>
          </cell>
          <cell r="G3045" t="str">
            <v>US</v>
          </cell>
          <cell r="H3045" t="str">
            <v>USPUSMTRO</v>
          </cell>
          <cell r="I3045" t="str">
            <v>USTRO1633D012</v>
          </cell>
          <cell r="J3045" t="str">
            <v>50</v>
          </cell>
          <cell r="K3045" t="str">
            <v>TROUSER</v>
          </cell>
          <cell r="L3045" t="str">
            <v>NOD</v>
          </cell>
        </row>
        <row r="3046">
          <cell r="C3046" t="str">
            <v>USTRO1633S</v>
          </cell>
          <cell r="D3046" t="str">
            <v>CORE</v>
          </cell>
          <cell r="E3046" t="str">
            <v>CO26</v>
          </cell>
          <cell r="F3046">
            <v>2799</v>
          </cell>
          <cell r="G3046" t="str">
            <v>US</v>
          </cell>
          <cell r="H3046" t="str">
            <v>USPUSMTRO</v>
          </cell>
          <cell r="I3046" t="str">
            <v>USTRO1633S001</v>
          </cell>
          <cell r="J3046" t="str">
            <v>28</v>
          </cell>
          <cell r="K3046" t="str">
            <v>TROUSER</v>
          </cell>
          <cell r="L3046" t="str">
            <v>NOD</v>
          </cell>
        </row>
        <row r="3047">
          <cell r="C3047" t="str">
            <v>USTRO1633S</v>
          </cell>
          <cell r="D3047" t="str">
            <v>CORE</v>
          </cell>
          <cell r="E3047" t="str">
            <v>CO26</v>
          </cell>
          <cell r="F3047">
            <v>2799</v>
          </cell>
          <cell r="G3047" t="str">
            <v>US</v>
          </cell>
          <cell r="H3047" t="str">
            <v>USPUSMTRO</v>
          </cell>
          <cell r="I3047" t="str">
            <v>USTRO1633S002</v>
          </cell>
          <cell r="J3047" t="str">
            <v>30</v>
          </cell>
          <cell r="K3047" t="str">
            <v>TROUSER</v>
          </cell>
          <cell r="L3047" t="str">
            <v>NOD</v>
          </cell>
        </row>
        <row r="3048">
          <cell r="C3048" t="str">
            <v>USTRO1633S</v>
          </cell>
          <cell r="D3048" t="str">
            <v>CORE</v>
          </cell>
          <cell r="E3048" t="str">
            <v>CO26</v>
          </cell>
          <cell r="F3048">
            <v>2799</v>
          </cell>
          <cell r="G3048" t="str">
            <v>US</v>
          </cell>
          <cell r="H3048" t="str">
            <v>USPUSMTRO</v>
          </cell>
          <cell r="I3048" t="str">
            <v>USTRO1633S003</v>
          </cell>
          <cell r="J3048" t="str">
            <v>32</v>
          </cell>
          <cell r="K3048" t="str">
            <v>TROUSER</v>
          </cell>
          <cell r="L3048" t="str">
            <v>NOD</v>
          </cell>
        </row>
        <row r="3049">
          <cell r="C3049" t="str">
            <v>USTRO1633S</v>
          </cell>
          <cell r="D3049" t="str">
            <v>CORE</v>
          </cell>
          <cell r="E3049" t="str">
            <v>CO26</v>
          </cell>
          <cell r="F3049">
            <v>2799</v>
          </cell>
          <cell r="G3049" t="str">
            <v>US</v>
          </cell>
          <cell r="H3049" t="str">
            <v>USPUSMTRO</v>
          </cell>
          <cell r="I3049" t="str">
            <v>USTRO1633S004</v>
          </cell>
          <cell r="J3049" t="str">
            <v>34</v>
          </cell>
          <cell r="K3049" t="str">
            <v>TROUSER</v>
          </cell>
          <cell r="L3049" t="str">
            <v>NOD</v>
          </cell>
        </row>
        <row r="3050">
          <cell r="C3050" t="str">
            <v>USTRO1633S</v>
          </cell>
          <cell r="D3050" t="str">
            <v>CORE</v>
          </cell>
          <cell r="E3050" t="str">
            <v>CO26</v>
          </cell>
          <cell r="F3050">
            <v>2799</v>
          </cell>
          <cell r="G3050" t="str">
            <v>US</v>
          </cell>
          <cell r="H3050" t="str">
            <v>USPUSMTRO</v>
          </cell>
          <cell r="I3050" t="str">
            <v>USTRO1633S005</v>
          </cell>
          <cell r="J3050" t="str">
            <v>36</v>
          </cell>
          <cell r="K3050" t="str">
            <v>TROUSER</v>
          </cell>
          <cell r="L3050" t="str">
            <v>NOD</v>
          </cell>
        </row>
        <row r="3051">
          <cell r="C3051" t="str">
            <v>USTRO1633S</v>
          </cell>
          <cell r="D3051" t="str">
            <v>CORE</v>
          </cell>
          <cell r="E3051" t="str">
            <v>CO26</v>
          </cell>
          <cell r="F3051">
            <v>2799</v>
          </cell>
          <cell r="G3051" t="str">
            <v>US</v>
          </cell>
          <cell r="H3051" t="str">
            <v>USPUSMTRO</v>
          </cell>
          <cell r="I3051" t="str">
            <v>USTRO1633S006</v>
          </cell>
          <cell r="J3051" t="str">
            <v>38</v>
          </cell>
          <cell r="K3051" t="str">
            <v>TROUSER</v>
          </cell>
          <cell r="L3051" t="str">
            <v>NOD</v>
          </cell>
        </row>
        <row r="3052">
          <cell r="C3052" t="str">
            <v>USTRO1633S</v>
          </cell>
          <cell r="D3052" t="str">
            <v>CORE</v>
          </cell>
          <cell r="E3052" t="str">
            <v>CO26</v>
          </cell>
          <cell r="F3052">
            <v>2799</v>
          </cell>
          <cell r="G3052" t="str">
            <v>US</v>
          </cell>
          <cell r="H3052" t="str">
            <v>USPUSMTRO</v>
          </cell>
          <cell r="I3052" t="str">
            <v>USTRO1633S007</v>
          </cell>
          <cell r="J3052" t="str">
            <v>40</v>
          </cell>
          <cell r="K3052" t="str">
            <v>TROUSER</v>
          </cell>
          <cell r="L3052" t="str">
            <v>NOD</v>
          </cell>
        </row>
        <row r="3053">
          <cell r="C3053" t="str">
            <v>USTRO1633S</v>
          </cell>
          <cell r="D3053" t="str">
            <v>CORE</v>
          </cell>
          <cell r="E3053" t="str">
            <v>CO26</v>
          </cell>
          <cell r="F3053">
            <v>2799</v>
          </cell>
          <cell r="G3053" t="str">
            <v>US</v>
          </cell>
          <cell r="H3053" t="str">
            <v>USPUSMTRO</v>
          </cell>
          <cell r="I3053" t="str">
            <v>USTRO1633S008</v>
          </cell>
          <cell r="J3053" t="str">
            <v>42</v>
          </cell>
          <cell r="K3053" t="str">
            <v>TROUSER</v>
          </cell>
          <cell r="L3053" t="str">
            <v>NOD</v>
          </cell>
        </row>
        <row r="3054">
          <cell r="C3054" t="str">
            <v>USTRO1633S</v>
          </cell>
          <cell r="D3054" t="str">
            <v>CORE</v>
          </cell>
          <cell r="E3054" t="str">
            <v>CO26</v>
          </cell>
          <cell r="F3054">
            <v>3159.66</v>
          </cell>
          <cell r="G3054" t="str">
            <v>US</v>
          </cell>
          <cell r="H3054" t="str">
            <v>USPUSMTRO</v>
          </cell>
          <cell r="I3054" t="str">
            <v>USTRO1633S009</v>
          </cell>
          <cell r="J3054" t="str">
            <v>44</v>
          </cell>
          <cell r="K3054" t="str">
            <v>TROUSER</v>
          </cell>
          <cell r="L3054" t="str">
            <v>NOD</v>
          </cell>
        </row>
        <row r="3055">
          <cell r="C3055" t="str">
            <v>USTRO1633S</v>
          </cell>
          <cell r="D3055" t="str">
            <v>CORE</v>
          </cell>
          <cell r="E3055" t="str">
            <v>CO26</v>
          </cell>
          <cell r="F3055">
            <v>3159.66</v>
          </cell>
          <cell r="G3055" t="str">
            <v>US</v>
          </cell>
          <cell r="H3055" t="str">
            <v>USPUSMTRO</v>
          </cell>
          <cell r="I3055" t="str">
            <v>USTRO1633S010</v>
          </cell>
          <cell r="J3055" t="str">
            <v>46</v>
          </cell>
          <cell r="K3055" t="str">
            <v>TROUSER</v>
          </cell>
          <cell r="L3055" t="str">
            <v>NOD</v>
          </cell>
        </row>
        <row r="3056">
          <cell r="C3056" t="str">
            <v>USTRO1633S</v>
          </cell>
          <cell r="D3056" t="str">
            <v>CORE</v>
          </cell>
          <cell r="E3056" t="str">
            <v>CO26</v>
          </cell>
          <cell r="F3056">
            <v>3159.66</v>
          </cell>
          <cell r="G3056" t="str">
            <v>US</v>
          </cell>
          <cell r="H3056" t="str">
            <v>USPUSMTRO</v>
          </cell>
          <cell r="I3056" t="str">
            <v>USTRO1633S011</v>
          </cell>
          <cell r="J3056" t="str">
            <v>48</v>
          </cell>
          <cell r="K3056" t="str">
            <v>TROUSER</v>
          </cell>
          <cell r="L3056" t="str">
            <v>NOD</v>
          </cell>
        </row>
        <row r="3057">
          <cell r="C3057" t="str">
            <v>USTRO1635</v>
          </cell>
          <cell r="D3057" t="str">
            <v>CORE</v>
          </cell>
          <cell r="E3057" t="str">
            <v>CO26</v>
          </cell>
          <cell r="F3057">
            <v>2799</v>
          </cell>
          <cell r="G3057" t="str">
            <v>US</v>
          </cell>
          <cell r="H3057" t="str">
            <v>USPUSMTRO</v>
          </cell>
          <cell r="I3057" t="str">
            <v>USTRO1635001</v>
          </cell>
          <cell r="J3057" t="str">
            <v>28</v>
          </cell>
          <cell r="K3057" t="str">
            <v>TROUSER</v>
          </cell>
          <cell r="L3057" t="str">
            <v>NOD</v>
          </cell>
        </row>
        <row r="3058">
          <cell r="C3058" t="str">
            <v>USTRO1635</v>
          </cell>
          <cell r="D3058" t="str">
            <v>CORE</v>
          </cell>
          <cell r="E3058" t="str">
            <v>CO26</v>
          </cell>
          <cell r="F3058">
            <v>2799</v>
          </cell>
          <cell r="G3058" t="str">
            <v>US</v>
          </cell>
          <cell r="H3058" t="str">
            <v>USPUSMTRO</v>
          </cell>
          <cell r="I3058" t="str">
            <v>USTRO1635002</v>
          </cell>
          <cell r="J3058" t="str">
            <v>30</v>
          </cell>
          <cell r="K3058" t="str">
            <v>TROUSER</v>
          </cell>
          <cell r="L3058" t="str">
            <v>NOD</v>
          </cell>
        </row>
        <row r="3059">
          <cell r="C3059" t="str">
            <v>USTRO1635</v>
          </cell>
          <cell r="D3059" t="str">
            <v>CORE</v>
          </cell>
          <cell r="E3059" t="str">
            <v>CO26</v>
          </cell>
          <cell r="F3059">
            <v>2799</v>
          </cell>
          <cell r="G3059" t="str">
            <v>US</v>
          </cell>
          <cell r="H3059" t="str">
            <v>USPUSMTRO</v>
          </cell>
          <cell r="I3059" t="str">
            <v>USTRO1635003</v>
          </cell>
          <cell r="J3059" t="str">
            <v>32</v>
          </cell>
          <cell r="K3059" t="str">
            <v>TROUSER</v>
          </cell>
          <cell r="L3059" t="str">
            <v>NOD</v>
          </cell>
        </row>
        <row r="3060">
          <cell r="C3060" t="str">
            <v>USTRO1635</v>
          </cell>
          <cell r="D3060" t="str">
            <v>CORE</v>
          </cell>
          <cell r="E3060" t="str">
            <v>CO26</v>
          </cell>
          <cell r="F3060">
            <v>2799</v>
          </cell>
          <cell r="G3060" t="str">
            <v>US</v>
          </cell>
          <cell r="H3060" t="str">
            <v>USPUSMTRO</v>
          </cell>
          <cell r="I3060" t="str">
            <v>USTRO1635004</v>
          </cell>
          <cell r="J3060" t="str">
            <v>34</v>
          </cell>
          <cell r="K3060" t="str">
            <v>TROUSER</v>
          </cell>
          <cell r="L3060" t="str">
            <v>NOD</v>
          </cell>
        </row>
        <row r="3061">
          <cell r="C3061" t="str">
            <v>USTRO1635</v>
          </cell>
          <cell r="D3061" t="str">
            <v>CORE</v>
          </cell>
          <cell r="E3061" t="str">
            <v>CO26</v>
          </cell>
          <cell r="F3061">
            <v>2799</v>
          </cell>
          <cell r="G3061" t="str">
            <v>US</v>
          </cell>
          <cell r="H3061" t="str">
            <v>USPUSMTRO</v>
          </cell>
          <cell r="I3061" t="str">
            <v>USTRO1635005</v>
          </cell>
          <cell r="J3061" t="str">
            <v>36</v>
          </cell>
          <cell r="K3061" t="str">
            <v>TROUSER</v>
          </cell>
          <cell r="L3061" t="str">
            <v>NOD</v>
          </cell>
        </row>
        <row r="3062">
          <cell r="C3062" t="str">
            <v>USTRO1635</v>
          </cell>
          <cell r="D3062" t="str">
            <v>CORE</v>
          </cell>
          <cell r="E3062" t="str">
            <v>CO26</v>
          </cell>
          <cell r="F3062">
            <v>2799</v>
          </cell>
          <cell r="G3062" t="str">
            <v>US</v>
          </cell>
          <cell r="H3062" t="str">
            <v>USPUSMTRO</v>
          </cell>
          <cell r="I3062" t="str">
            <v>USTRO1635006</v>
          </cell>
          <cell r="J3062" t="str">
            <v>38</v>
          </cell>
          <cell r="K3062" t="str">
            <v>TROUSER</v>
          </cell>
          <cell r="L3062" t="str">
            <v>NOD</v>
          </cell>
        </row>
        <row r="3063">
          <cell r="C3063" t="str">
            <v>USTRO1635</v>
          </cell>
          <cell r="D3063" t="str">
            <v>CORE</v>
          </cell>
          <cell r="E3063" t="str">
            <v>CO26</v>
          </cell>
          <cell r="F3063">
            <v>2799</v>
          </cell>
          <cell r="G3063" t="str">
            <v>US</v>
          </cell>
          <cell r="H3063" t="str">
            <v>USPUSMTRO</v>
          </cell>
          <cell r="I3063" t="str">
            <v>USTRO1635007</v>
          </cell>
          <cell r="J3063" t="str">
            <v>40</v>
          </cell>
          <cell r="K3063" t="str">
            <v>TROUSER</v>
          </cell>
          <cell r="L3063" t="str">
            <v>NOD</v>
          </cell>
        </row>
        <row r="3064">
          <cell r="C3064" t="str">
            <v>USTRO1635</v>
          </cell>
          <cell r="D3064" t="str">
            <v>CORE</v>
          </cell>
          <cell r="E3064" t="str">
            <v>CO26</v>
          </cell>
          <cell r="F3064">
            <v>2799</v>
          </cell>
          <cell r="G3064" t="str">
            <v>US</v>
          </cell>
          <cell r="H3064" t="str">
            <v>USPUSMTRO</v>
          </cell>
          <cell r="I3064" t="str">
            <v>USTRO1635008</v>
          </cell>
          <cell r="J3064" t="str">
            <v>42</v>
          </cell>
          <cell r="K3064" t="str">
            <v>TROUSER</v>
          </cell>
          <cell r="L3064" t="str">
            <v>NOD</v>
          </cell>
        </row>
        <row r="3065">
          <cell r="C3065" t="str">
            <v>USTRO1635</v>
          </cell>
          <cell r="D3065" t="str">
            <v>CORE</v>
          </cell>
          <cell r="E3065" t="str">
            <v>CO26</v>
          </cell>
          <cell r="F3065">
            <v>3159.66</v>
          </cell>
          <cell r="G3065" t="str">
            <v>US</v>
          </cell>
          <cell r="H3065" t="str">
            <v>USPUSMTRO</v>
          </cell>
          <cell r="I3065" t="str">
            <v>USTRO1635009</v>
          </cell>
          <cell r="J3065" t="str">
            <v>44</v>
          </cell>
          <cell r="K3065" t="str">
            <v>TROUSER</v>
          </cell>
          <cell r="L3065" t="str">
            <v>NOD</v>
          </cell>
        </row>
        <row r="3066">
          <cell r="C3066" t="str">
            <v>USTRO1635</v>
          </cell>
          <cell r="D3066" t="str">
            <v>CORE</v>
          </cell>
          <cell r="E3066" t="str">
            <v>CO26</v>
          </cell>
          <cell r="F3066">
            <v>3159.66</v>
          </cell>
          <cell r="G3066" t="str">
            <v>US</v>
          </cell>
          <cell r="H3066" t="str">
            <v>USPUSMTRO</v>
          </cell>
          <cell r="I3066" t="str">
            <v>USTRO1635010</v>
          </cell>
          <cell r="J3066" t="str">
            <v>46</v>
          </cell>
          <cell r="K3066" t="str">
            <v>TROUSER</v>
          </cell>
          <cell r="L3066" t="str">
            <v>NOD</v>
          </cell>
        </row>
        <row r="3067">
          <cell r="C3067" t="str">
            <v>USTRO1635</v>
          </cell>
          <cell r="D3067" t="str">
            <v>CORE</v>
          </cell>
          <cell r="E3067" t="str">
            <v>CO26</v>
          </cell>
          <cell r="F3067">
            <v>3159.66</v>
          </cell>
          <cell r="G3067" t="str">
            <v>US</v>
          </cell>
          <cell r="H3067" t="str">
            <v>USPUSMTRO</v>
          </cell>
          <cell r="I3067" t="str">
            <v>USTRO1635011</v>
          </cell>
          <cell r="J3067" t="str">
            <v>48</v>
          </cell>
          <cell r="K3067" t="str">
            <v>TROUSER</v>
          </cell>
          <cell r="L3067" t="str">
            <v>NOD</v>
          </cell>
        </row>
        <row r="3068">
          <cell r="C3068" t="str">
            <v>USTRO1635</v>
          </cell>
          <cell r="D3068" t="str">
            <v>CORE</v>
          </cell>
          <cell r="E3068" t="str">
            <v>CO26</v>
          </cell>
          <cell r="F3068">
            <v>3159.66</v>
          </cell>
          <cell r="G3068" t="str">
            <v>US</v>
          </cell>
          <cell r="H3068" t="str">
            <v>USPUSMTRO</v>
          </cell>
          <cell r="I3068" t="str">
            <v>USTRO1635012</v>
          </cell>
          <cell r="J3068" t="str">
            <v>50</v>
          </cell>
          <cell r="K3068" t="str">
            <v>TROUSER</v>
          </cell>
          <cell r="L3068" t="str">
            <v>NOD</v>
          </cell>
        </row>
        <row r="3069">
          <cell r="C3069" t="str">
            <v>USTRO1635D</v>
          </cell>
          <cell r="D3069" t="str">
            <v>CORE</v>
          </cell>
          <cell r="E3069" t="str">
            <v>CO26</v>
          </cell>
          <cell r="F3069">
            <v>2799</v>
          </cell>
          <cell r="G3069" t="str">
            <v>US</v>
          </cell>
          <cell r="H3069" t="str">
            <v>USPUSMTRO</v>
          </cell>
          <cell r="I3069" t="str">
            <v>USTRO1635D001</v>
          </cell>
          <cell r="J3069" t="str">
            <v>28</v>
          </cell>
          <cell r="K3069" t="str">
            <v>TROUSER</v>
          </cell>
          <cell r="L3069" t="str">
            <v>NOD</v>
          </cell>
        </row>
        <row r="3070">
          <cell r="C3070" t="str">
            <v>USTRO1635D</v>
          </cell>
          <cell r="D3070" t="str">
            <v>CORE</v>
          </cell>
          <cell r="E3070" t="str">
            <v>CO26</v>
          </cell>
          <cell r="F3070">
            <v>2799</v>
          </cell>
          <cell r="G3070" t="str">
            <v>US</v>
          </cell>
          <cell r="H3070" t="str">
            <v>USPUSMTRO</v>
          </cell>
          <cell r="I3070" t="str">
            <v>USTRO1635D002</v>
          </cell>
          <cell r="J3070" t="str">
            <v>30</v>
          </cell>
          <cell r="K3070" t="str">
            <v>TROUSER</v>
          </cell>
          <cell r="L3070" t="str">
            <v>NOD</v>
          </cell>
        </row>
        <row r="3071">
          <cell r="C3071" t="str">
            <v>USTRO1635D</v>
          </cell>
          <cell r="D3071" t="str">
            <v>CORE</v>
          </cell>
          <cell r="E3071" t="str">
            <v>CO26</v>
          </cell>
          <cell r="F3071">
            <v>2799</v>
          </cell>
          <cell r="G3071" t="str">
            <v>US</v>
          </cell>
          <cell r="H3071" t="str">
            <v>USPUSMTRO</v>
          </cell>
          <cell r="I3071" t="str">
            <v>USTRO1635D003</v>
          </cell>
          <cell r="J3071" t="str">
            <v>32</v>
          </cell>
          <cell r="K3071" t="str">
            <v>TROUSER</v>
          </cell>
          <cell r="L3071" t="str">
            <v>NOD</v>
          </cell>
        </row>
        <row r="3072">
          <cell r="C3072" t="str">
            <v>USTRO1635D</v>
          </cell>
          <cell r="D3072" t="str">
            <v>CORE</v>
          </cell>
          <cell r="E3072" t="str">
            <v>CO26</v>
          </cell>
          <cell r="F3072">
            <v>2799</v>
          </cell>
          <cell r="G3072" t="str">
            <v>US</v>
          </cell>
          <cell r="H3072" t="str">
            <v>USPUSMTRO</v>
          </cell>
          <cell r="I3072" t="str">
            <v>USTRO1635D004</v>
          </cell>
          <cell r="J3072" t="str">
            <v>34</v>
          </cell>
          <cell r="K3072" t="str">
            <v>TROUSER</v>
          </cell>
          <cell r="L3072" t="str">
            <v>NOD</v>
          </cell>
        </row>
        <row r="3073">
          <cell r="C3073" t="str">
            <v>USTRO1635D</v>
          </cell>
          <cell r="D3073" t="str">
            <v>CORE</v>
          </cell>
          <cell r="E3073" t="str">
            <v>CO26</v>
          </cell>
          <cell r="F3073">
            <v>2799</v>
          </cell>
          <cell r="G3073" t="str">
            <v>US</v>
          </cell>
          <cell r="H3073" t="str">
            <v>USPUSMTRO</v>
          </cell>
          <cell r="I3073" t="str">
            <v>USTRO1635D005</v>
          </cell>
          <cell r="J3073" t="str">
            <v>36</v>
          </cell>
          <cell r="K3073" t="str">
            <v>TROUSER</v>
          </cell>
          <cell r="L3073" t="str">
            <v>NOD</v>
          </cell>
        </row>
        <row r="3074">
          <cell r="C3074" t="str">
            <v>USTRO1635D</v>
          </cell>
          <cell r="D3074" t="str">
            <v>CORE</v>
          </cell>
          <cell r="E3074" t="str">
            <v>CO26</v>
          </cell>
          <cell r="F3074">
            <v>2799</v>
          </cell>
          <cell r="G3074" t="str">
            <v>US</v>
          </cell>
          <cell r="H3074" t="str">
            <v>USPUSMTRO</v>
          </cell>
          <cell r="I3074" t="str">
            <v>USTRO1635D006</v>
          </cell>
          <cell r="J3074" t="str">
            <v>38</v>
          </cell>
          <cell r="K3074" t="str">
            <v>TROUSER</v>
          </cell>
          <cell r="L3074" t="str">
            <v>NOD</v>
          </cell>
        </row>
        <row r="3075">
          <cell r="C3075" t="str">
            <v>USTRO1635D</v>
          </cell>
          <cell r="D3075" t="str">
            <v>CORE</v>
          </cell>
          <cell r="E3075" t="str">
            <v>CO26</v>
          </cell>
          <cell r="F3075">
            <v>2799</v>
          </cell>
          <cell r="G3075" t="str">
            <v>US</v>
          </cell>
          <cell r="H3075" t="str">
            <v>USPUSMTRO</v>
          </cell>
          <cell r="I3075" t="str">
            <v>USTRO1635D007</v>
          </cell>
          <cell r="J3075" t="str">
            <v>40</v>
          </cell>
          <cell r="K3075" t="str">
            <v>TROUSER</v>
          </cell>
          <cell r="L3075" t="str">
            <v>NOD</v>
          </cell>
        </row>
        <row r="3076">
          <cell r="C3076" t="str">
            <v>USTRO1635D</v>
          </cell>
          <cell r="D3076" t="str">
            <v>CORE</v>
          </cell>
          <cell r="E3076" t="str">
            <v>CO26</v>
          </cell>
          <cell r="F3076">
            <v>2799</v>
          </cell>
          <cell r="G3076" t="str">
            <v>US</v>
          </cell>
          <cell r="H3076" t="str">
            <v>USPUSMTRO</v>
          </cell>
          <cell r="I3076" t="str">
            <v>USTRO1635D008</v>
          </cell>
          <cell r="J3076" t="str">
            <v>42</v>
          </cell>
          <cell r="K3076" t="str">
            <v>TROUSER</v>
          </cell>
          <cell r="L3076" t="str">
            <v>NOD</v>
          </cell>
        </row>
        <row r="3077">
          <cell r="C3077" t="str">
            <v>USTRO1635D</v>
          </cell>
          <cell r="D3077" t="str">
            <v>CORE</v>
          </cell>
          <cell r="E3077" t="str">
            <v>CO26</v>
          </cell>
          <cell r="F3077">
            <v>3159.66</v>
          </cell>
          <cell r="G3077" t="str">
            <v>US</v>
          </cell>
          <cell r="H3077" t="str">
            <v>USPUSMTRO</v>
          </cell>
          <cell r="I3077" t="str">
            <v>USTRO1635D009</v>
          </cell>
          <cell r="J3077" t="str">
            <v>44</v>
          </cell>
          <cell r="K3077" t="str">
            <v>TROUSER</v>
          </cell>
          <cell r="L3077" t="str">
            <v>NOD</v>
          </cell>
        </row>
        <row r="3078">
          <cell r="C3078" t="str">
            <v>USTRO1635D</v>
          </cell>
          <cell r="D3078" t="str">
            <v>CORE</v>
          </cell>
          <cell r="E3078" t="str">
            <v>CO26</v>
          </cell>
          <cell r="F3078">
            <v>3159.66</v>
          </cell>
          <cell r="G3078" t="str">
            <v>US</v>
          </cell>
          <cell r="H3078" t="str">
            <v>USPUSMTRO</v>
          </cell>
          <cell r="I3078" t="str">
            <v>USTRO1635D010</v>
          </cell>
          <cell r="J3078" t="str">
            <v>46</v>
          </cell>
          <cell r="K3078" t="str">
            <v>TROUSER</v>
          </cell>
          <cell r="L3078" t="str">
            <v>NOD</v>
          </cell>
        </row>
        <row r="3079">
          <cell r="C3079" t="str">
            <v>USTRO1635D</v>
          </cell>
          <cell r="D3079" t="str">
            <v>CORE</v>
          </cell>
          <cell r="E3079" t="str">
            <v>CO26</v>
          </cell>
          <cell r="F3079">
            <v>3159.66</v>
          </cell>
          <cell r="G3079" t="str">
            <v>US</v>
          </cell>
          <cell r="H3079" t="str">
            <v>USPUSMTRO</v>
          </cell>
          <cell r="I3079" t="str">
            <v>USTRO1635D011</v>
          </cell>
          <cell r="J3079" t="str">
            <v>48</v>
          </cell>
          <cell r="K3079" t="str">
            <v>TROUSER</v>
          </cell>
          <cell r="L3079" t="str">
            <v>NOD</v>
          </cell>
        </row>
        <row r="3080">
          <cell r="C3080" t="str">
            <v>USTRO1635D</v>
          </cell>
          <cell r="D3080" t="str">
            <v>CORE</v>
          </cell>
          <cell r="E3080" t="str">
            <v>CO26</v>
          </cell>
          <cell r="F3080">
            <v>3159.66</v>
          </cell>
          <cell r="G3080" t="str">
            <v>US</v>
          </cell>
          <cell r="H3080" t="str">
            <v>USPUSMTRO</v>
          </cell>
          <cell r="I3080" t="str">
            <v>USTRO1635D012</v>
          </cell>
          <cell r="J3080" t="str">
            <v>50</v>
          </cell>
          <cell r="K3080" t="str">
            <v>TROUSER</v>
          </cell>
          <cell r="L3080" t="str">
            <v>NOD</v>
          </cell>
        </row>
        <row r="3081">
          <cell r="C3081" t="str">
            <v>USTRO1635S</v>
          </cell>
          <cell r="D3081" t="str">
            <v>OCOR</v>
          </cell>
          <cell r="E3081" t="str">
            <v>OC26</v>
          </cell>
          <cell r="F3081">
            <v>2799</v>
          </cell>
          <cell r="G3081" t="str">
            <v>US</v>
          </cell>
          <cell r="H3081" t="str">
            <v>USPUSMTRO</v>
          </cell>
          <cell r="I3081" t="str">
            <v>USTRO1635S001</v>
          </cell>
          <cell r="J3081" t="str">
            <v>28</v>
          </cell>
          <cell r="K3081" t="str">
            <v>TROUSER</v>
          </cell>
          <cell r="L3081" t="str">
            <v>NOD</v>
          </cell>
        </row>
        <row r="3082">
          <cell r="C3082" t="str">
            <v>USTRO1635S</v>
          </cell>
          <cell r="D3082" t="str">
            <v>OCOR</v>
          </cell>
          <cell r="E3082" t="str">
            <v>OC26</v>
          </cell>
          <cell r="F3082">
            <v>2799</v>
          </cell>
          <cell r="G3082" t="str">
            <v>US</v>
          </cell>
          <cell r="H3082" t="str">
            <v>USPUSMTRO</v>
          </cell>
          <cell r="I3082" t="str">
            <v>USTRO1635S002</v>
          </cell>
          <cell r="J3082" t="str">
            <v>30</v>
          </cell>
          <cell r="K3082" t="str">
            <v>TROUSER</v>
          </cell>
          <cell r="L3082" t="str">
            <v>NOD</v>
          </cell>
        </row>
        <row r="3083">
          <cell r="C3083" t="str">
            <v>USTRO1635S</v>
          </cell>
          <cell r="D3083" t="str">
            <v>OCOR</v>
          </cell>
          <cell r="E3083" t="str">
            <v>OC26</v>
          </cell>
          <cell r="F3083">
            <v>2799</v>
          </cell>
          <cell r="G3083" t="str">
            <v>US</v>
          </cell>
          <cell r="H3083" t="str">
            <v>USPUSMTRO</v>
          </cell>
          <cell r="I3083" t="str">
            <v>USTRO1635S003</v>
          </cell>
          <cell r="J3083" t="str">
            <v>32</v>
          </cell>
          <cell r="K3083" t="str">
            <v>TROUSER</v>
          </cell>
          <cell r="L3083" t="str">
            <v>NOD</v>
          </cell>
        </row>
        <row r="3084">
          <cell r="C3084" t="str">
            <v>USTRO1635S</v>
          </cell>
          <cell r="D3084" t="str">
            <v>OCOR</v>
          </cell>
          <cell r="E3084" t="str">
            <v>OC26</v>
          </cell>
          <cell r="F3084">
            <v>2799</v>
          </cell>
          <cell r="G3084" t="str">
            <v>US</v>
          </cell>
          <cell r="H3084" t="str">
            <v>USPUSMTRO</v>
          </cell>
          <cell r="I3084" t="str">
            <v>USTRO1635S004</v>
          </cell>
          <cell r="J3084" t="str">
            <v>34</v>
          </cell>
          <cell r="K3084" t="str">
            <v>TROUSER</v>
          </cell>
          <cell r="L3084" t="str">
            <v>NOD</v>
          </cell>
        </row>
        <row r="3085">
          <cell r="C3085" t="str">
            <v>USTRO1635S</v>
          </cell>
          <cell r="D3085" t="str">
            <v>OCOR</v>
          </cell>
          <cell r="E3085" t="str">
            <v>OC26</v>
          </cell>
          <cell r="F3085">
            <v>2799</v>
          </cell>
          <cell r="G3085" t="str">
            <v>US</v>
          </cell>
          <cell r="H3085" t="str">
            <v>USPUSMTRO</v>
          </cell>
          <cell r="I3085" t="str">
            <v>USTRO1635S005</v>
          </cell>
          <cell r="J3085" t="str">
            <v>36</v>
          </cell>
          <cell r="K3085" t="str">
            <v>TROUSER</v>
          </cell>
          <cell r="L3085" t="str">
            <v>NOD</v>
          </cell>
        </row>
        <row r="3086">
          <cell r="C3086" t="str">
            <v>USTRO1635S</v>
          </cell>
          <cell r="D3086" t="str">
            <v>OCOR</v>
          </cell>
          <cell r="E3086" t="str">
            <v>OC26</v>
          </cell>
          <cell r="F3086">
            <v>2799</v>
          </cell>
          <cell r="G3086" t="str">
            <v>US</v>
          </cell>
          <cell r="H3086" t="str">
            <v>USPUSMTRO</v>
          </cell>
          <cell r="I3086" t="str">
            <v>USTRO1635S006</v>
          </cell>
          <cell r="J3086" t="str">
            <v>38</v>
          </cell>
          <cell r="K3086" t="str">
            <v>TROUSER</v>
          </cell>
          <cell r="L3086" t="str">
            <v>NOD</v>
          </cell>
        </row>
        <row r="3087">
          <cell r="C3087" t="str">
            <v>USTRO1635S</v>
          </cell>
          <cell r="D3087" t="str">
            <v>OCOR</v>
          </cell>
          <cell r="E3087" t="str">
            <v>OC26</v>
          </cell>
          <cell r="F3087">
            <v>2799</v>
          </cell>
          <cell r="G3087" t="str">
            <v>US</v>
          </cell>
          <cell r="H3087" t="str">
            <v>USPUSMTRO</v>
          </cell>
          <cell r="I3087" t="str">
            <v>USTRO1635S007</v>
          </cell>
          <cell r="J3087" t="str">
            <v>40</v>
          </cell>
          <cell r="K3087" t="str">
            <v>TROUSER</v>
          </cell>
          <cell r="L3087" t="str">
            <v>NOD</v>
          </cell>
        </row>
        <row r="3088">
          <cell r="C3088" t="str">
            <v>USTRO1635S</v>
          </cell>
          <cell r="D3088" t="str">
            <v>OCOR</v>
          </cell>
          <cell r="E3088" t="str">
            <v>OC26</v>
          </cell>
          <cell r="F3088">
            <v>2799</v>
          </cell>
          <cell r="G3088" t="str">
            <v>US</v>
          </cell>
          <cell r="H3088" t="str">
            <v>USPUSMTRO</v>
          </cell>
          <cell r="I3088" t="str">
            <v>USTRO1635S008</v>
          </cell>
          <cell r="J3088" t="str">
            <v>42</v>
          </cell>
          <cell r="K3088" t="str">
            <v>TROUSER</v>
          </cell>
          <cell r="L3088" t="str">
            <v>NOD</v>
          </cell>
        </row>
        <row r="3089">
          <cell r="C3089" t="str">
            <v>USTRO1635S</v>
          </cell>
          <cell r="D3089" t="str">
            <v>OCOR</v>
          </cell>
          <cell r="E3089" t="str">
            <v>OC26</v>
          </cell>
          <cell r="F3089">
            <v>3159.66</v>
          </cell>
          <cell r="G3089" t="str">
            <v>US</v>
          </cell>
          <cell r="H3089" t="str">
            <v>USPUSMTRO</v>
          </cell>
          <cell r="I3089" t="str">
            <v>USTRO1635S009</v>
          </cell>
          <cell r="J3089" t="str">
            <v>44</v>
          </cell>
          <cell r="K3089" t="str">
            <v>TROUSER</v>
          </cell>
          <cell r="L3089" t="str">
            <v>NOD</v>
          </cell>
        </row>
        <row r="3090">
          <cell r="C3090" t="str">
            <v>USTRO1635S</v>
          </cell>
          <cell r="D3090" t="str">
            <v>OCOR</v>
          </cell>
          <cell r="E3090" t="str">
            <v>OC26</v>
          </cell>
          <cell r="F3090">
            <v>3159.66</v>
          </cell>
          <cell r="G3090" t="str">
            <v>US</v>
          </cell>
          <cell r="H3090" t="str">
            <v>USPUSMTRO</v>
          </cell>
          <cell r="I3090" t="str">
            <v>USTRO1635S010</v>
          </cell>
          <cell r="J3090" t="str">
            <v>46</v>
          </cell>
          <cell r="K3090" t="str">
            <v>TROUSER</v>
          </cell>
          <cell r="L3090" t="str">
            <v>NOD</v>
          </cell>
        </row>
        <row r="3091">
          <cell r="C3091" t="str">
            <v>USTRO1635S</v>
          </cell>
          <cell r="D3091" t="str">
            <v>OCOR</v>
          </cell>
          <cell r="E3091" t="str">
            <v>OC26</v>
          </cell>
          <cell r="F3091">
            <v>3159.66</v>
          </cell>
          <cell r="G3091" t="str">
            <v>US</v>
          </cell>
          <cell r="H3091" t="str">
            <v>USPUSMTRO</v>
          </cell>
          <cell r="I3091" t="str">
            <v>USTRO1635S011</v>
          </cell>
          <cell r="J3091" t="str">
            <v>48</v>
          </cell>
          <cell r="K3091" t="str">
            <v>TROUSER</v>
          </cell>
          <cell r="L3091" t="str">
            <v>NOD</v>
          </cell>
        </row>
        <row r="3092">
          <cell r="C3092" t="str">
            <v>USTRO1790</v>
          </cell>
          <cell r="D3092" t="str">
            <v>CORE</v>
          </cell>
          <cell r="E3092" t="str">
            <v>CO25</v>
          </cell>
          <cell r="F3092">
            <v>2799</v>
          </cell>
          <cell r="G3092" t="str">
            <v>US</v>
          </cell>
          <cell r="H3092" t="str">
            <v>USPUSMTRO</v>
          </cell>
          <cell r="I3092" t="str">
            <v>USTRO1790001</v>
          </cell>
          <cell r="J3092" t="str">
            <v>28</v>
          </cell>
          <cell r="K3092" t="str">
            <v>TROUSER</v>
          </cell>
          <cell r="L3092" t="str">
            <v>NOD</v>
          </cell>
        </row>
        <row r="3093">
          <cell r="C3093" t="str">
            <v>USTRO1790</v>
          </cell>
          <cell r="D3093" t="str">
            <v>CORE</v>
          </cell>
          <cell r="E3093" t="str">
            <v>CO25</v>
          </cell>
          <cell r="F3093">
            <v>2799</v>
          </cell>
          <cell r="G3093" t="str">
            <v>US</v>
          </cell>
          <cell r="H3093" t="str">
            <v>USPUSMTRO</v>
          </cell>
          <cell r="I3093" t="str">
            <v>USTRO1790002</v>
          </cell>
          <cell r="J3093" t="str">
            <v>30</v>
          </cell>
          <cell r="K3093" t="str">
            <v>TROUSER</v>
          </cell>
          <cell r="L3093" t="str">
            <v>NOD</v>
          </cell>
        </row>
        <row r="3094">
          <cell r="C3094" t="str">
            <v>USTRO1790</v>
          </cell>
          <cell r="D3094" t="str">
            <v>CORE</v>
          </cell>
          <cell r="E3094" t="str">
            <v>CO25</v>
          </cell>
          <cell r="F3094">
            <v>2799</v>
          </cell>
          <cell r="G3094" t="str">
            <v>US</v>
          </cell>
          <cell r="H3094" t="str">
            <v>USPUSMTRO</v>
          </cell>
          <cell r="I3094" t="str">
            <v>USTRO1790003</v>
          </cell>
          <cell r="J3094" t="str">
            <v>32</v>
          </cell>
          <cell r="K3094" t="str">
            <v>TROUSER</v>
          </cell>
          <cell r="L3094" t="str">
            <v>NOD</v>
          </cell>
        </row>
        <row r="3095">
          <cell r="C3095" t="str">
            <v>USTRO1790</v>
          </cell>
          <cell r="D3095" t="str">
            <v>CORE</v>
          </cell>
          <cell r="E3095" t="str">
            <v>CO25</v>
          </cell>
          <cell r="F3095">
            <v>2799</v>
          </cell>
          <cell r="G3095" t="str">
            <v>US</v>
          </cell>
          <cell r="H3095" t="str">
            <v>USPUSMTRO</v>
          </cell>
          <cell r="I3095" t="str">
            <v>USTRO1790004</v>
          </cell>
          <cell r="J3095" t="str">
            <v>34</v>
          </cell>
          <cell r="K3095" t="str">
            <v>TROUSER</v>
          </cell>
          <cell r="L3095" t="str">
            <v>NOD</v>
          </cell>
        </row>
        <row r="3096">
          <cell r="C3096" t="str">
            <v>USTRO1790</v>
          </cell>
          <cell r="D3096" t="str">
            <v>CORE</v>
          </cell>
          <cell r="E3096" t="str">
            <v>CO25</v>
          </cell>
          <cell r="F3096">
            <v>2799</v>
          </cell>
          <cell r="G3096" t="str">
            <v>US</v>
          </cell>
          <cell r="H3096" t="str">
            <v>USPUSMTRO</v>
          </cell>
          <cell r="I3096" t="str">
            <v>USTRO1790005</v>
          </cell>
          <cell r="J3096" t="str">
            <v>36</v>
          </cell>
          <cell r="K3096" t="str">
            <v>TROUSER</v>
          </cell>
          <cell r="L3096" t="str">
            <v>NOD</v>
          </cell>
        </row>
        <row r="3097">
          <cell r="C3097" t="str">
            <v>USTRO1790</v>
          </cell>
          <cell r="D3097" t="str">
            <v>CORE</v>
          </cell>
          <cell r="E3097" t="str">
            <v>CO25</v>
          </cell>
          <cell r="F3097">
            <v>2799</v>
          </cell>
          <cell r="G3097" t="str">
            <v>US</v>
          </cell>
          <cell r="H3097" t="str">
            <v>USPUSMTRO</v>
          </cell>
          <cell r="I3097" t="str">
            <v>USTRO1790006</v>
          </cell>
          <cell r="J3097" t="str">
            <v>38</v>
          </cell>
          <cell r="K3097" t="str">
            <v>TROUSER</v>
          </cell>
          <cell r="L3097" t="str">
            <v>NOD</v>
          </cell>
        </row>
        <row r="3098">
          <cell r="C3098" t="str">
            <v>USTRO1790</v>
          </cell>
          <cell r="D3098" t="str">
            <v>CORE</v>
          </cell>
          <cell r="E3098" t="str">
            <v>CO25</v>
          </cell>
          <cell r="F3098">
            <v>2799</v>
          </cell>
          <cell r="G3098" t="str">
            <v>US</v>
          </cell>
          <cell r="H3098" t="str">
            <v>USPUSMTRO</v>
          </cell>
          <cell r="I3098" t="str">
            <v>USTRO1790007</v>
          </cell>
          <cell r="J3098" t="str">
            <v>40</v>
          </cell>
          <cell r="K3098" t="str">
            <v>TROUSER</v>
          </cell>
          <cell r="L3098" t="str">
            <v>NOD</v>
          </cell>
        </row>
        <row r="3099">
          <cell r="C3099" t="str">
            <v>USTRO1790</v>
          </cell>
          <cell r="D3099" t="str">
            <v>CORE</v>
          </cell>
          <cell r="E3099" t="str">
            <v>CO25</v>
          </cell>
          <cell r="F3099">
            <v>2799</v>
          </cell>
          <cell r="G3099" t="str">
            <v>US</v>
          </cell>
          <cell r="H3099" t="str">
            <v>USPUSMTRO</v>
          </cell>
          <cell r="I3099" t="str">
            <v>USTRO1790008</v>
          </cell>
          <cell r="J3099" t="str">
            <v>42</v>
          </cell>
          <cell r="K3099" t="str">
            <v>TROUSER</v>
          </cell>
          <cell r="L3099" t="str">
            <v>NOD</v>
          </cell>
        </row>
        <row r="3100">
          <cell r="C3100" t="str">
            <v>USTRO1790</v>
          </cell>
          <cell r="D3100" t="str">
            <v>CORE</v>
          </cell>
          <cell r="E3100" t="str">
            <v>CO25</v>
          </cell>
          <cell r="F3100">
            <v>3159.66</v>
          </cell>
          <cell r="G3100" t="str">
            <v>US</v>
          </cell>
          <cell r="H3100" t="str">
            <v>USPUSMTRO</v>
          </cell>
          <cell r="I3100" t="str">
            <v>USTRO1790009</v>
          </cell>
          <cell r="J3100" t="str">
            <v>44</v>
          </cell>
          <cell r="K3100" t="str">
            <v>TROUSER</v>
          </cell>
          <cell r="L3100" t="str">
            <v>NOD</v>
          </cell>
        </row>
        <row r="3101">
          <cell r="C3101" t="str">
            <v>USTRO1790</v>
          </cell>
          <cell r="D3101" t="str">
            <v>CORE</v>
          </cell>
          <cell r="E3101" t="str">
            <v>CO25</v>
          </cell>
          <cell r="F3101">
            <v>3159.66</v>
          </cell>
          <cell r="G3101" t="str">
            <v>US</v>
          </cell>
          <cell r="H3101" t="str">
            <v>USPUSMTRO</v>
          </cell>
          <cell r="I3101" t="str">
            <v>USTRO1790010</v>
          </cell>
          <cell r="J3101" t="str">
            <v>46</v>
          </cell>
          <cell r="K3101" t="str">
            <v>TROUSER</v>
          </cell>
          <cell r="L3101" t="str">
            <v>NOD</v>
          </cell>
        </row>
        <row r="3102">
          <cell r="C3102" t="str">
            <v>USTRO1790</v>
          </cell>
          <cell r="D3102" t="str">
            <v>CORE</v>
          </cell>
          <cell r="E3102" t="str">
            <v>CO25</v>
          </cell>
          <cell r="F3102">
            <v>3159.66</v>
          </cell>
          <cell r="G3102" t="str">
            <v>US</v>
          </cell>
          <cell r="H3102" t="str">
            <v>USPUSMTRO</v>
          </cell>
          <cell r="I3102" t="str">
            <v>USTRO1790011</v>
          </cell>
          <cell r="J3102" t="str">
            <v>48</v>
          </cell>
          <cell r="K3102" t="str">
            <v>TROUSER</v>
          </cell>
          <cell r="L3102" t="str">
            <v>NOD</v>
          </cell>
        </row>
        <row r="3103">
          <cell r="C3103" t="str">
            <v>USTRO1790D</v>
          </cell>
          <cell r="D3103" t="str">
            <v>CORE</v>
          </cell>
          <cell r="E3103" t="str">
            <v>CO26</v>
          </cell>
          <cell r="F3103">
            <v>2799</v>
          </cell>
          <cell r="G3103" t="str">
            <v>US</v>
          </cell>
          <cell r="H3103" t="str">
            <v>USPUSMTRO</v>
          </cell>
          <cell r="I3103" t="str">
            <v>USTRO1790D001</v>
          </cell>
          <cell r="J3103" t="str">
            <v>28</v>
          </cell>
          <cell r="K3103" t="str">
            <v>TROUSER</v>
          </cell>
          <cell r="L3103" t="str">
            <v>NOD</v>
          </cell>
        </row>
        <row r="3104">
          <cell r="C3104" t="str">
            <v>USTRO1790D</v>
          </cell>
          <cell r="D3104" t="str">
            <v>CORE</v>
          </cell>
          <cell r="E3104" t="str">
            <v>CO26</v>
          </cell>
          <cell r="F3104">
            <v>2799</v>
          </cell>
          <cell r="G3104" t="str">
            <v>US</v>
          </cell>
          <cell r="H3104" t="str">
            <v>USPUSMTRO</v>
          </cell>
          <cell r="I3104" t="str">
            <v>USTRO1790D002</v>
          </cell>
          <cell r="J3104" t="str">
            <v>30</v>
          </cell>
          <cell r="K3104" t="str">
            <v>TROUSER</v>
          </cell>
          <cell r="L3104" t="str">
            <v>NOD</v>
          </cell>
        </row>
        <row r="3105">
          <cell r="C3105" t="str">
            <v>USTRO1790D</v>
          </cell>
          <cell r="D3105" t="str">
            <v>CORE</v>
          </cell>
          <cell r="E3105" t="str">
            <v>CO26</v>
          </cell>
          <cell r="F3105">
            <v>2799</v>
          </cell>
          <cell r="G3105" t="str">
            <v>US</v>
          </cell>
          <cell r="H3105" t="str">
            <v>USPUSMTRO</v>
          </cell>
          <cell r="I3105" t="str">
            <v>USTRO1790D003</v>
          </cell>
          <cell r="J3105" t="str">
            <v>32</v>
          </cell>
          <cell r="K3105" t="str">
            <v>TROUSER</v>
          </cell>
          <cell r="L3105" t="str">
            <v>NOD</v>
          </cell>
        </row>
        <row r="3106">
          <cell r="C3106" t="str">
            <v>USTRO1790D</v>
          </cell>
          <cell r="D3106" t="str">
            <v>CORE</v>
          </cell>
          <cell r="E3106" t="str">
            <v>CO26</v>
          </cell>
          <cell r="F3106">
            <v>2799</v>
          </cell>
          <cell r="G3106" t="str">
            <v>US</v>
          </cell>
          <cell r="H3106" t="str">
            <v>USPUSMTRO</v>
          </cell>
          <cell r="I3106" t="str">
            <v>USTRO1790D004</v>
          </cell>
          <cell r="J3106" t="str">
            <v>34</v>
          </cell>
          <cell r="K3106" t="str">
            <v>TROUSER</v>
          </cell>
          <cell r="L3106" t="str">
            <v>NOD</v>
          </cell>
        </row>
        <row r="3107">
          <cell r="C3107" t="str">
            <v>USTRO1790D</v>
          </cell>
          <cell r="D3107" t="str">
            <v>CORE</v>
          </cell>
          <cell r="E3107" t="str">
            <v>CO26</v>
          </cell>
          <cell r="F3107">
            <v>2799</v>
          </cell>
          <cell r="G3107" t="str">
            <v>US</v>
          </cell>
          <cell r="H3107" t="str">
            <v>USPUSMTRO</v>
          </cell>
          <cell r="I3107" t="str">
            <v>USTRO1790D005</v>
          </cell>
          <cell r="J3107" t="str">
            <v>36</v>
          </cell>
          <cell r="K3107" t="str">
            <v>TROUSER</v>
          </cell>
          <cell r="L3107" t="str">
            <v>NOD</v>
          </cell>
        </row>
        <row r="3108">
          <cell r="C3108" t="str">
            <v>USTRO1790D</v>
          </cell>
          <cell r="D3108" t="str">
            <v>CORE</v>
          </cell>
          <cell r="E3108" t="str">
            <v>CO26</v>
          </cell>
          <cell r="F3108">
            <v>2799</v>
          </cell>
          <cell r="G3108" t="str">
            <v>US</v>
          </cell>
          <cell r="H3108" t="str">
            <v>USPUSMTRO</v>
          </cell>
          <cell r="I3108" t="str">
            <v>USTRO1790D006</v>
          </cell>
          <cell r="J3108" t="str">
            <v>38</v>
          </cell>
          <cell r="K3108" t="str">
            <v>TROUSER</v>
          </cell>
          <cell r="L3108" t="str">
            <v>NOD</v>
          </cell>
        </row>
        <row r="3109">
          <cell r="C3109" t="str">
            <v>USTRO1790D</v>
          </cell>
          <cell r="D3109" t="str">
            <v>CORE</v>
          </cell>
          <cell r="E3109" t="str">
            <v>CO26</v>
          </cell>
          <cell r="F3109">
            <v>2799</v>
          </cell>
          <cell r="G3109" t="str">
            <v>US</v>
          </cell>
          <cell r="H3109" t="str">
            <v>USPUSMTRO</v>
          </cell>
          <cell r="I3109" t="str">
            <v>USTRO1790D007</v>
          </cell>
          <cell r="J3109" t="str">
            <v>40</v>
          </cell>
          <cell r="K3109" t="str">
            <v>TROUSER</v>
          </cell>
          <cell r="L3109" t="str">
            <v>NOD</v>
          </cell>
        </row>
        <row r="3110">
          <cell r="C3110" t="str">
            <v>USTRO1790D</v>
          </cell>
          <cell r="D3110" t="str">
            <v>CORE</v>
          </cell>
          <cell r="E3110" t="str">
            <v>CO26</v>
          </cell>
          <cell r="F3110">
            <v>2799</v>
          </cell>
          <cell r="G3110" t="str">
            <v>US</v>
          </cell>
          <cell r="H3110" t="str">
            <v>USPUSMTRO</v>
          </cell>
          <cell r="I3110" t="str">
            <v>USTRO1790D008</v>
          </cell>
          <cell r="J3110" t="str">
            <v>42</v>
          </cell>
          <cell r="K3110" t="str">
            <v>TROUSER</v>
          </cell>
          <cell r="L3110" t="str">
            <v>NOD</v>
          </cell>
        </row>
        <row r="3111">
          <cell r="C3111" t="str">
            <v>USTRO1790D</v>
          </cell>
          <cell r="D3111" t="str">
            <v>CORE</v>
          </cell>
          <cell r="E3111" t="str">
            <v>CO26</v>
          </cell>
          <cell r="F3111">
            <v>3159.66</v>
          </cell>
          <cell r="G3111" t="str">
            <v>US</v>
          </cell>
          <cell r="H3111" t="str">
            <v>USPUSMTRO</v>
          </cell>
          <cell r="I3111" t="str">
            <v>USTRO1790D009</v>
          </cell>
          <cell r="J3111" t="str">
            <v>44</v>
          </cell>
          <cell r="K3111" t="str">
            <v>TROUSER</v>
          </cell>
          <cell r="L3111" t="str">
            <v>NOD</v>
          </cell>
        </row>
        <row r="3112">
          <cell r="C3112" t="str">
            <v>USTRO1790D</v>
          </cell>
          <cell r="D3112" t="str">
            <v>CORE</v>
          </cell>
          <cell r="E3112" t="str">
            <v>CO26</v>
          </cell>
          <cell r="F3112">
            <v>3159.66</v>
          </cell>
          <cell r="G3112" t="str">
            <v>US</v>
          </cell>
          <cell r="H3112" t="str">
            <v>USPUSMTRO</v>
          </cell>
          <cell r="I3112" t="str">
            <v>USTRO1790D010</v>
          </cell>
          <cell r="J3112" t="str">
            <v>46</v>
          </cell>
          <cell r="K3112" t="str">
            <v>TROUSER</v>
          </cell>
          <cell r="L3112" t="str">
            <v>NOD</v>
          </cell>
        </row>
        <row r="3113">
          <cell r="C3113" t="str">
            <v>USTRO1790D</v>
          </cell>
          <cell r="D3113" t="str">
            <v>CORE</v>
          </cell>
          <cell r="E3113" t="str">
            <v>CO26</v>
          </cell>
          <cell r="F3113">
            <v>3159.66</v>
          </cell>
          <cell r="G3113" t="str">
            <v>US</v>
          </cell>
          <cell r="H3113" t="str">
            <v>USPUSMTRO</v>
          </cell>
          <cell r="I3113" t="str">
            <v>USTRO1790D011</v>
          </cell>
          <cell r="J3113" t="str">
            <v>48</v>
          </cell>
          <cell r="K3113" t="str">
            <v>TROUSER</v>
          </cell>
          <cell r="L3113" t="str">
            <v>NOD</v>
          </cell>
        </row>
        <row r="3114">
          <cell r="C3114" t="str">
            <v>USTSHC0082</v>
          </cell>
          <cell r="D3114" t="str">
            <v>CORE</v>
          </cell>
          <cell r="E3114" t="str">
            <v>CO25</v>
          </cell>
          <cell r="F3114">
            <v>2399</v>
          </cell>
          <cell r="G3114" t="str">
            <v>US</v>
          </cell>
          <cell r="H3114" t="str">
            <v>USPUSMPTS</v>
          </cell>
          <cell r="I3114" t="str">
            <v>USTSHC0082001</v>
          </cell>
          <cell r="J3114" t="str">
            <v>3XL</v>
          </cell>
          <cell r="K3114" t="str">
            <v>POLO T-SHIRT</v>
          </cell>
          <cell r="L3114" t="str">
            <v>NOD</v>
          </cell>
        </row>
        <row r="3115">
          <cell r="C3115" t="str">
            <v>USTSHC0082</v>
          </cell>
          <cell r="D3115" t="str">
            <v>CORE</v>
          </cell>
          <cell r="E3115" t="str">
            <v>CO25</v>
          </cell>
          <cell r="F3115">
            <v>2399</v>
          </cell>
          <cell r="G3115" t="str">
            <v>US</v>
          </cell>
          <cell r="H3115" t="str">
            <v>USPUSMPTS</v>
          </cell>
          <cell r="I3115" t="str">
            <v>USTSHC0082002</v>
          </cell>
          <cell r="J3115" t="str">
            <v>4XL</v>
          </cell>
          <cell r="K3115" t="str">
            <v>POLO T-SHIRT</v>
          </cell>
          <cell r="L3115" t="str">
            <v>NOD</v>
          </cell>
        </row>
        <row r="3116">
          <cell r="C3116" t="str">
            <v>USTSHC0082</v>
          </cell>
          <cell r="D3116" t="str">
            <v>CORE</v>
          </cell>
          <cell r="E3116" t="str">
            <v>CO25</v>
          </cell>
          <cell r="F3116">
            <v>2399</v>
          </cell>
          <cell r="G3116" t="str">
            <v>US</v>
          </cell>
          <cell r="H3116" t="str">
            <v>USPUSMPTS</v>
          </cell>
          <cell r="I3116" t="str">
            <v>USTSHC0082003</v>
          </cell>
          <cell r="J3116" t="str">
            <v>5XL</v>
          </cell>
          <cell r="K3116" t="str">
            <v>POLO T-SHIRT</v>
          </cell>
          <cell r="L3116" t="str">
            <v>NOD</v>
          </cell>
        </row>
        <row r="3117">
          <cell r="C3117" t="str">
            <v>USTSHC0082</v>
          </cell>
          <cell r="D3117" t="str">
            <v>CORE</v>
          </cell>
          <cell r="E3117" t="str">
            <v>CO25</v>
          </cell>
          <cell r="F3117">
            <v>2199</v>
          </cell>
          <cell r="G3117" t="str">
            <v>US</v>
          </cell>
          <cell r="H3117" t="str">
            <v>USPUSMPTS</v>
          </cell>
          <cell r="I3117" t="str">
            <v>USTSHC0082004</v>
          </cell>
          <cell r="J3117" t="str">
            <v>L</v>
          </cell>
          <cell r="K3117" t="str">
            <v>POLO T-SHIRT</v>
          </cell>
          <cell r="L3117" t="str">
            <v>NOD</v>
          </cell>
        </row>
        <row r="3118">
          <cell r="C3118" t="str">
            <v>USTSHC0082</v>
          </cell>
          <cell r="D3118" t="str">
            <v>CORE</v>
          </cell>
          <cell r="E3118" t="str">
            <v>CO25</v>
          </cell>
          <cell r="F3118">
            <v>2199</v>
          </cell>
          <cell r="G3118" t="str">
            <v>US</v>
          </cell>
          <cell r="H3118" t="str">
            <v>USPUSMPTS</v>
          </cell>
          <cell r="I3118" t="str">
            <v>USTSHC0082005</v>
          </cell>
          <cell r="J3118" t="str">
            <v>M</v>
          </cell>
          <cell r="K3118" t="str">
            <v>POLO T-SHIRT</v>
          </cell>
          <cell r="L3118" t="str">
            <v>NOD</v>
          </cell>
        </row>
        <row r="3119">
          <cell r="C3119" t="str">
            <v>USTSHC0082</v>
          </cell>
          <cell r="D3119" t="str">
            <v>CORE</v>
          </cell>
          <cell r="E3119" t="str">
            <v>CO25</v>
          </cell>
          <cell r="F3119">
            <v>2199</v>
          </cell>
          <cell r="G3119" t="str">
            <v>US</v>
          </cell>
          <cell r="H3119" t="str">
            <v>USPUSMPTS</v>
          </cell>
          <cell r="I3119" t="str">
            <v>USTSHC0082006</v>
          </cell>
          <cell r="J3119" t="str">
            <v>S</v>
          </cell>
          <cell r="K3119" t="str">
            <v>POLO T-SHIRT</v>
          </cell>
          <cell r="L3119" t="str">
            <v>NOD</v>
          </cell>
        </row>
        <row r="3120">
          <cell r="C3120" t="str">
            <v>USTSHC0082</v>
          </cell>
          <cell r="D3120" t="str">
            <v>CORE</v>
          </cell>
          <cell r="E3120" t="str">
            <v>CO25</v>
          </cell>
          <cell r="F3120">
            <v>2199</v>
          </cell>
          <cell r="G3120" t="str">
            <v>US</v>
          </cell>
          <cell r="H3120" t="str">
            <v>USPUSMPTS</v>
          </cell>
          <cell r="I3120" t="str">
            <v>USTSHC0082007</v>
          </cell>
          <cell r="J3120" t="str">
            <v>XL</v>
          </cell>
          <cell r="K3120" t="str">
            <v>POLO T-SHIRT</v>
          </cell>
          <cell r="L3120" t="str">
            <v>NOD</v>
          </cell>
        </row>
        <row r="3121">
          <cell r="C3121" t="str">
            <v>USTSHC0082</v>
          </cell>
          <cell r="D3121" t="str">
            <v>CORE</v>
          </cell>
          <cell r="E3121" t="str">
            <v>CO25</v>
          </cell>
          <cell r="F3121">
            <v>2199</v>
          </cell>
          <cell r="G3121" t="str">
            <v>US</v>
          </cell>
          <cell r="H3121" t="str">
            <v>USPUSMPTS</v>
          </cell>
          <cell r="I3121" t="str">
            <v>USTSHC0082008</v>
          </cell>
          <cell r="J3121" t="str">
            <v>XXL</v>
          </cell>
          <cell r="K3121" t="str">
            <v>POLO T-SHIRT</v>
          </cell>
          <cell r="L3121" t="str">
            <v>NOD</v>
          </cell>
        </row>
        <row r="3122">
          <cell r="C3122" t="str">
            <v>USTSHC0083</v>
          </cell>
          <cell r="D3122" t="str">
            <v>CORE</v>
          </cell>
          <cell r="E3122" t="str">
            <v>CO25</v>
          </cell>
          <cell r="F3122">
            <v>2399</v>
          </cell>
          <cell r="G3122" t="str">
            <v>US</v>
          </cell>
          <cell r="H3122" t="str">
            <v>USPUSMPTS</v>
          </cell>
          <cell r="I3122" t="str">
            <v>USTSHC0083001</v>
          </cell>
          <cell r="J3122" t="str">
            <v>3XL</v>
          </cell>
          <cell r="K3122" t="str">
            <v>POLO T-SHIRT</v>
          </cell>
          <cell r="L3122" t="str">
            <v>NOD</v>
          </cell>
        </row>
        <row r="3123">
          <cell r="C3123" t="str">
            <v>USTSHC0083</v>
          </cell>
          <cell r="D3123" t="str">
            <v>CORE</v>
          </cell>
          <cell r="E3123" t="str">
            <v>CO25</v>
          </cell>
          <cell r="F3123">
            <v>2399</v>
          </cell>
          <cell r="G3123" t="str">
            <v>US</v>
          </cell>
          <cell r="H3123" t="str">
            <v>USPUSMPTS</v>
          </cell>
          <cell r="I3123" t="str">
            <v>USTSHC0083002</v>
          </cell>
          <cell r="J3123" t="str">
            <v>4XL</v>
          </cell>
          <cell r="K3123" t="str">
            <v>POLO T-SHIRT</v>
          </cell>
          <cell r="L3123" t="str">
            <v>NOD</v>
          </cell>
        </row>
        <row r="3124">
          <cell r="C3124" t="str">
            <v>USTSHC0083</v>
          </cell>
          <cell r="D3124" t="str">
            <v>CORE</v>
          </cell>
          <cell r="E3124" t="str">
            <v>CO25</v>
          </cell>
          <cell r="F3124">
            <v>2399</v>
          </cell>
          <cell r="G3124" t="str">
            <v>US</v>
          </cell>
          <cell r="H3124" t="str">
            <v>USPUSMPTS</v>
          </cell>
          <cell r="I3124" t="str">
            <v>USTSHC0083003</v>
          </cell>
          <cell r="J3124" t="str">
            <v>5XL</v>
          </cell>
          <cell r="K3124" t="str">
            <v>POLO T-SHIRT</v>
          </cell>
          <cell r="L3124" t="str">
            <v>NOD</v>
          </cell>
        </row>
        <row r="3125">
          <cell r="C3125" t="str">
            <v>USTSHC0083</v>
          </cell>
          <cell r="D3125" t="str">
            <v>CORE</v>
          </cell>
          <cell r="E3125" t="str">
            <v>CO25</v>
          </cell>
          <cell r="F3125">
            <v>2199</v>
          </cell>
          <cell r="G3125" t="str">
            <v>US</v>
          </cell>
          <cell r="H3125" t="str">
            <v>USPUSMPTS</v>
          </cell>
          <cell r="I3125" t="str">
            <v>USTSHC0083004</v>
          </cell>
          <cell r="J3125" t="str">
            <v>L</v>
          </cell>
          <cell r="K3125" t="str">
            <v>POLO T-SHIRT</v>
          </cell>
          <cell r="L3125" t="str">
            <v>NOD</v>
          </cell>
        </row>
        <row r="3126">
          <cell r="C3126" t="str">
            <v>USTSHC0083</v>
          </cell>
          <cell r="D3126" t="str">
            <v>CORE</v>
          </cell>
          <cell r="E3126" t="str">
            <v>CO25</v>
          </cell>
          <cell r="F3126">
            <v>2199</v>
          </cell>
          <cell r="G3126" t="str">
            <v>US</v>
          </cell>
          <cell r="H3126" t="str">
            <v>USPUSMPTS</v>
          </cell>
          <cell r="I3126" t="str">
            <v>USTSHC0083005</v>
          </cell>
          <cell r="J3126" t="str">
            <v>M</v>
          </cell>
          <cell r="K3126" t="str">
            <v>POLO T-SHIRT</v>
          </cell>
          <cell r="L3126" t="str">
            <v>NOD</v>
          </cell>
        </row>
        <row r="3127">
          <cell r="C3127" t="str">
            <v>USTSHC0083</v>
          </cell>
          <cell r="D3127" t="str">
            <v>CORE</v>
          </cell>
          <cell r="E3127" t="str">
            <v>CO25</v>
          </cell>
          <cell r="F3127">
            <v>2199</v>
          </cell>
          <cell r="G3127" t="str">
            <v>US</v>
          </cell>
          <cell r="H3127" t="str">
            <v>USPUSMPTS</v>
          </cell>
          <cell r="I3127" t="str">
            <v>USTSHC0083006</v>
          </cell>
          <cell r="J3127" t="str">
            <v>S</v>
          </cell>
          <cell r="K3127" t="str">
            <v>POLO T-SHIRT</v>
          </cell>
          <cell r="L3127" t="str">
            <v>NOD</v>
          </cell>
        </row>
        <row r="3128">
          <cell r="C3128" t="str">
            <v>USTSHC0083</v>
          </cell>
          <cell r="D3128" t="str">
            <v>CORE</v>
          </cell>
          <cell r="E3128" t="str">
            <v>CO25</v>
          </cell>
          <cell r="F3128">
            <v>2199</v>
          </cell>
          <cell r="G3128" t="str">
            <v>US</v>
          </cell>
          <cell r="H3128" t="str">
            <v>USPUSMPTS</v>
          </cell>
          <cell r="I3128" t="str">
            <v>USTSHC0083007</v>
          </cell>
          <cell r="J3128" t="str">
            <v>XL</v>
          </cell>
          <cell r="K3128" t="str">
            <v>POLO T-SHIRT</v>
          </cell>
          <cell r="L3128" t="str">
            <v>NOD</v>
          </cell>
        </row>
        <row r="3129">
          <cell r="C3129" t="str">
            <v>USTSHC0083</v>
          </cell>
          <cell r="D3129" t="str">
            <v>CORE</v>
          </cell>
          <cell r="E3129" t="str">
            <v>CO25</v>
          </cell>
          <cell r="F3129">
            <v>2199</v>
          </cell>
          <cell r="G3129" t="str">
            <v>US</v>
          </cell>
          <cell r="H3129" t="str">
            <v>USPUSMPTS</v>
          </cell>
          <cell r="I3129" t="str">
            <v>USTSHC0083008</v>
          </cell>
          <cell r="J3129" t="str">
            <v>XS</v>
          </cell>
          <cell r="K3129" t="str">
            <v>POLO T-SHIRT</v>
          </cell>
          <cell r="L3129" t="str">
            <v>NOD</v>
          </cell>
        </row>
        <row r="3130">
          <cell r="C3130" t="str">
            <v>USTSHC0083</v>
          </cell>
          <cell r="D3130" t="str">
            <v>CORE</v>
          </cell>
          <cell r="E3130" t="str">
            <v>CO25</v>
          </cell>
          <cell r="F3130">
            <v>2199</v>
          </cell>
          <cell r="G3130" t="str">
            <v>US</v>
          </cell>
          <cell r="H3130" t="str">
            <v>USPUSMPTS</v>
          </cell>
          <cell r="I3130" t="str">
            <v>USTSHC0083009</v>
          </cell>
          <cell r="J3130" t="str">
            <v>XXL</v>
          </cell>
          <cell r="K3130" t="str">
            <v>POLO T-SHIRT</v>
          </cell>
          <cell r="L3130" t="str">
            <v>NOD</v>
          </cell>
        </row>
        <row r="3131">
          <cell r="C3131" t="str">
            <v>USTSHC0084</v>
          </cell>
          <cell r="D3131" t="str">
            <v>CORE</v>
          </cell>
          <cell r="E3131" t="str">
            <v>CO25</v>
          </cell>
          <cell r="F3131">
            <v>2399</v>
          </cell>
          <cell r="G3131" t="str">
            <v>US</v>
          </cell>
          <cell r="H3131" t="str">
            <v>USPUSMPTS</v>
          </cell>
          <cell r="I3131" t="str">
            <v>USTSHC0084001</v>
          </cell>
          <cell r="J3131" t="str">
            <v>3XL</v>
          </cell>
          <cell r="K3131" t="str">
            <v>POLO T-SHIRT</v>
          </cell>
          <cell r="L3131" t="str">
            <v>NOD</v>
          </cell>
        </row>
        <row r="3132">
          <cell r="C3132" t="str">
            <v>USTSHC0084</v>
          </cell>
          <cell r="D3132" t="str">
            <v>CORE</v>
          </cell>
          <cell r="E3132" t="str">
            <v>CO25</v>
          </cell>
          <cell r="F3132">
            <v>2399</v>
          </cell>
          <cell r="G3132" t="str">
            <v>US</v>
          </cell>
          <cell r="H3132" t="str">
            <v>USPUSMPTS</v>
          </cell>
          <cell r="I3132" t="str">
            <v>USTSHC0084002</v>
          </cell>
          <cell r="J3132" t="str">
            <v>4XL</v>
          </cell>
          <cell r="K3132" t="str">
            <v>POLO T-SHIRT</v>
          </cell>
          <cell r="L3132" t="str">
            <v>NOD</v>
          </cell>
        </row>
        <row r="3133">
          <cell r="C3133" t="str">
            <v>USTSHC0084</v>
          </cell>
          <cell r="D3133" t="str">
            <v>CORE</v>
          </cell>
          <cell r="E3133" t="str">
            <v>CO25</v>
          </cell>
          <cell r="F3133">
            <v>2399</v>
          </cell>
          <cell r="G3133" t="str">
            <v>US</v>
          </cell>
          <cell r="H3133" t="str">
            <v>USPUSMPTS</v>
          </cell>
          <cell r="I3133" t="str">
            <v>USTSHC0084003</v>
          </cell>
          <cell r="J3133" t="str">
            <v>5XL</v>
          </cell>
          <cell r="K3133" t="str">
            <v>POLO T-SHIRT</v>
          </cell>
          <cell r="L3133" t="str">
            <v>NOD</v>
          </cell>
        </row>
        <row r="3134">
          <cell r="C3134" t="str">
            <v>USTSHC0084</v>
          </cell>
          <cell r="D3134" t="str">
            <v>CORE</v>
          </cell>
          <cell r="E3134" t="str">
            <v>CO25</v>
          </cell>
          <cell r="F3134">
            <v>2199</v>
          </cell>
          <cell r="G3134" t="str">
            <v>US</v>
          </cell>
          <cell r="H3134" t="str">
            <v>USPUSMPTS</v>
          </cell>
          <cell r="I3134" t="str">
            <v>USTSHC0084004</v>
          </cell>
          <cell r="J3134" t="str">
            <v>L</v>
          </cell>
          <cell r="K3134" t="str">
            <v>POLO T-SHIRT</v>
          </cell>
          <cell r="L3134" t="str">
            <v>NOD</v>
          </cell>
        </row>
        <row r="3135">
          <cell r="C3135" t="str">
            <v>USTSHC0084</v>
          </cell>
          <cell r="D3135" t="str">
            <v>CORE</v>
          </cell>
          <cell r="E3135" t="str">
            <v>CO25</v>
          </cell>
          <cell r="F3135">
            <v>2199</v>
          </cell>
          <cell r="G3135" t="str">
            <v>US</v>
          </cell>
          <cell r="H3135" t="str">
            <v>USPUSMPTS</v>
          </cell>
          <cell r="I3135" t="str">
            <v>USTSHC0084005</v>
          </cell>
          <cell r="J3135" t="str">
            <v>M</v>
          </cell>
          <cell r="K3135" t="str">
            <v>POLO T-SHIRT</v>
          </cell>
          <cell r="L3135" t="str">
            <v>NOD</v>
          </cell>
        </row>
        <row r="3136">
          <cell r="C3136" t="str">
            <v>USTSHC0084</v>
          </cell>
          <cell r="D3136" t="str">
            <v>CORE</v>
          </cell>
          <cell r="E3136" t="str">
            <v>CO25</v>
          </cell>
          <cell r="F3136">
            <v>2199</v>
          </cell>
          <cell r="G3136" t="str">
            <v>US</v>
          </cell>
          <cell r="H3136" t="str">
            <v>USPUSMPTS</v>
          </cell>
          <cell r="I3136" t="str">
            <v>USTSHC0084006</v>
          </cell>
          <cell r="J3136" t="str">
            <v>S</v>
          </cell>
          <cell r="K3136" t="str">
            <v>POLO T-SHIRT</v>
          </cell>
          <cell r="L3136" t="str">
            <v>NOD</v>
          </cell>
        </row>
        <row r="3137">
          <cell r="C3137" t="str">
            <v>USTSHC0084</v>
          </cell>
          <cell r="D3137" t="str">
            <v>CORE</v>
          </cell>
          <cell r="E3137" t="str">
            <v>CO25</v>
          </cell>
          <cell r="F3137">
            <v>2199</v>
          </cell>
          <cell r="G3137" t="str">
            <v>US</v>
          </cell>
          <cell r="H3137" t="str">
            <v>USPUSMPTS</v>
          </cell>
          <cell r="I3137" t="str">
            <v>USTSHC0084007</v>
          </cell>
          <cell r="J3137" t="str">
            <v>XL</v>
          </cell>
          <cell r="K3137" t="str">
            <v>POLO T-SHIRT</v>
          </cell>
          <cell r="L3137" t="str">
            <v>NOD</v>
          </cell>
        </row>
        <row r="3138">
          <cell r="C3138" t="str">
            <v>USTSHC0084</v>
          </cell>
          <cell r="D3138" t="str">
            <v>CORE</v>
          </cell>
          <cell r="E3138" t="str">
            <v>CO25</v>
          </cell>
          <cell r="F3138">
            <v>2199</v>
          </cell>
          <cell r="G3138" t="str">
            <v>US</v>
          </cell>
          <cell r="H3138" t="str">
            <v>USPUSMPTS</v>
          </cell>
          <cell r="I3138" t="str">
            <v>USTSHC0084008</v>
          </cell>
          <cell r="J3138" t="str">
            <v>XS</v>
          </cell>
          <cell r="K3138" t="str">
            <v>POLO T-SHIRT</v>
          </cell>
          <cell r="L3138" t="str">
            <v>NOD</v>
          </cell>
        </row>
        <row r="3139">
          <cell r="C3139" t="str">
            <v>USTSHC0084</v>
          </cell>
          <cell r="D3139" t="str">
            <v>CORE</v>
          </cell>
          <cell r="E3139" t="str">
            <v>CO25</v>
          </cell>
          <cell r="F3139">
            <v>2199</v>
          </cell>
          <cell r="G3139" t="str">
            <v>US</v>
          </cell>
          <cell r="H3139" t="str">
            <v>USPUSMPTS</v>
          </cell>
          <cell r="I3139" t="str">
            <v>USTSHC0084009</v>
          </cell>
          <cell r="J3139" t="str">
            <v>XXL</v>
          </cell>
          <cell r="K3139" t="str">
            <v>POLO T-SHIRT</v>
          </cell>
          <cell r="L3139" t="str">
            <v>NOD</v>
          </cell>
        </row>
        <row r="3140">
          <cell r="C3140" t="str">
            <v>USTSHC0085</v>
          </cell>
          <cell r="D3140" t="str">
            <v>CORE</v>
          </cell>
          <cell r="E3140" t="str">
            <v>CO25</v>
          </cell>
          <cell r="F3140">
            <v>2399</v>
          </cell>
          <cell r="G3140" t="str">
            <v>US</v>
          </cell>
          <cell r="H3140" t="str">
            <v>USPUSMPTS</v>
          </cell>
          <cell r="I3140" t="str">
            <v>USTSHC0085001</v>
          </cell>
          <cell r="J3140" t="str">
            <v>3XL</v>
          </cell>
          <cell r="K3140" t="str">
            <v>POLO T-SHIRT</v>
          </cell>
          <cell r="L3140" t="str">
            <v>NOD</v>
          </cell>
        </row>
        <row r="3141">
          <cell r="C3141" t="str">
            <v>USTSHC0085</v>
          </cell>
          <cell r="D3141" t="str">
            <v>CORE</v>
          </cell>
          <cell r="E3141" t="str">
            <v>CO25</v>
          </cell>
          <cell r="F3141">
            <v>2399</v>
          </cell>
          <cell r="G3141" t="str">
            <v>US</v>
          </cell>
          <cell r="H3141" t="str">
            <v>USPUSMPTS</v>
          </cell>
          <cell r="I3141" t="str">
            <v>USTSHC0085002</v>
          </cell>
          <cell r="J3141" t="str">
            <v>4XL</v>
          </cell>
          <cell r="K3141" t="str">
            <v>POLO T-SHIRT</v>
          </cell>
          <cell r="L3141" t="str">
            <v>NOD</v>
          </cell>
        </row>
        <row r="3142">
          <cell r="C3142" t="str">
            <v>USTSHC0085</v>
          </cell>
          <cell r="D3142" t="str">
            <v>CORE</v>
          </cell>
          <cell r="E3142" t="str">
            <v>CO25</v>
          </cell>
          <cell r="F3142">
            <v>2399</v>
          </cell>
          <cell r="G3142" t="str">
            <v>US</v>
          </cell>
          <cell r="H3142" t="str">
            <v>USPUSMPTS</v>
          </cell>
          <cell r="I3142" t="str">
            <v>USTSHC0085003</v>
          </cell>
          <cell r="J3142" t="str">
            <v>5XL</v>
          </cell>
          <cell r="K3142" t="str">
            <v>POLO T-SHIRT</v>
          </cell>
          <cell r="L3142" t="str">
            <v>NOD</v>
          </cell>
        </row>
        <row r="3143">
          <cell r="C3143" t="str">
            <v>USTSHC0085</v>
          </cell>
          <cell r="D3143" t="str">
            <v>CORE</v>
          </cell>
          <cell r="E3143" t="str">
            <v>CO25</v>
          </cell>
          <cell r="F3143">
            <v>2199</v>
          </cell>
          <cell r="G3143" t="str">
            <v>US</v>
          </cell>
          <cell r="H3143" t="str">
            <v>USPUSMPTS</v>
          </cell>
          <cell r="I3143" t="str">
            <v>USTSHC0085004</v>
          </cell>
          <cell r="J3143" t="str">
            <v>L</v>
          </cell>
          <cell r="K3143" t="str">
            <v>POLO T-SHIRT</v>
          </cell>
          <cell r="L3143" t="str">
            <v>NOD</v>
          </cell>
        </row>
        <row r="3144">
          <cell r="C3144" t="str">
            <v>USTSHC0085</v>
          </cell>
          <cell r="D3144" t="str">
            <v>CORE</v>
          </cell>
          <cell r="E3144" t="str">
            <v>CO25</v>
          </cell>
          <cell r="F3144">
            <v>2199</v>
          </cell>
          <cell r="G3144" t="str">
            <v>US</v>
          </cell>
          <cell r="H3144" t="str">
            <v>USPUSMPTS</v>
          </cell>
          <cell r="I3144" t="str">
            <v>USTSHC0085005</v>
          </cell>
          <cell r="J3144" t="str">
            <v>M</v>
          </cell>
          <cell r="K3144" t="str">
            <v>POLO T-SHIRT</v>
          </cell>
          <cell r="L3144" t="str">
            <v>NOD</v>
          </cell>
        </row>
        <row r="3145">
          <cell r="C3145" t="str">
            <v>USTSHC0085</v>
          </cell>
          <cell r="D3145" t="str">
            <v>CORE</v>
          </cell>
          <cell r="E3145" t="str">
            <v>CO25</v>
          </cell>
          <cell r="F3145">
            <v>2199</v>
          </cell>
          <cell r="G3145" t="str">
            <v>US</v>
          </cell>
          <cell r="H3145" t="str">
            <v>USPUSMPTS</v>
          </cell>
          <cell r="I3145" t="str">
            <v>USTSHC0085006</v>
          </cell>
          <cell r="J3145" t="str">
            <v>S</v>
          </cell>
          <cell r="K3145" t="str">
            <v>POLO T-SHIRT</v>
          </cell>
          <cell r="L3145" t="str">
            <v>NOD</v>
          </cell>
        </row>
        <row r="3146">
          <cell r="C3146" t="str">
            <v>USTSHC0085</v>
          </cell>
          <cell r="D3146" t="str">
            <v>CORE</v>
          </cell>
          <cell r="E3146" t="str">
            <v>CO25</v>
          </cell>
          <cell r="F3146">
            <v>2199</v>
          </cell>
          <cell r="G3146" t="str">
            <v>US</v>
          </cell>
          <cell r="H3146" t="str">
            <v>USPUSMPTS</v>
          </cell>
          <cell r="I3146" t="str">
            <v>USTSHC0085007</v>
          </cell>
          <cell r="J3146" t="str">
            <v>XL</v>
          </cell>
          <cell r="K3146" t="str">
            <v>POLO T-SHIRT</v>
          </cell>
          <cell r="L3146" t="str">
            <v>NOD</v>
          </cell>
        </row>
        <row r="3147">
          <cell r="C3147" t="str">
            <v>USTSHC0085</v>
          </cell>
          <cell r="D3147" t="str">
            <v>CORE</v>
          </cell>
          <cell r="E3147" t="str">
            <v>CO25</v>
          </cell>
          <cell r="F3147">
            <v>2199</v>
          </cell>
          <cell r="G3147" t="str">
            <v>US</v>
          </cell>
          <cell r="H3147" t="str">
            <v>USPUSMPTS</v>
          </cell>
          <cell r="I3147" t="str">
            <v>USTSHC0085008</v>
          </cell>
          <cell r="J3147" t="str">
            <v>XS</v>
          </cell>
          <cell r="K3147" t="str">
            <v>POLO T-SHIRT</v>
          </cell>
          <cell r="L3147" t="str">
            <v>NOD</v>
          </cell>
        </row>
        <row r="3148">
          <cell r="C3148" t="str">
            <v>USTSHC0085</v>
          </cell>
          <cell r="D3148" t="str">
            <v>CORE</v>
          </cell>
          <cell r="E3148" t="str">
            <v>CO25</v>
          </cell>
          <cell r="F3148">
            <v>2199</v>
          </cell>
          <cell r="G3148" t="str">
            <v>US</v>
          </cell>
          <cell r="H3148" t="str">
            <v>USPUSMPTS</v>
          </cell>
          <cell r="I3148" t="str">
            <v>USTSHC0085009</v>
          </cell>
          <cell r="J3148" t="str">
            <v>XXL</v>
          </cell>
          <cell r="K3148" t="str">
            <v>POLO T-SHIRT</v>
          </cell>
          <cell r="L3148" t="str">
            <v>NOD</v>
          </cell>
        </row>
        <row r="3149">
          <cell r="C3149" t="str">
            <v>USTSHC0086</v>
          </cell>
          <cell r="D3149" t="str">
            <v>CORE</v>
          </cell>
          <cell r="E3149" t="str">
            <v>CO25</v>
          </cell>
          <cell r="F3149">
            <v>2399</v>
          </cell>
          <cell r="G3149" t="str">
            <v>US</v>
          </cell>
          <cell r="H3149" t="str">
            <v>USPUSMPTS</v>
          </cell>
          <cell r="I3149" t="str">
            <v>USTSHC0086001</v>
          </cell>
          <cell r="J3149" t="str">
            <v>3XL</v>
          </cell>
          <cell r="K3149" t="str">
            <v>POLO T-SHIRT</v>
          </cell>
          <cell r="L3149" t="str">
            <v>NOD</v>
          </cell>
        </row>
        <row r="3150">
          <cell r="C3150" t="str">
            <v>USTSHC0086</v>
          </cell>
          <cell r="D3150" t="str">
            <v>CORE</v>
          </cell>
          <cell r="E3150" t="str">
            <v>CO25</v>
          </cell>
          <cell r="F3150">
            <v>2399</v>
          </cell>
          <cell r="G3150" t="str">
            <v>US</v>
          </cell>
          <cell r="H3150" t="str">
            <v>USPUSMPTS</v>
          </cell>
          <cell r="I3150" t="str">
            <v>USTSHC0086002</v>
          </cell>
          <cell r="J3150" t="str">
            <v>4XL</v>
          </cell>
          <cell r="K3150" t="str">
            <v>POLO T-SHIRT</v>
          </cell>
          <cell r="L3150" t="str">
            <v>NOD</v>
          </cell>
        </row>
        <row r="3151">
          <cell r="C3151" t="str">
            <v>USTSHC0086</v>
          </cell>
          <cell r="D3151" t="str">
            <v>CORE</v>
          </cell>
          <cell r="E3151" t="str">
            <v>CO25</v>
          </cell>
          <cell r="F3151">
            <v>2399</v>
          </cell>
          <cell r="G3151" t="str">
            <v>US</v>
          </cell>
          <cell r="H3151" t="str">
            <v>USPUSMPTS</v>
          </cell>
          <cell r="I3151" t="str">
            <v>USTSHC0086003</v>
          </cell>
          <cell r="J3151" t="str">
            <v>5XL</v>
          </cell>
          <cell r="K3151" t="str">
            <v>POLO T-SHIRT</v>
          </cell>
          <cell r="L3151" t="str">
            <v>NOD</v>
          </cell>
        </row>
        <row r="3152">
          <cell r="C3152" t="str">
            <v>USTSHC0086</v>
          </cell>
          <cell r="D3152" t="str">
            <v>CORE</v>
          </cell>
          <cell r="E3152" t="str">
            <v>CO25</v>
          </cell>
          <cell r="F3152">
            <v>2199</v>
          </cell>
          <cell r="G3152" t="str">
            <v>US</v>
          </cell>
          <cell r="H3152" t="str">
            <v>USPUSMPTS</v>
          </cell>
          <cell r="I3152" t="str">
            <v>USTSHC0086004</v>
          </cell>
          <cell r="J3152" t="str">
            <v>L</v>
          </cell>
          <cell r="K3152" t="str">
            <v>POLO T-SHIRT</v>
          </cell>
          <cell r="L3152" t="str">
            <v>NOD</v>
          </cell>
        </row>
        <row r="3153">
          <cell r="C3153" t="str">
            <v>USTSHC0086</v>
          </cell>
          <cell r="D3153" t="str">
            <v>CORE</v>
          </cell>
          <cell r="E3153" t="str">
            <v>CO25</v>
          </cell>
          <cell r="F3153">
            <v>2199</v>
          </cell>
          <cell r="G3153" t="str">
            <v>US</v>
          </cell>
          <cell r="H3153" t="str">
            <v>USPUSMPTS</v>
          </cell>
          <cell r="I3153" t="str">
            <v>USTSHC0086005</v>
          </cell>
          <cell r="J3153" t="str">
            <v>M</v>
          </cell>
          <cell r="K3153" t="str">
            <v>POLO T-SHIRT</v>
          </cell>
          <cell r="L3153" t="str">
            <v>NOD</v>
          </cell>
        </row>
        <row r="3154">
          <cell r="C3154" t="str">
            <v>USTSHC0086</v>
          </cell>
          <cell r="D3154" t="str">
            <v>CORE</v>
          </cell>
          <cell r="E3154" t="str">
            <v>CO25</v>
          </cell>
          <cell r="F3154">
            <v>2199</v>
          </cell>
          <cell r="G3154" t="str">
            <v>US</v>
          </cell>
          <cell r="H3154" t="str">
            <v>USPUSMPTS</v>
          </cell>
          <cell r="I3154" t="str">
            <v>USTSHC0086006</v>
          </cell>
          <cell r="J3154" t="str">
            <v>S</v>
          </cell>
          <cell r="K3154" t="str">
            <v>POLO T-SHIRT</v>
          </cell>
          <cell r="L3154" t="str">
            <v>NOD</v>
          </cell>
        </row>
        <row r="3155">
          <cell r="C3155" t="str">
            <v>USTSHC0086</v>
          </cell>
          <cell r="D3155" t="str">
            <v>CORE</v>
          </cell>
          <cell r="E3155" t="str">
            <v>CO25</v>
          </cell>
          <cell r="F3155">
            <v>2199</v>
          </cell>
          <cell r="G3155" t="str">
            <v>US</v>
          </cell>
          <cell r="H3155" t="str">
            <v>USPUSMPTS</v>
          </cell>
          <cell r="I3155" t="str">
            <v>USTSHC0086007</v>
          </cell>
          <cell r="J3155" t="str">
            <v>XL</v>
          </cell>
          <cell r="K3155" t="str">
            <v>POLO T-SHIRT</v>
          </cell>
          <cell r="L3155" t="str">
            <v>NOD</v>
          </cell>
        </row>
        <row r="3156">
          <cell r="C3156" t="str">
            <v>USTSHC0086</v>
          </cell>
          <cell r="D3156" t="str">
            <v>CORE</v>
          </cell>
          <cell r="E3156" t="str">
            <v>CO25</v>
          </cell>
          <cell r="F3156">
            <v>2199</v>
          </cell>
          <cell r="G3156" t="str">
            <v>US</v>
          </cell>
          <cell r="H3156" t="str">
            <v>USPUSMPTS</v>
          </cell>
          <cell r="I3156" t="str">
            <v>USTSHC0086008</v>
          </cell>
          <cell r="J3156" t="str">
            <v>XS</v>
          </cell>
          <cell r="K3156" t="str">
            <v>POLO T-SHIRT</v>
          </cell>
          <cell r="L3156" t="str">
            <v>NOD</v>
          </cell>
        </row>
        <row r="3157">
          <cell r="C3157" t="str">
            <v>USTSHC0086</v>
          </cell>
          <cell r="D3157" t="str">
            <v>CORE</v>
          </cell>
          <cell r="E3157" t="str">
            <v>CO25</v>
          </cell>
          <cell r="F3157">
            <v>2199</v>
          </cell>
          <cell r="G3157" t="str">
            <v>US</v>
          </cell>
          <cell r="H3157" t="str">
            <v>USPUSMPTS</v>
          </cell>
          <cell r="I3157" t="str">
            <v>USTSHC0086009</v>
          </cell>
          <cell r="J3157" t="str">
            <v>XXL</v>
          </cell>
          <cell r="K3157" t="str">
            <v>POLO T-SHIRT</v>
          </cell>
          <cell r="L3157" t="str">
            <v>NOD</v>
          </cell>
        </row>
        <row r="3158">
          <cell r="C3158" t="str">
            <v>USTSHC0087</v>
          </cell>
          <cell r="D3158" t="str">
            <v>CORE</v>
          </cell>
          <cell r="E3158" t="str">
            <v>CO25</v>
          </cell>
          <cell r="F3158">
            <v>2399</v>
          </cell>
          <cell r="G3158" t="str">
            <v>US</v>
          </cell>
          <cell r="H3158" t="str">
            <v>USPUSMPTS</v>
          </cell>
          <cell r="I3158" t="str">
            <v>USTSHC0087001</v>
          </cell>
          <cell r="J3158" t="str">
            <v>3XL</v>
          </cell>
          <cell r="K3158" t="str">
            <v>POLO T-SHIRT</v>
          </cell>
          <cell r="L3158" t="str">
            <v>NOD</v>
          </cell>
        </row>
        <row r="3159">
          <cell r="C3159" t="str">
            <v>USTSHC0087</v>
          </cell>
          <cell r="D3159" t="str">
            <v>CORE</v>
          </cell>
          <cell r="E3159" t="str">
            <v>CO25</v>
          </cell>
          <cell r="F3159">
            <v>2399</v>
          </cell>
          <cell r="G3159" t="str">
            <v>US</v>
          </cell>
          <cell r="H3159" t="str">
            <v>USPUSMPTS</v>
          </cell>
          <cell r="I3159" t="str">
            <v>USTSHC0087002</v>
          </cell>
          <cell r="J3159" t="str">
            <v>4XL</v>
          </cell>
          <cell r="K3159" t="str">
            <v>POLO T-SHIRT</v>
          </cell>
          <cell r="L3159" t="str">
            <v>NOD</v>
          </cell>
        </row>
        <row r="3160">
          <cell r="C3160" t="str">
            <v>USTSHC0087</v>
          </cell>
          <cell r="D3160" t="str">
            <v>CORE</v>
          </cell>
          <cell r="E3160" t="str">
            <v>CO25</v>
          </cell>
          <cell r="F3160">
            <v>2399</v>
          </cell>
          <cell r="G3160" t="str">
            <v>US</v>
          </cell>
          <cell r="H3160" t="str">
            <v>USPUSMPTS</v>
          </cell>
          <cell r="I3160" t="str">
            <v>USTSHC0087003</v>
          </cell>
          <cell r="J3160" t="str">
            <v>5XL</v>
          </cell>
          <cell r="K3160" t="str">
            <v>POLO T-SHIRT</v>
          </cell>
          <cell r="L3160" t="str">
            <v>NOD</v>
          </cell>
        </row>
        <row r="3161">
          <cell r="C3161" t="str">
            <v>USTSHC0087</v>
          </cell>
          <cell r="D3161" t="str">
            <v>CORE</v>
          </cell>
          <cell r="E3161" t="str">
            <v>CO25</v>
          </cell>
          <cell r="F3161">
            <v>2199</v>
          </cell>
          <cell r="G3161" t="str">
            <v>US</v>
          </cell>
          <cell r="H3161" t="str">
            <v>USPUSMPTS</v>
          </cell>
          <cell r="I3161" t="str">
            <v>USTSHC0087004</v>
          </cell>
          <cell r="J3161" t="str">
            <v>L</v>
          </cell>
          <cell r="K3161" t="str">
            <v>POLO T-SHIRT</v>
          </cell>
          <cell r="L3161" t="str">
            <v>NOD</v>
          </cell>
        </row>
        <row r="3162">
          <cell r="C3162" t="str">
            <v>USTSHC0087</v>
          </cell>
          <cell r="D3162" t="str">
            <v>CORE</v>
          </cell>
          <cell r="E3162" t="str">
            <v>CO25</v>
          </cell>
          <cell r="F3162">
            <v>2199</v>
          </cell>
          <cell r="G3162" t="str">
            <v>US</v>
          </cell>
          <cell r="H3162" t="str">
            <v>USPUSMPTS</v>
          </cell>
          <cell r="I3162" t="str">
            <v>USTSHC0087005</v>
          </cell>
          <cell r="J3162" t="str">
            <v>M</v>
          </cell>
          <cell r="K3162" t="str">
            <v>POLO T-SHIRT</v>
          </cell>
          <cell r="L3162" t="str">
            <v>NOD</v>
          </cell>
        </row>
        <row r="3163">
          <cell r="C3163" t="str">
            <v>USTSHC0087</v>
          </cell>
          <cell r="D3163" t="str">
            <v>CORE</v>
          </cell>
          <cell r="E3163" t="str">
            <v>CO25</v>
          </cell>
          <cell r="F3163">
            <v>2199</v>
          </cell>
          <cell r="G3163" t="str">
            <v>US</v>
          </cell>
          <cell r="H3163" t="str">
            <v>USPUSMPTS</v>
          </cell>
          <cell r="I3163" t="str">
            <v>USTSHC0087006</v>
          </cell>
          <cell r="J3163" t="str">
            <v>S</v>
          </cell>
          <cell r="K3163" t="str">
            <v>POLO T-SHIRT</v>
          </cell>
          <cell r="L3163" t="str">
            <v>NOD</v>
          </cell>
        </row>
        <row r="3164">
          <cell r="C3164" t="str">
            <v>USTSHC0087</v>
          </cell>
          <cell r="D3164" t="str">
            <v>CORE</v>
          </cell>
          <cell r="E3164" t="str">
            <v>CO25</v>
          </cell>
          <cell r="F3164">
            <v>2199</v>
          </cell>
          <cell r="G3164" t="str">
            <v>US</v>
          </cell>
          <cell r="H3164" t="str">
            <v>USPUSMPTS</v>
          </cell>
          <cell r="I3164" t="str">
            <v>USTSHC0087007</v>
          </cell>
          <cell r="J3164" t="str">
            <v>XL</v>
          </cell>
          <cell r="K3164" t="str">
            <v>POLO T-SHIRT</v>
          </cell>
          <cell r="L3164" t="str">
            <v>NOD</v>
          </cell>
        </row>
        <row r="3165">
          <cell r="C3165" t="str">
            <v>USTSHC0087</v>
          </cell>
          <cell r="D3165" t="str">
            <v>CORE</v>
          </cell>
          <cell r="E3165" t="str">
            <v>CO25</v>
          </cell>
          <cell r="F3165">
            <v>2199</v>
          </cell>
          <cell r="G3165" t="str">
            <v>US</v>
          </cell>
          <cell r="H3165" t="str">
            <v>USPUSMPTS</v>
          </cell>
          <cell r="I3165" t="str">
            <v>USTSHC0087008</v>
          </cell>
          <cell r="J3165" t="str">
            <v>XS</v>
          </cell>
          <cell r="K3165" t="str">
            <v>POLO T-SHIRT</v>
          </cell>
          <cell r="L3165" t="str">
            <v>NOD</v>
          </cell>
        </row>
        <row r="3166">
          <cell r="C3166" t="str">
            <v>USTSHC0087</v>
          </cell>
          <cell r="D3166" t="str">
            <v>CORE</v>
          </cell>
          <cell r="E3166" t="str">
            <v>CO25</v>
          </cell>
          <cell r="F3166">
            <v>2199</v>
          </cell>
          <cell r="G3166" t="str">
            <v>US</v>
          </cell>
          <cell r="H3166" t="str">
            <v>USPUSMPTS</v>
          </cell>
          <cell r="I3166" t="str">
            <v>USTSHC0087009</v>
          </cell>
          <cell r="J3166" t="str">
            <v>XXL</v>
          </cell>
          <cell r="K3166" t="str">
            <v>POLO T-SHIRT</v>
          </cell>
          <cell r="L3166" t="str">
            <v>NOD</v>
          </cell>
        </row>
        <row r="3167">
          <cell r="C3167" t="str">
            <v>USTSHC0088</v>
          </cell>
          <cell r="D3167" t="str">
            <v>CORE</v>
          </cell>
          <cell r="E3167" t="str">
            <v>CO25</v>
          </cell>
          <cell r="F3167">
            <v>2399</v>
          </cell>
          <cell r="G3167" t="str">
            <v>US</v>
          </cell>
          <cell r="H3167" t="str">
            <v>USPUSMPTS</v>
          </cell>
          <cell r="I3167" t="str">
            <v>USTSHC0088001</v>
          </cell>
          <cell r="J3167" t="str">
            <v>3XL</v>
          </cell>
          <cell r="K3167" t="str">
            <v>POLO T-SHIRT</v>
          </cell>
          <cell r="L3167" t="str">
            <v>NOD</v>
          </cell>
        </row>
        <row r="3168">
          <cell r="C3168" t="str">
            <v>USTSHC0088</v>
          </cell>
          <cell r="D3168" t="str">
            <v>CORE</v>
          </cell>
          <cell r="E3168" t="str">
            <v>CO25</v>
          </cell>
          <cell r="F3168">
            <v>2399</v>
          </cell>
          <cell r="G3168" t="str">
            <v>US</v>
          </cell>
          <cell r="H3168" t="str">
            <v>USPUSMPTS</v>
          </cell>
          <cell r="I3168" t="str">
            <v>USTSHC0088002</v>
          </cell>
          <cell r="J3168" t="str">
            <v>4XL</v>
          </cell>
          <cell r="K3168" t="str">
            <v>POLO T-SHIRT</v>
          </cell>
          <cell r="L3168" t="str">
            <v>NOD</v>
          </cell>
        </row>
        <row r="3169">
          <cell r="C3169" t="str">
            <v>USTSHC0088</v>
          </cell>
          <cell r="D3169" t="str">
            <v>CORE</v>
          </cell>
          <cell r="E3169" t="str">
            <v>CO25</v>
          </cell>
          <cell r="F3169">
            <v>2399</v>
          </cell>
          <cell r="G3169" t="str">
            <v>US</v>
          </cell>
          <cell r="H3169" t="str">
            <v>USPUSMPTS</v>
          </cell>
          <cell r="I3169" t="str">
            <v>USTSHC0088003</v>
          </cell>
          <cell r="J3169" t="str">
            <v>5XL</v>
          </cell>
          <cell r="K3169" t="str">
            <v>POLO T-SHIRT</v>
          </cell>
          <cell r="L3169" t="str">
            <v>NOD</v>
          </cell>
        </row>
        <row r="3170">
          <cell r="C3170" t="str">
            <v>USTSHC0088</v>
          </cell>
          <cell r="D3170" t="str">
            <v>CORE</v>
          </cell>
          <cell r="E3170" t="str">
            <v>CO25</v>
          </cell>
          <cell r="F3170">
            <v>2199</v>
          </cell>
          <cell r="G3170" t="str">
            <v>US</v>
          </cell>
          <cell r="H3170" t="str">
            <v>USPUSMPTS</v>
          </cell>
          <cell r="I3170" t="str">
            <v>USTSHC0088004</v>
          </cell>
          <cell r="J3170" t="str">
            <v>L</v>
          </cell>
          <cell r="K3170" t="str">
            <v>POLO T-SHIRT</v>
          </cell>
          <cell r="L3170" t="str">
            <v>NOD</v>
          </cell>
        </row>
        <row r="3171">
          <cell r="C3171" t="str">
            <v>USTSHC0088</v>
          </cell>
          <cell r="D3171" t="str">
            <v>CORE</v>
          </cell>
          <cell r="E3171" t="str">
            <v>CO25</v>
          </cell>
          <cell r="F3171">
            <v>2199</v>
          </cell>
          <cell r="G3171" t="str">
            <v>US</v>
          </cell>
          <cell r="H3171" t="str">
            <v>USPUSMPTS</v>
          </cell>
          <cell r="I3171" t="str">
            <v>USTSHC0088005</v>
          </cell>
          <cell r="J3171" t="str">
            <v>M</v>
          </cell>
          <cell r="K3171" t="str">
            <v>POLO T-SHIRT</v>
          </cell>
          <cell r="L3171" t="str">
            <v>NOD</v>
          </cell>
        </row>
        <row r="3172">
          <cell r="C3172" t="str">
            <v>USTSHC0088</v>
          </cell>
          <cell r="D3172" t="str">
            <v>CORE</v>
          </cell>
          <cell r="E3172" t="str">
            <v>CO25</v>
          </cell>
          <cell r="F3172">
            <v>2199</v>
          </cell>
          <cell r="G3172" t="str">
            <v>US</v>
          </cell>
          <cell r="H3172" t="str">
            <v>USPUSMPTS</v>
          </cell>
          <cell r="I3172" t="str">
            <v>USTSHC0088006</v>
          </cell>
          <cell r="J3172" t="str">
            <v>S</v>
          </cell>
          <cell r="K3172" t="str">
            <v>POLO T-SHIRT</v>
          </cell>
          <cell r="L3172" t="str">
            <v>NOD</v>
          </cell>
        </row>
        <row r="3173">
          <cell r="C3173" t="str">
            <v>USTSHC0088</v>
          </cell>
          <cell r="D3173" t="str">
            <v>CORE</v>
          </cell>
          <cell r="E3173" t="str">
            <v>CO25</v>
          </cell>
          <cell r="F3173">
            <v>2199</v>
          </cell>
          <cell r="G3173" t="str">
            <v>US</v>
          </cell>
          <cell r="H3173" t="str">
            <v>USPUSMPTS</v>
          </cell>
          <cell r="I3173" t="str">
            <v>USTSHC0088007</v>
          </cell>
          <cell r="J3173" t="str">
            <v>XL</v>
          </cell>
          <cell r="K3173" t="str">
            <v>POLO T-SHIRT</v>
          </cell>
          <cell r="L3173" t="str">
            <v>NOD</v>
          </cell>
        </row>
        <row r="3174">
          <cell r="C3174" t="str">
            <v>USTSHC0088</v>
          </cell>
          <cell r="D3174" t="str">
            <v>CORE</v>
          </cell>
          <cell r="E3174" t="str">
            <v>CO25</v>
          </cell>
          <cell r="F3174">
            <v>2199</v>
          </cell>
          <cell r="G3174" t="str">
            <v>US</v>
          </cell>
          <cell r="H3174" t="str">
            <v>USPUSMPTS</v>
          </cell>
          <cell r="I3174" t="str">
            <v>USTSHC0088008</v>
          </cell>
          <cell r="J3174" t="str">
            <v>XS</v>
          </cell>
          <cell r="K3174" t="str">
            <v>POLO T-SHIRT</v>
          </cell>
          <cell r="L3174" t="str">
            <v>NOD</v>
          </cell>
        </row>
        <row r="3175">
          <cell r="C3175" t="str">
            <v>USTSHC0088</v>
          </cell>
          <cell r="D3175" t="str">
            <v>CORE</v>
          </cell>
          <cell r="E3175" t="str">
            <v>CO25</v>
          </cell>
          <cell r="F3175">
            <v>2199</v>
          </cell>
          <cell r="G3175" t="str">
            <v>US</v>
          </cell>
          <cell r="H3175" t="str">
            <v>USPUSMPTS</v>
          </cell>
          <cell r="I3175" t="str">
            <v>USTSHC0088009</v>
          </cell>
          <cell r="J3175" t="str">
            <v>XXL</v>
          </cell>
          <cell r="K3175" t="str">
            <v>POLO T-SHIRT</v>
          </cell>
          <cell r="L3175" t="str">
            <v>NOD</v>
          </cell>
        </row>
        <row r="3176">
          <cell r="C3176" t="str">
            <v>USTSHC0089</v>
          </cell>
          <cell r="D3176" t="str">
            <v>CORE</v>
          </cell>
          <cell r="E3176" t="str">
            <v>CO25</v>
          </cell>
          <cell r="F3176">
            <v>2399</v>
          </cell>
          <cell r="G3176" t="str">
            <v>US</v>
          </cell>
          <cell r="H3176" t="str">
            <v>USPUSMPTS</v>
          </cell>
          <cell r="I3176" t="str">
            <v>USTSHC0089001</v>
          </cell>
          <cell r="J3176" t="str">
            <v>3XL</v>
          </cell>
          <cell r="K3176" t="str">
            <v>POLO T-SHIRT</v>
          </cell>
          <cell r="L3176" t="str">
            <v>NOD</v>
          </cell>
        </row>
        <row r="3177">
          <cell r="C3177" t="str">
            <v>USTSHC0089</v>
          </cell>
          <cell r="D3177" t="str">
            <v>CORE</v>
          </cell>
          <cell r="E3177" t="str">
            <v>CO25</v>
          </cell>
          <cell r="F3177">
            <v>2399</v>
          </cell>
          <cell r="G3177" t="str">
            <v>US</v>
          </cell>
          <cell r="H3177" t="str">
            <v>USPUSMPTS</v>
          </cell>
          <cell r="I3177" t="str">
            <v>USTSHC0089002</v>
          </cell>
          <cell r="J3177" t="str">
            <v>4XL</v>
          </cell>
          <cell r="K3177" t="str">
            <v>POLO T-SHIRT</v>
          </cell>
          <cell r="L3177" t="str">
            <v>NOD</v>
          </cell>
        </row>
        <row r="3178">
          <cell r="C3178" t="str">
            <v>USTSHC0089</v>
          </cell>
          <cell r="D3178" t="str">
            <v>CORE</v>
          </cell>
          <cell r="E3178" t="str">
            <v>CO25</v>
          </cell>
          <cell r="F3178">
            <v>2399</v>
          </cell>
          <cell r="G3178" t="str">
            <v>US</v>
          </cell>
          <cell r="H3178" t="str">
            <v>USPUSMPTS</v>
          </cell>
          <cell r="I3178" t="str">
            <v>USTSHC0089003</v>
          </cell>
          <cell r="J3178" t="str">
            <v>5XL</v>
          </cell>
          <cell r="K3178" t="str">
            <v>POLO T-SHIRT</v>
          </cell>
          <cell r="L3178" t="str">
            <v>NOD</v>
          </cell>
        </row>
        <row r="3179">
          <cell r="C3179" t="str">
            <v>USTSHC0089</v>
          </cell>
          <cell r="D3179" t="str">
            <v>CORE</v>
          </cell>
          <cell r="E3179" t="str">
            <v>CO25</v>
          </cell>
          <cell r="F3179">
            <v>2199</v>
          </cell>
          <cell r="G3179" t="str">
            <v>US</v>
          </cell>
          <cell r="H3179" t="str">
            <v>USPUSMPTS</v>
          </cell>
          <cell r="I3179" t="str">
            <v>USTSHC0089004</v>
          </cell>
          <cell r="J3179" t="str">
            <v>L</v>
          </cell>
          <cell r="K3179" t="str">
            <v>POLO T-SHIRT</v>
          </cell>
          <cell r="L3179" t="str">
            <v>NOD</v>
          </cell>
        </row>
        <row r="3180">
          <cell r="C3180" t="str">
            <v>USTSHC0089</v>
          </cell>
          <cell r="D3180" t="str">
            <v>CORE</v>
          </cell>
          <cell r="E3180" t="str">
            <v>CO25</v>
          </cell>
          <cell r="F3180">
            <v>2199</v>
          </cell>
          <cell r="G3180" t="str">
            <v>US</v>
          </cell>
          <cell r="H3180" t="str">
            <v>USPUSMPTS</v>
          </cell>
          <cell r="I3180" t="str">
            <v>USTSHC0089005</v>
          </cell>
          <cell r="J3180" t="str">
            <v>M</v>
          </cell>
          <cell r="K3180" t="str">
            <v>POLO T-SHIRT</v>
          </cell>
          <cell r="L3180" t="str">
            <v>NOD</v>
          </cell>
        </row>
        <row r="3181">
          <cell r="C3181" t="str">
            <v>USTSHC0089</v>
          </cell>
          <cell r="D3181" t="str">
            <v>CORE</v>
          </cell>
          <cell r="E3181" t="str">
            <v>CO25</v>
          </cell>
          <cell r="F3181">
            <v>2199</v>
          </cell>
          <cell r="G3181" t="str">
            <v>US</v>
          </cell>
          <cell r="H3181" t="str">
            <v>USPUSMPTS</v>
          </cell>
          <cell r="I3181" t="str">
            <v>USTSHC0089006</v>
          </cell>
          <cell r="J3181" t="str">
            <v>S</v>
          </cell>
          <cell r="K3181" t="str">
            <v>POLO T-SHIRT</v>
          </cell>
          <cell r="L3181" t="str">
            <v>NOD</v>
          </cell>
        </row>
        <row r="3182">
          <cell r="C3182" t="str">
            <v>USTSHC0089</v>
          </cell>
          <cell r="D3182" t="str">
            <v>CORE</v>
          </cell>
          <cell r="E3182" t="str">
            <v>CO25</v>
          </cell>
          <cell r="F3182">
            <v>2199</v>
          </cell>
          <cell r="G3182" t="str">
            <v>US</v>
          </cell>
          <cell r="H3182" t="str">
            <v>USPUSMPTS</v>
          </cell>
          <cell r="I3182" t="str">
            <v>USTSHC0089007</v>
          </cell>
          <cell r="J3182" t="str">
            <v>XL</v>
          </cell>
          <cell r="K3182" t="str">
            <v>POLO T-SHIRT</v>
          </cell>
          <cell r="L3182" t="str">
            <v>NOD</v>
          </cell>
        </row>
        <row r="3183">
          <cell r="C3183" t="str">
            <v>USTSHC0089</v>
          </cell>
          <cell r="D3183" t="str">
            <v>CORE</v>
          </cell>
          <cell r="E3183" t="str">
            <v>CO25</v>
          </cell>
          <cell r="F3183">
            <v>2199</v>
          </cell>
          <cell r="G3183" t="str">
            <v>US</v>
          </cell>
          <cell r="H3183" t="str">
            <v>USPUSMPTS</v>
          </cell>
          <cell r="I3183" t="str">
            <v>USTSHC0089008</v>
          </cell>
          <cell r="J3183" t="str">
            <v>XS</v>
          </cell>
          <cell r="K3183" t="str">
            <v>POLO T-SHIRT</v>
          </cell>
          <cell r="L3183" t="str">
            <v>NOD</v>
          </cell>
        </row>
        <row r="3184">
          <cell r="C3184" t="str">
            <v>USTSHC0089</v>
          </cell>
          <cell r="D3184" t="str">
            <v>CORE</v>
          </cell>
          <cell r="E3184" t="str">
            <v>CO25</v>
          </cell>
          <cell r="F3184">
            <v>2199</v>
          </cell>
          <cell r="G3184" t="str">
            <v>US</v>
          </cell>
          <cell r="H3184" t="str">
            <v>USPUSMPTS</v>
          </cell>
          <cell r="I3184" t="str">
            <v>USTSHC0089009</v>
          </cell>
          <cell r="J3184" t="str">
            <v>XXL</v>
          </cell>
          <cell r="K3184" t="str">
            <v>POLO T-SHIRT</v>
          </cell>
          <cell r="L3184" t="str">
            <v>NOD</v>
          </cell>
        </row>
        <row r="3185">
          <cell r="C3185" t="str">
            <v>USTSHC0090</v>
          </cell>
          <cell r="D3185" t="str">
            <v>CORE</v>
          </cell>
          <cell r="E3185" t="str">
            <v>CO25</v>
          </cell>
          <cell r="F3185">
            <v>2399</v>
          </cell>
          <cell r="G3185" t="str">
            <v>US</v>
          </cell>
          <cell r="H3185" t="str">
            <v>USPUSMPTS</v>
          </cell>
          <cell r="I3185" t="str">
            <v>USTSHC0090001</v>
          </cell>
          <cell r="J3185" t="str">
            <v>3XL</v>
          </cell>
          <cell r="K3185" t="str">
            <v>POLO T-SHIRT</v>
          </cell>
          <cell r="L3185" t="str">
            <v>NOD</v>
          </cell>
        </row>
        <row r="3186">
          <cell r="C3186" t="str">
            <v>USTSHC0090</v>
          </cell>
          <cell r="D3186" t="str">
            <v>CORE</v>
          </cell>
          <cell r="E3186" t="str">
            <v>CO25</v>
          </cell>
          <cell r="F3186">
            <v>2399</v>
          </cell>
          <cell r="G3186" t="str">
            <v>US</v>
          </cell>
          <cell r="H3186" t="str">
            <v>USPUSMPTS</v>
          </cell>
          <cell r="I3186" t="str">
            <v>USTSHC0090002</v>
          </cell>
          <cell r="J3186" t="str">
            <v>4XL</v>
          </cell>
          <cell r="K3186" t="str">
            <v>POLO T-SHIRT</v>
          </cell>
          <cell r="L3186" t="str">
            <v>NOD</v>
          </cell>
        </row>
        <row r="3187">
          <cell r="C3187" t="str">
            <v>USTSHC0090</v>
          </cell>
          <cell r="D3187" t="str">
            <v>CORE</v>
          </cell>
          <cell r="E3187" t="str">
            <v>CO25</v>
          </cell>
          <cell r="F3187">
            <v>2399</v>
          </cell>
          <cell r="G3187" t="str">
            <v>US</v>
          </cell>
          <cell r="H3187" t="str">
            <v>USPUSMPTS</v>
          </cell>
          <cell r="I3187" t="str">
            <v>USTSHC0090003</v>
          </cell>
          <cell r="J3187" t="str">
            <v>5XL</v>
          </cell>
          <cell r="K3187" t="str">
            <v>POLO T-SHIRT</v>
          </cell>
          <cell r="L3187" t="str">
            <v>NOD</v>
          </cell>
        </row>
        <row r="3188">
          <cell r="C3188" t="str">
            <v>USTSHC0090</v>
          </cell>
          <cell r="D3188" t="str">
            <v>CORE</v>
          </cell>
          <cell r="E3188" t="str">
            <v>CO25</v>
          </cell>
          <cell r="F3188">
            <v>2199</v>
          </cell>
          <cell r="G3188" t="str">
            <v>US</v>
          </cell>
          <cell r="H3188" t="str">
            <v>USPUSMPTS</v>
          </cell>
          <cell r="I3188" t="str">
            <v>USTSHC0090004</v>
          </cell>
          <cell r="J3188" t="str">
            <v>L</v>
          </cell>
          <cell r="K3188" t="str">
            <v>POLO T-SHIRT</v>
          </cell>
          <cell r="L3188" t="str">
            <v>NOD</v>
          </cell>
        </row>
        <row r="3189">
          <cell r="C3189" t="str">
            <v>USTSHC0090</v>
          </cell>
          <cell r="D3189" t="str">
            <v>CORE</v>
          </cell>
          <cell r="E3189" t="str">
            <v>CO25</v>
          </cell>
          <cell r="F3189">
            <v>2199</v>
          </cell>
          <cell r="G3189" t="str">
            <v>US</v>
          </cell>
          <cell r="H3189" t="str">
            <v>USPUSMPTS</v>
          </cell>
          <cell r="I3189" t="str">
            <v>USTSHC0090005</v>
          </cell>
          <cell r="J3189" t="str">
            <v>M</v>
          </cell>
          <cell r="K3189" t="str">
            <v>POLO T-SHIRT</v>
          </cell>
          <cell r="L3189" t="str">
            <v>NOD</v>
          </cell>
        </row>
        <row r="3190">
          <cell r="C3190" t="str">
            <v>USTSHC0090</v>
          </cell>
          <cell r="D3190" t="str">
            <v>CORE</v>
          </cell>
          <cell r="E3190" t="str">
            <v>CO25</v>
          </cell>
          <cell r="F3190">
            <v>2199</v>
          </cell>
          <cell r="G3190" t="str">
            <v>US</v>
          </cell>
          <cell r="H3190" t="str">
            <v>USPUSMPTS</v>
          </cell>
          <cell r="I3190" t="str">
            <v>USTSHC0090006</v>
          </cell>
          <cell r="J3190" t="str">
            <v>S</v>
          </cell>
          <cell r="K3190" t="str">
            <v>POLO T-SHIRT</v>
          </cell>
          <cell r="L3190" t="str">
            <v>NOD</v>
          </cell>
        </row>
        <row r="3191">
          <cell r="C3191" t="str">
            <v>USTSHC0090</v>
          </cell>
          <cell r="D3191" t="str">
            <v>CORE</v>
          </cell>
          <cell r="E3191" t="str">
            <v>CO25</v>
          </cell>
          <cell r="F3191">
            <v>2199</v>
          </cell>
          <cell r="G3191" t="str">
            <v>US</v>
          </cell>
          <cell r="H3191" t="str">
            <v>USPUSMPTS</v>
          </cell>
          <cell r="I3191" t="str">
            <v>USTSHC0090007</v>
          </cell>
          <cell r="J3191" t="str">
            <v>XL</v>
          </cell>
          <cell r="K3191" t="str">
            <v>POLO T-SHIRT</v>
          </cell>
          <cell r="L3191" t="str">
            <v>NOD</v>
          </cell>
        </row>
        <row r="3192">
          <cell r="C3192" t="str">
            <v>USTSHC0090</v>
          </cell>
          <cell r="D3192" t="str">
            <v>CORE</v>
          </cell>
          <cell r="E3192" t="str">
            <v>CO25</v>
          </cell>
          <cell r="F3192">
            <v>2199</v>
          </cell>
          <cell r="G3192" t="str">
            <v>US</v>
          </cell>
          <cell r="H3192" t="str">
            <v>USPUSMPTS</v>
          </cell>
          <cell r="I3192" t="str">
            <v>USTSHC0090008</v>
          </cell>
          <cell r="J3192" t="str">
            <v>XS</v>
          </cell>
          <cell r="K3192" t="str">
            <v>POLO T-SHIRT</v>
          </cell>
          <cell r="L3192" t="str">
            <v>NOD</v>
          </cell>
        </row>
        <row r="3193">
          <cell r="C3193" t="str">
            <v>USTSHC0090</v>
          </cell>
          <cell r="D3193" t="str">
            <v>CORE</v>
          </cell>
          <cell r="E3193" t="str">
            <v>CO25</v>
          </cell>
          <cell r="F3193">
            <v>2199</v>
          </cell>
          <cell r="G3193" t="str">
            <v>US</v>
          </cell>
          <cell r="H3193" t="str">
            <v>USPUSMPTS</v>
          </cell>
          <cell r="I3193" t="str">
            <v>USTSHC0090009</v>
          </cell>
          <cell r="J3193" t="str">
            <v>XXL</v>
          </cell>
          <cell r="K3193" t="str">
            <v>POLO T-SHIRT</v>
          </cell>
          <cell r="L3193" t="str">
            <v>NOD</v>
          </cell>
        </row>
        <row r="3194">
          <cell r="C3194" t="str">
            <v>USTSHC0091</v>
          </cell>
          <cell r="D3194" t="str">
            <v>CORE</v>
          </cell>
          <cell r="E3194" t="str">
            <v>CO25</v>
          </cell>
          <cell r="F3194">
            <v>2399</v>
          </cell>
          <cell r="G3194" t="str">
            <v>US</v>
          </cell>
          <cell r="H3194" t="str">
            <v>USPUSMPTS</v>
          </cell>
          <cell r="I3194" t="str">
            <v>USTSHC0091001</v>
          </cell>
          <cell r="J3194" t="str">
            <v>3XL</v>
          </cell>
          <cell r="K3194" t="str">
            <v>POLO T-SHIRT</v>
          </cell>
          <cell r="L3194" t="str">
            <v>NOD</v>
          </cell>
        </row>
        <row r="3195">
          <cell r="C3195" t="str">
            <v>USTSHC0091</v>
          </cell>
          <cell r="D3195" t="str">
            <v>CORE</v>
          </cell>
          <cell r="E3195" t="str">
            <v>CO25</v>
          </cell>
          <cell r="F3195">
            <v>2399</v>
          </cell>
          <cell r="G3195" t="str">
            <v>US</v>
          </cell>
          <cell r="H3195" t="str">
            <v>USPUSMPTS</v>
          </cell>
          <cell r="I3195" t="str">
            <v>USTSHC0091002</v>
          </cell>
          <cell r="J3195" t="str">
            <v>4XL</v>
          </cell>
          <cell r="K3195" t="str">
            <v>POLO T-SHIRT</v>
          </cell>
          <cell r="L3195" t="str">
            <v>NOD</v>
          </cell>
        </row>
        <row r="3196">
          <cell r="C3196" t="str">
            <v>USTSHC0091</v>
          </cell>
          <cell r="D3196" t="str">
            <v>CORE</v>
          </cell>
          <cell r="E3196" t="str">
            <v>CO25</v>
          </cell>
          <cell r="F3196">
            <v>2399</v>
          </cell>
          <cell r="G3196" t="str">
            <v>US</v>
          </cell>
          <cell r="H3196" t="str">
            <v>USPUSMPTS</v>
          </cell>
          <cell r="I3196" t="str">
            <v>USTSHC0091003</v>
          </cell>
          <cell r="J3196" t="str">
            <v>5XL</v>
          </cell>
          <cell r="K3196" t="str">
            <v>POLO T-SHIRT</v>
          </cell>
          <cell r="L3196" t="str">
            <v>NOD</v>
          </cell>
        </row>
        <row r="3197">
          <cell r="C3197" t="str">
            <v>USTSHC0091</v>
          </cell>
          <cell r="D3197" t="str">
            <v>CORE</v>
          </cell>
          <cell r="E3197" t="str">
            <v>CO25</v>
          </cell>
          <cell r="F3197">
            <v>2199</v>
          </cell>
          <cell r="G3197" t="str">
            <v>US</v>
          </cell>
          <cell r="H3197" t="str">
            <v>USPUSMPTS</v>
          </cell>
          <cell r="I3197" t="str">
            <v>USTSHC0091004</v>
          </cell>
          <cell r="J3197" t="str">
            <v>L</v>
          </cell>
          <cell r="K3197" t="str">
            <v>POLO T-SHIRT</v>
          </cell>
          <cell r="L3197" t="str">
            <v>NOD</v>
          </cell>
        </row>
        <row r="3198">
          <cell r="C3198" t="str">
            <v>USTSHC0091</v>
          </cell>
          <cell r="D3198" t="str">
            <v>CORE</v>
          </cell>
          <cell r="E3198" t="str">
            <v>CO25</v>
          </cell>
          <cell r="F3198">
            <v>2199</v>
          </cell>
          <cell r="G3198" t="str">
            <v>US</v>
          </cell>
          <cell r="H3198" t="str">
            <v>USPUSMPTS</v>
          </cell>
          <cell r="I3198" t="str">
            <v>USTSHC0091005</v>
          </cell>
          <cell r="J3198" t="str">
            <v>M</v>
          </cell>
          <cell r="K3198" t="str">
            <v>POLO T-SHIRT</v>
          </cell>
          <cell r="L3198" t="str">
            <v>NOD</v>
          </cell>
        </row>
        <row r="3199">
          <cell r="C3199" t="str">
            <v>USTSHC0091</v>
          </cell>
          <cell r="D3199" t="str">
            <v>CORE</v>
          </cell>
          <cell r="E3199" t="str">
            <v>CO25</v>
          </cell>
          <cell r="F3199">
            <v>2199</v>
          </cell>
          <cell r="G3199" t="str">
            <v>US</v>
          </cell>
          <cell r="H3199" t="str">
            <v>USPUSMPTS</v>
          </cell>
          <cell r="I3199" t="str">
            <v>USTSHC0091006</v>
          </cell>
          <cell r="J3199" t="str">
            <v>S</v>
          </cell>
          <cell r="K3199" t="str">
            <v>POLO T-SHIRT</v>
          </cell>
          <cell r="L3199" t="str">
            <v>NOD</v>
          </cell>
        </row>
        <row r="3200">
          <cell r="C3200" t="str">
            <v>USTSHC0091</v>
          </cell>
          <cell r="D3200" t="str">
            <v>CORE</v>
          </cell>
          <cell r="E3200" t="str">
            <v>CO25</v>
          </cell>
          <cell r="F3200">
            <v>2199</v>
          </cell>
          <cell r="G3200" t="str">
            <v>US</v>
          </cell>
          <cell r="H3200" t="str">
            <v>USPUSMPTS</v>
          </cell>
          <cell r="I3200" t="str">
            <v>USTSHC0091007</v>
          </cell>
          <cell r="J3200" t="str">
            <v>XL</v>
          </cell>
          <cell r="K3200" t="str">
            <v>POLO T-SHIRT</v>
          </cell>
          <cell r="L3200" t="str">
            <v>NOD</v>
          </cell>
        </row>
        <row r="3201">
          <cell r="C3201" t="str">
            <v>USTSHC0091</v>
          </cell>
          <cell r="D3201" t="str">
            <v>CORE</v>
          </cell>
          <cell r="E3201" t="str">
            <v>CO25</v>
          </cell>
          <cell r="F3201">
            <v>2199</v>
          </cell>
          <cell r="G3201" t="str">
            <v>US</v>
          </cell>
          <cell r="H3201" t="str">
            <v>USPUSMPTS</v>
          </cell>
          <cell r="I3201" t="str">
            <v>USTSHC0091008</v>
          </cell>
          <cell r="J3201" t="str">
            <v>XS</v>
          </cell>
          <cell r="K3201" t="str">
            <v>POLO T-SHIRT</v>
          </cell>
          <cell r="L3201" t="str">
            <v>NOD</v>
          </cell>
        </row>
        <row r="3202">
          <cell r="C3202" t="str">
            <v>USTSHC0091</v>
          </cell>
          <cell r="D3202" t="str">
            <v>CORE</v>
          </cell>
          <cell r="E3202" t="str">
            <v>CO25</v>
          </cell>
          <cell r="F3202">
            <v>2199</v>
          </cell>
          <cell r="G3202" t="str">
            <v>US</v>
          </cell>
          <cell r="H3202" t="str">
            <v>USPUSMPTS</v>
          </cell>
          <cell r="I3202" t="str">
            <v>USTSHC0091009</v>
          </cell>
          <cell r="J3202" t="str">
            <v>XXL</v>
          </cell>
          <cell r="K3202" t="str">
            <v>POLO T-SHIRT</v>
          </cell>
          <cell r="L3202" t="str">
            <v>NOD</v>
          </cell>
        </row>
        <row r="3203">
          <cell r="C3203" t="str">
            <v>USTSHC0092</v>
          </cell>
          <cell r="D3203" t="str">
            <v>CORE</v>
          </cell>
          <cell r="E3203" t="str">
            <v>CO25</v>
          </cell>
          <cell r="F3203">
            <v>2399</v>
          </cell>
          <cell r="G3203" t="str">
            <v>US</v>
          </cell>
          <cell r="H3203" t="str">
            <v>USPUSMPTS</v>
          </cell>
          <cell r="I3203" t="str">
            <v>USTSHC0092001</v>
          </cell>
          <cell r="J3203" t="str">
            <v>3XL</v>
          </cell>
          <cell r="K3203" t="str">
            <v>POLO T-SHIRT</v>
          </cell>
          <cell r="L3203" t="str">
            <v>NOD</v>
          </cell>
        </row>
        <row r="3204">
          <cell r="C3204" t="str">
            <v>USTSHC0092</v>
          </cell>
          <cell r="D3204" t="str">
            <v>CORE</v>
          </cell>
          <cell r="E3204" t="str">
            <v>CO25</v>
          </cell>
          <cell r="F3204">
            <v>2399</v>
          </cell>
          <cell r="G3204" t="str">
            <v>US</v>
          </cell>
          <cell r="H3204" t="str">
            <v>USPUSMPTS</v>
          </cell>
          <cell r="I3204" t="str">
            <v>USTSHC0092002</v>
          </cell>
          <cell r="J3204" t="str">
            <v>4XL</v>
          </cell>
          <cell r="K3204" t="str">
            <v>POLO T-SHIRT</v>
          </cell>
          <cell r="L3204" t="str">
            <v>NOD</v>
          </cell>
        </row>
        <row r="3205">
          <cell r="C3205" t="str">
            <v>USTSHC0092</v>
          </cell>
          <cell r="D3205" t="str">
            <v>CORE</v>
          </cell>
          <cell r="E3205" t="str">
            <v>CO25</v>
          </cell>
          <cell r="F3205">
            <v>2399</v>
          </cell>
          <cell r="G3205" t="str">
            <v>US</v>
          </cell>
          <cell r="H3205" t="str">
            <v>USPUSMPTS</v>
          </cell>
          <cell r="I3205" t="str">
            <v>USTSHC0092003</v>
          </cell>
          <cell r="J3205" t="str">
            <v>5XL</v>
          </cell>
          <cell r="K3205" t="str">
            <v>POLO T-SHIRT</v>
          </cell>
          <cell r="L3205" t="str">
            <v>NOD</v>
          </cell>
        </row>
        <row r="3206">
          <cell r="C3206" t="str">
            <v>USTSHC0092</v>
          </cell>
          <cell r="D3206" t="str">
            <v>CORE</v>
          </cell>
          <cell r="E3206" t="str">
            <v>CO25</v>
          </cell>
          <cell r="F3206">
            <v>2199</v>
          </cell>
          <cell r="G3206" t="str">
            <v>US</v>
          </cell>
          <cell r="H3206" t="str">
            <v>USPUSMPTS</v>
          </cell>
          <cell r="I3206" t="str">
            <v>USTSHC0092004</v>
          </cell>
          <cell r="J3206" t="str">
            <v>L</v>
          </cell>
          <cell r="K3206" t="str">
            <v>POLO T-SHIRT</v>
          </cell>
          <cell r="L3206" t="str">
            <v>NOD</v>
          </cell>
        </row>
        <row r="3207">
          <cell r="C3207" t="str">
            <v>USTSHC0092</v>
          </cell>
          <cell r="D3207" t="str">
            <v>CORE</v>
          </cell>
          <cell r="E3207" t="str">
            <v>CO25</v>
          </cell>
          <cell r="F3207">
            <v>2199</v>
          </cell>
          <cell r="G3207" t="str">
            <v>US</v>
          </cell>
          <cell r="H3207" t="str">
            <v>USPUSMPTS</v>
          </cell>
          <cell r="I3207" t="str">
            <v>USTSHC0092005</v>
          </cell>
          <cell r="J3207" t="str">
            <v>M</v>
          </cell>
          <cell r="K3207" t="str">
            <v>POLO T-SHIRT</v>
          </cell>
          <cell r="L3207" t="str">
            <v>NOD</v>
          </cell>
        </row>
        <row r="3208">
          <cell r="C3208" t="str">
            <v>USTSHC0092</v>
          </cell>
          <cell r="D3208" t="str">
            <v>CORE</v>
          </cell>
          <cell r="E3208" t="str">
            <v>CO25</v>
          </cell>
          <cell r="F3208">
            <v>2199</v>
          </cell>
          <cell r="G3208" t="str">
            <v>US</v>
          </cell>
          <cell r="H3208" t="str">
            <v>USPUSMPTS</v>
          </cell>
          <cell r="I3208" t="str">
            <v>USTSHC0092006</v>
          </cell>
          <cell r="J3208" t="str">
            <v>S</v>
          </cell>
          <cell r="K3208" t="str">
            <v>POLO T-SHIRT</v>
          </cell>
          <cell r="L3208" t="str">
            <v>NOD</v>
          </cell>
        </row>
        <row r="3209">
          <cell r="C3209" t="str">
            <v>USTSHC0092</v>
          </cell>
          <cell r="D3209" t="str">
            <v>CORE</v>
          </cell>
          <cell r="E3209" t="str">
            <v>CO25</v>
          </cell>
          <cell r="F3209">
            <v>2199</v>
          </cell>
          <cell r="G3209" t="str">
            <v>US</v>
          </cell>
          <cell r="H3209" t="str">
            <v>USPUSMPTS</v>
          </cell>
          <cell r="I3209" t="str">
            <v>USTSHC0092007</v>
          </cell>
          <cell r="J3209" t="str">
            <v>XL</v>
          </cell>
          <cell r="K3209" t="str">
            <v>POLO T-SHIRT</v>
          </cell>
          <cell r="L3209" t="str">
            <v>NOD</v>
          </cell>
        </row>
        <row r="3210">
          <cell r="C3210" t="str">
            <v>USTSHC0092</v>
          </cell>
          <cell r="D3210" t="str">
            <v>CORE</v>
          </cell>
          <cell r="E3210" t="str">
            <v>CO25</v>
          </cell>
          <cell r="F3210">
            <v>2199</v>
          </cell>
          <cell r="G3210" t="str">
            <v>US</v>
          </cell>
          <cell r="H3210" t="str">
            <v>USPUSMPTS</v>
          </cell>
          <cell r="I3210" t="str">
            <v>USTSHC0092008</v>
          </cell>
          <cell r="J3210" t="str">
            <v>XS</v>
          </cell>
          <cell r="K3210" t="str">
            <v>POLO T-SHIRT</v>
          </cell>
          <cell r="L3210" t="str">
            <v>NOD</v>
          </cell>
        </row>
        <row r="3211">
          <cell r="C3211" t="str">
            <v>USTSHC0092</v>
          </cell>
          <cell r="D3211" t="str">
            <v>CORE</v>
          </cell>
          <cell r="E3211" t="str">
            <v>CO25</v>
          </cell>
          <cell r="F3211">
            <v>2199</v>
          </cell>
          <cell r="G3211" t="str">
            <v>US</v>
          </cell>
          <cell r="H3211" t="str">
            <v>USPUSMPTS</v>
          </cell>
          <cell r="I3211" t="str">
            <v>USTSHC0092009</v>
          </cell>
          <cell r="J3211" t="str">
            <v>XXL</v>
          </cell>
          <cell r="K3211" t="str">
            <v>POLO T-SHIRT</v>
          </cell>
          <cell r="L3211" t="str">
            <v>NOD</v>
          </cell>
        </row>
        <row r="3212">
          <cell r="C3212" t="str">
            <v>USTSHC0093</v>
          </cell>
          <cell r="D3212" t="str">
            <v>CORE</v>
          </cell>
          <cell r="E3212" t="str">
            <v>CO25</v>
          </cell>
          <cell r="F3212">
            <v>2399</v>
          </cell>
          <cell r="G3212" t="str">
            <v>US</v>
          </cell>
          <cell r="H3212" t="str">
            <v>USPUSMPTS</v>
          </cell>
          <cell r="I3212" t="str">
            <v>USTSHC0093001</v>
          </cell>
          <cell r="J3212" t="str">
            <v>3XL</v>
          </cell>
          <cell r="K3212" t="str">
            <v>POLO T-SHIRT</v>
          </cell>
          <cell r="L3212" t="str">
            <v>NOD</v>
          </cell>
        </row>
        <row r="3213">
          <cell r="C3213" t="str">
            <v>USTSHC0093</v>
          </cell>
          <cell r="D3213" t="str">
            <v>CORE</v>
          </cell>
          <cell r="E3213" t="str">
            <v>CO25</v>
          </cell>
          <cell r="F3213">
            <v>2399</v>
          </cell>
          <cell r="G3213" t="str">
            <v>US</v>
          </cell>
          <cell r="H3213" t="str">
            <v>USPUSMPTS</v>
          </cell>
          <cell r="I3213" t="str">
            <v>USTSHC0093002</v>
          </cell>
          <cell r="J3213" t="str">
            <v>4XL</v>
          </cell>
          <cell r="K3213" t="str">
            <v>POLO T-SHIRT</v>
          </cell>
          <cell r="L3213" t="str">
            <v>NOD</v>
          </cell>
        </row>
        <row r="3214">
          <cell r="C3214" t="str">
            <v>USTSHC0093</v>
          </cell>
          <cell r="D3214" t="str">
            <v>CORE</v>
          </cell>
          <cell r="E3214" t="str">
            <v>CO25</v>
          </cell>
          <cell r="F3214">
            <v>2399</v>
          </cell>
          <cell r="G3214" t="str">
            <v>US</v>
          </cell>
          <cell r="H3214" t="str">
            <v>USPUSMPTS</v>
          </cell>
          <cell r="I3214" t="str">
            <v>USTSHC0093003</v>
          </cell>
          <cell r="J3214" t="str">
            <v>5XL</v>
          </cell>
          <cell r="K3214" t="str">
            <v>POLO T-SHIRT</v>
          </cell>
          <cell r="L3214" t="str">
            <v>NOD</v>
          </cell>
        </row>
        <row r="3215">
          <cell r="C3215" t="str">
            <v>USTSHC0093</v>
          </cell>
          <cell r="D3215" t="str">
            <v>CORE</v>
          </cell>
          <cell r="E3215" t="str">
            <v>CO25</v>
          </cell>
          <cell r="F3215">
            <v>2199</v>
          </cell>
          <cell r="G3215" t="str">
            <v>US</v>
          </cell>
          <cell r="H3215" t="str">
            <v>USPUSMPTS</v>
          </cell>
          <cell r="I3215" t="str">
            <v>USTSHC0093004</v>
          </cell>
          <cell r="J3215" t="str">
            <v>L</v>
          </cell>
          <cell r="K3215" t="str">
            <v>POLO T-SHIRT</v>
          </cell>
          <cell r="L3215" t="str">
            <v>NOD</v>
          </cell>
        </row>
        <row r="3216">
          <cell r="C3216" t="str">
            <v>USTSHC0093</v>
          </cell>
          <cell r="D3216" t="str">
            <v>CORE</v>
          </cell>
          <cell r="E3216" t="str">
            <v>CO25</v>
          </cell>
          <cell r="F3216">
            <v>2199</v>
          </cell>
          <cell r="G3216" t="str">
            <v>US</v>
          </cell>
          <cell r="H3216" t="str">
            <v>USPUSMPTS</v>
          </cell>
          <cell r="I3216" t="str">
            <v>USTSHC0093005</v>
          </cell>
          <cell r="J3216" t="str">
            <v>M</v>
          </cell>
          <cell r="K3216" t="str">
            <v>POLO T-SHIRT</v>
          </cell>
          <cell r="L3216" t="str">
            <v>NOD</v>
          </cell>
        </row>
        <row r="3217">
          <cell r="C3217" t="str">
            <v>USTSHC0093</v>
          </cell>
          <cell r="D3217" t="str">
            <v>CORE</v>
          </cell>
          <cell r="E3217" t="str">
            <v>CO25</v>
          </cell>
          <cell r="F3217">
            <v>2199</v>
          </cell>
          <cell r="G3217" t="str">
            <v>US</v>
          </cell>
          <cell r="H3217" t="str">
            <v>USPUSMPTS</v>
          </cell>
          <cell r="I3217" t="str">
            <v>USTSHC0093006</v>
          </cell>
          <cell r="J3217" t="str">
            <v>S</v>
          </cell>
          <cell r="K3217" t="str">
            <v>POLO T-SHIRT</v>
          </cell>
          <cell r="L3217" t="str">
            <v>NOD</v>
          </cell>
        </row>
        <row r="3218">
          <cell r="C3218" t="str">
            <v>USTSHC0093</v>
          </cell>
          <cell r="D3218" t="str">
            <v>CORE</v>
          </cell>
          <cell r="E3218" t="str">
            <v>CO25</v>
          </cell>
          <cell r="F3218">
            <v>2199</v>
          </cell>
          <cell r="G3218" t="str">
            <v>US</v>
          </cell>
          <cell r="H3218" t="str">
            <v>USPUSMPTS</v>
          </cell>
          <cell r="I3218" t="str">
            <v>USTSHC0093007</v>
          </cell>
          <cell r="J3218" t="str">
            <v>XL</v>
          </cell>
          <cell r="K3218" t="str">
            <v>POLO T-SHIRT</v>
          </cell>
          <cell r="L3218" t="str">
            <v>NOD</v>
          </cell>
        </row>
        <row r="3219">
          <cell r="C3219" t="str">
            <v>USTSHC0093</v>
          </cell>
          <cell r="D3219" t="str">
            <v>CORE</v>
          </cell>
          <cell r="E3219" t="str">
            <v>CO25</v>
          </cell>
          <cell r="F3219">
            <v>2199</v>
          </cell>
          <cell r="G3219" t="str">
            <v>US</v>
          </cell>
          <cell r="H3219" t="str">
            <v>USPUSMPTS</v>
          </cell>
          <cell r="I3219" t="str">
            <v>USTSHC0093008</v>
          </cell>
          <cell r="J3219" t="str">
            <v>XS</v>
          </cell>
          <cell r="K3219" t="str">
            <v>POLO T-SHIRT</v>
          </cell>
          <cell r="L3219" t="str">
            <v>NOD</v>
          </cell>
        </row>
        <row r="3220">
          <cell r="C3220" t="str">
            <v>USTSHC0093</v>
          </cell>
          <cell r="D3220" t="str">
            <v>CORE</v>
          </cell>
          <cell r="E3220" t="str">
            <v>CO25</v>
          </cell>
          <cell r="F3220">
            <v>2199</v>
          </cell>
          <cell r="G3220" t="str">
            <v>US</v>
          </cell>
          <cell r="H3220" t="str">
            <v>USPUSMPTS</v>
          </cell>
          <cell r="I3220" t="str">
            <v>USTSHC0093009</v>
          </cell>
          <cell r="J3220" t="str">
            <v>XXL</v>
          </cell>
          <cell r="K3220" t="str">
            <v>POLO T-SHIRT</v>
          </cell>
          <cell r="L3220" t="str">
            <v>NOD</v>
          </cell>
        </row>
        <row r="3221">
          <cell r="C3221" t="str">
            <v>USTSHC0094</v>
          </cell>
          <cell r="D3221" t="str">
            <v>CORE</v>
          </cell>
          <cell r="E3221" t="str">
            <v>CO25</v>
          </cell>
          <cell r="F3221">
            <v>2399</v>
          </cell>
          <cell r="G3221" t="str">
            <v>US</v>
          </cell>
          <cell r="H3221" t="str">
            <v>USPUSMPTS</v>
          </cell>
          <cell r="I3221" t="str">
            <v>USTSHC0094001</v>
          </cell>
          <cell r="J3221" t="str">
            <v>3XL</v>
          </cell>
          <cell r="K3221" t="str">
            <v>POLO T-SHIRT</v>
          </cell>
          <cell r="L3221" t="str">
            <v>NOD</v>
          </cell>
        </row>
        <row r="3222">
          <cell r="C3222" t="str">
            <v>USTSHC0094</v>
          </cell>
          <cell r="D3222" t="str">
            <v>CORE</v>
          </cell>
          <cell r="E3222" t="str">
            <v>CO25</v>
          </cell>
          <cell r="F3222">
            <v>2399</v>
          </cell>
          <cell r="G3222" t="str">
            <v>US</v>
          </cell>
          <cell r="H3222" t="str">
            <v>USPUSMPTS</v>
          </cell>
          <cell r="I3222" t="str">
            <v>USTSHC0094002</v>
          </cell>
          <cell r="J3222" t="str">
            <v>4XL</v>
          </cell>
          <cell r="K3222" t="str">
            <v>POLO T-SHIRT</v>
          </cell>
          <cell r="L3222" t="str">
            <v>NOD</v>
          </cell>
        </row>
        <row r="3223">
          <cell r="C3223" t="str">
            <v>USTSHC0094</v>
          </cell>
          <cell r="D3223" t="str">
            <v>CORE</v>
          </cell>
          <cell r="E3223" t="str">
            <v>CO25</v>
          </cell>
          <cell r="F3223">
            <v>2399</v>
          </cell>
          <cell r="G3223" t="str">
            <v>US</v>
          </cell>
          <cell r="H3223" t="str">
            <v>USPUSMPTS</v>
          </cell>
          <cell r="I3223" t="str">
            <v>USTSHC0094003</v>
          </cell>
          <cell r="J3223" t="str">
            <v>5XL</v>
          </cell>
          <cell r="K3223" t="str">
            <v>POLO T-SHIRT</v>
          </cell>
          <cell r="L3223" t="str">
            <v>NOD</v>
          </cell>
        </row>
        <row r="3224">
          <cell r="C3224" t="str">
            <v>USTSHC0094</v>
          </cell>
          <cell r="D3224" t="str">
            <v>CORE</v>
          </cell>
          <cell r="E3224" t="str">
            <v>CO25</v>
          </cell>
          <cell r="F3224">
            <v>2199</v>
          </cell>
          <cell r="G3224" t="str">
            <v>US</v>
          </cell>
          <cell r="H3224" t="str">
            <v>USPUSMPTS</v>
          </cell>
          <cell r="I3224" t="str">
            <v>USTSHC0094004</v>
          </cell>
          <cell r="J3224" t="str">
            <v>L</v>
          </cell>
          <cell r="K3224" t="str">
            <v>POLO T-SHIRT</v>
          </cell>
          <cell r="L3224" t="str">
            <v>NOD</v>
          </cell>
        </row>
        <row r="3225">
          <cell r="C3225" t="str">
            <v>USTSHC0094</v>
          </cell>
          <cell r="D3225" t="str">
            <v>CORE</v>
          </cell>
          <cell r="E3225" t="str">
            <v>CO25</v>
          </cell>
          <cell r="F3225">
            <v>2199</v>
          </cell>
          <cell r="G3225" t="str">
            <v>US</v>
          </cell>
          <cell r="H3225" t="str">
            <v>USPUSMPTS</v>
          </cell>
          <cell r="I3225" t="str">
            <v>USTSHC0094005</v>
          </cell>
          <cell r="J3225" t="str">
            <v>M</v>
          </cell>
          <cell r="K3225" t="str">
            <v>POLO T-SHIRT</v>
          </cell>
          <cell r="L3225" t="str">
            <v>NOD</v>
          </cell>
        </row>
        <row r="3226">
          <cell r="C3226" t="str">
            <v>USTSHC0094</v>
          </cell>
          <cell r="D3226" t="str">
            <v>CORE</v>
          </cell>
          <cell r="E3226" t="str">
            <v>CO25</v>
          </cell>
          <cell r="F3226">
            <v>2199</v>
          </cell>
          <cell r="G3226" t="str">
            <v>US</v>
          </cell>
          <cell r="H3226" t="str">
            <v>USPUSMPTS</v>
          </cell>
          <cell r="I3226" t="str">
            <v>USTSHC0094006</v>
          </cell>
          <cell r="J3226" t="str">
            <v>S</v>
          </cell>
          <cell r="K3226" t="str">
            <v>POLO T-SHIRT</v>
          </cell>
          <cell r="L3226" t="str">
            <v>NOD</v>
          </cell>
        </row>
        <row r="3227">
          <cell r="C3227" t="str">
            <v>USTSHC0094</v>
          </cell>
          <cell r="D3227" t="str">
            <v>CORE</v>
          </cell>
          <cell r="E3227" t="str">
            <v>CO25</v>
          </cell>
          <cell r="F3227">
            <v>2199</v>
          </cell>
          <cell r="G3227" t="str">
            <v>US</v>
          </cell>
          <cell r="H3227" t="str">
            <v>USPUSMPTS</v>
          </cell>
          <cell r="I3227" t="str">
            <v>USTSHC0094007</v>
          </cell>
          <cell r="J3227" t="str">
            <v>XL</v>
          </cell>
          <cell r="K3227" t="str">
            <v>POLO T-SHIRT</v>
          </cell>
          <cell r="L3227" t="str">
            <v>NOD</v>
          </cell>
        </row>
        <row r="3228">
          <cell r="C3228" t="str">
            <v>USTSHC0094</v>
          </cell>
          <cell r="D3228" t="str">
            <v>CORE</v>
          </cell>
          <cell r="E3228" t="str">
            <v>CO25</v>
          </cell>
          <cell r="F3228">
            <v>2199</v>
          </cell>
          <cell r="G3228" t="str">
            <v>US</v>
          </cell>
          <cell r="H3228" t="str">
            <v>USPUSMPTS</v>
          </cell>
          <cell r="I3228" t="str">
            <v>USTSHC0094008</v>
          </cell>
          <cell r="J3228" t="str">
            <v>XS</v>
          </cell>
          <cell r="K3228" t="str">
            <v>POLO T-SHIRT</v>
          </cell>
          <cell r="L3228" t="str">
            <v>NOD</v>
          </cell>
        </row>
        <row r="3229">
          <cell r="C3229" t="str">
            <v>USTSHC0094</v>
          </cell>
          <cell r="D3229" t="str">
            <v>CORE</v>
          </cell>
          <cell r="E3229" t="str">
            <v>CO25</v>
          </cell>
          <cell r="F3229">
            <v>2199</v>
          </cell>
          <cell r="G3229" t="str">
            <v>US</v>
          </cell>
          <cell r="H3229" t="str">
            <v>USPUSMPTS</v>
          </cell>
          <cell r="I3229" t="str">
            <v>USTSHC0094009</v>
          </cell>
          <cell r="J3229" t="str">
            <v>XXL</v>
          </cell>
          <cell r="K3229" t="str">
            <v>POLO T-SHIRT</v>
          </cell>
          <cell r="L3229" t="str">
            <v>NOD</v>
          </cell>
        </row>
        <row r="3230">
          <cell r="C3230" t="str">
            <v>USTSHC0108</v>
          </cell>
          <cell r="D3230" t="str">
            <v>CORE</v>
          </cell>
          <cell r="E3230" t="str">
            <v>CO25</v>
          </cell>
          <cell r="F3230">
            <v>1799</v>
          </cell>
          <cell r="G3230" t="str">
            <v>US</v>
          </cell>
          <cell r="H3230" t="str">
            <v>USPUSMPTS</v>
          </cell>
          <cell r="I3230" t="str">
            <v>USTSHC0108001</v>
          </cell>
          <cell r="J3230" t="str">
            <v>3XL</v>
          </cell>
          <cell r="K3230" t="str">
            <v>POLO T-SHIRT</v>
          </cell>
          <cell r="L3230" t="str">
            <v>NOD</v>
          </cell>
        </row>
        <row r="3231">
          <cell r="C3231" t="str">
            <v>USTSHC0108</v>
          </cell>
          <cell r="D3231" t="str">
            <v>CORE</v>
          </cell>
          <cell r="E3231" t="str">
            <v>CO25</v>
          </cell>
          <cell r="F3231">
            <v>1799</v>
          </cell>
          <cell r="G3231" t="str">
            <v>US</v>
          </cell>
          <cell r="H3231" t="str">
            <v>USPUSMPTS</v>
          </cell>
          <cell r="I3231" t="str">
            <v>USTSHC0108002</v>
          </cell>
          <cell r="J3231" t="str">
            <v>4XL</v>
          </cell>
          <cell r="K3231" t="str">
            <v>POLO T-SHIRT</v>
          </cell>
          <cell r="L3231" t="str">
            <v>NOD</v>
          </cell>
        </row>
        <row r="3232">
          <cell r="C3232" t="str">
            <v>USTSHC0108</v>
          </cell>
          <cell r="D3232" t="str">
            <v>CORE</v>
          </cell>
          <cell r="E3232" t="str">
            <v>CO25</v>
          </cell>
          <cell r="F3232">
            <v>1799</v>
          </cell>
          <cell r="G3232" t="str">
            <v>US</v>
          </cell>
          <cell r="H3232" t="str">
            <v>USPUSMPTS</v>
          </cell>
          <cell r="I3232" t="str">
            <v>USTSHC0108003</v>
          </cell>
          <cell r="J3232" t="str">
            <v>5XL</v>
          </cell>
          <cell r="K3232" t="str">
            <v>POLO T-SHIRT</v>
          </cell>
          <cell r="L3232" t="str">
            <v>NOD</v>
          </cell>
        </row>
        <row r="3233">
          <cell r="C3233" t="str">
            <v>USTSHC0108</v>
          </cell>
          <cell r="D3233" t="str">
            <v>CORE</v>
          </cell>
          <cell r="E3233" t="str">
            <v>CO25</v>
          </cell>
          <cell r="F3233">
            <v>1599</v>
          </cell>
          <cell r="G3233" t="str">
            <v>US</v>
          </cell>
          <cell r="H3233" t="str">
            <v>USPUSMPTS</v>
          </cell>
          <cell r="I3233" t="str">
            <v>USTSHC0108004</v>
          </cell>
          <cell r="J3233" t="str">
            <v>L</v>
          </cell>
          <cell r="K3233" t="str">
            <v>POLO T-SHIRT</v>
          </cell>
          <cell r="L3233" t="str">
            <v>NOD</v>
          </cell>
        </row>
        <row r="3234">
          <cell r="C3234" t="str">
            <v>USTSHC0108</v>
          </cell>
          <cell r="D3234" t="str">
            <v>CORE</v>
          </cell>
          <cell r="E3234" t="str">
            <v>CO25</v>
          </cell>
          <cell r="F3234">
            <v>1599</v>
          </cell>
          <cell r="G3234" t="str">
            <v>US</v>
          </cell>
          <cell r="H3234" t="str">
            <v>USPUSMPTS</v>
          </cell>
          <cell r="I3234" t="str">
            <v>USTSHC0108005</v>
          </cell>
          <cell r="J3234" t="str">
            <v>M</v>
          </cell>
          <cell r="K3234" t="str">
            <v>POLO T-SHIRT</v>
          </cell>
          <cell r="L3234" t="str">
            <v>NOD</v>
          </cell>
        </row>
        <row r="3235">
          <cell r="C3235" t="str">
            <v>USTSHC0108</v>
          </cell>
          <cell r="D3235" t="str">
            <v>CORE</v>
          </cell>
          <cell r="E3235" t="str">
            <v>CO25</v>
          </cell>
          <cell r="F3235">
            <v>1599</v>
          </cell>
          <cell r="G3235" t="str">
            <v>US</v>
          </cell>
          <cell r="H3235" t="str">
            <v>USPUSMPTS</v>
          </cell>
          <cell r="I3235" t="str">
            <v>USTSHC0108006</v>
          </cell>
          <cell r="J3235" t="str">
            <v>S</v>
          </cell>
          <cell r="K3235" t="str">
            <v>POLO T-SHIRT</v>
          </cell>
          <cell r="L3235" t="str">
            <v>NOD</v>
          </cell>
        </row>
        <row r="3236">
          <cell r="C3236" t="str">
            <v>USTSHC0108</v>
          </cell>
          <cell r="D3236" t="str">
            <v>CORE</v>
          </cell>
          <cell r="E3236" t="str">
            <v>CO25</v>
          </cell>
          <cell r="F3236">
            <v>1599</v>
          </cell>
          <cell r="G3236" t="str">
            <v>US</v>
          </cell>
          <cell r="H3236" t="str">
            <v>USPUSMPTS</v>
          </cell>
          <cell r="I3236" t="str">
            <v>USTSHC0108007</v>
          </cell>
          <cell r="J3236" t="str">
            <v>XL</v>
          </cell>
          <cell r="K3236" t="str">
            <v>POLO T-SHIRT</v>
          </cell>
          <cell r="L3236" t="str">
            <v>NOD</v>
          </cell>
        </row>
        <row r="3237">
          <cell r="C3237" t="str">
            <v>USTSHC0108</v>
          </cell>
          <cell r="D3237" t="str">
            <v>CORE</v>
          </cell>
          <cell r="E3237" t="str">
            <v>CO25</v>
          </cell>
          <cell r="F3237">
            <v>1599</v>
          </cell>
          <cell r="G3237" t="str">
            <v>US</v>
          </cell>
          <cell r="H3237" t="str">
            <v>USPUSMPTS</v>
          </cell>
          <cell r="I3237" t="str">
            <v>USTSHC0108008</v>
          </cell>
          <cell r="J3237" t="str">
            <v>XS</v>
          </cell>
          <cell r="K3237" t="str">
            <v>POLO T-SHIRT</v>
          </cell>
          <cell r="L3237" t="str">
            <v>NOD</v>
          </cell>
        </row>
        <row r="3238">
          <cell r="C3238" t="str">
            <v>USTSHC0108</v>
          </cell>
          <cell r="D3238" t="str">
            <v>CORE</v>
          </cell>
          <cell r="E3238" t="str">
            <v>CO25</v>
          </cell>
          <cell r="F3238">
            <v>1599</v>
          </cell>
          <cell r="G3238" t="str">
            <v>US</v>
          </cell>
          <cell r="H3238" t="str">
            <v>USPUSMPTS</v>
          </cell>
          <cell r="I3238" t="str">
            <v>USTSHC0108009</v>
          </cell>
          <cell r="J3238" t="str">
            <v>XXL</v>
          </cell>
          <cell r="K3238" t="str">
            <v>POLO T-SHIRT</v>
          </cell>
          <cell r="L3238" t="str">
            <v>NOD</v>
          </cell>
        </row>
        <row r="3239">
          <cell r="C3239" t="str">
            <v>USTSHC0109</v>
          </cell>
          <cell r="D3239" t="str">
            <v>CORE</v>
          </cell>
          <cell r="E3239" t="str">
            <v>CO25</v>
          </cell>
          <cell r="F3239">
            <v>1799</v>
          </cell>
          <cell r="G3239" t="str">
            <v>US</v>
          </cell>
          <cell r="H3239" t="str">
            <v>USPUSMPTS</v>
          </cell>
          <cell r="I3239" t="str">
            <v>USTSHC0109001</v>
          </cell>
          <cell r="J3239" t="str">
            <v>3XL</v>
          </cell>
          <cell r="K3239" t="str">
            <v>POLO T-SHIRT</v>
          </cell>
          <cell r="L3239" t="str">
            <v>NOD</v>
          </cell>
        </row>
        <row r="3240">
          <cell r="C3240" t="str">
            <v>USTSHC0109</v>
          </cell>
          <cell r="D3240" t="str">
            <v>CORE</v>
          </cell>
          <cell r="E3240" t="str">
            <v>CO25</v>
          </cell>
          <cell r="F3240">
            <v>1799</v>
          </cell>
          <cell r="G3240" t="str">
            <v>US</v>
          </cell>
          <cell r="H3240" t="str">
            <v>USPUSMPTS</v>
          </cell>
          <cell r="I3240" t="str">
            <v>USTSHC0109002</v>
          </cell>
          <cell r="J3240" t="str">
            <v>4XL</v>
          </cell>
          <cell r="K3240" t="str">
            <v>POLO T-SHIRT</v>
          </cell>
          <cell r="L3240" t="str">
            <v>NOD</v>
          </cell>
        </row>
        <row r="3241">
          <cell r="C3241" t="str">
            <v>USTSHC0109</v>
          </cell>
          <cell r="D3241" t="str">
            <v>CORE</v>
          </cell>
          <cell r="E3241" t="str">
            <v>CO25</v>
          </cell>
          <cell r="F3241">
            <v>1799</v>
          </cell>
          <cell r="G3241" t="str">
            <v>US</v>
          </cell>
          <cell r="H3241" t="str">
            <v>USPUSMPTS</v>
          </cell>
          <cell r="I3241" t="str">
            <v>USTSHC0109003</v>
          </cell>
          <cell r="J3241" t="str">
            <v>5XL</v>
          </cell>
          <cell r="K3241" t="str">
            <v>POLO T-SHIRT</v>
          </cell>
          <cell r="L3241" t="str">
            <v>NOD</v>
          </cell>
        </row>
        <row r="3242">
          <cell r="C3242" t="str">
            <v>USTSHC0109</v>
          </cell>
          <cell r="D3242" t="str">
            <v>CORE</v>
          </cell>
          <cell r="E3242" t="str">
            <v>CO25</v>
          </cell>
          <cell r="F3242">
            <v>1599</v>
          </cell>
          <cell r="G3242" t="str">
            <v>US</v>
          </cell>
          <cell r="H3242" t="str">
            <v>USPUSMPTS</v>
          </cell>
          <cell r="I3242" t="str">
            <v>USTSHC0109004</v>
          </cell>
          <cell r="J3242" t="str">
            <v>L</v>
          </cell>
          <cell r="K3242" t="str">
            <v>POLO T-SHIRT</v>
          </cell>
          <cell r="L3242" t="str">
            <v>NOD</v>
          </cell>
        </row>
        <row r="3243">
          <cell r="C3243" t="str">
            <v>USTSHC0109</v>
          </cell>
          <cell r="D3243" t="str">
            <v>CORE</v>
          </cell>
          <cell r="E3243" t="str">
            <v>CO25</v>
          </cell>
          <cell r="F3243">
            <v>1599</v>
          </cell>
          <cell r="G3243" t="str">
            <v>US</v>
          </cell>
          <cell r="H3243" t="str">
            <v>USPUSMPTS</v>
          </cell>
          <cell r="I3243" t="str">
            <v>USTSHC0109005</v>
          </cell>
          <cell r="J3243" t="str">
            <v>M</v>
          </cell>
          <cell r="K3243" t="str">
            <v>POLO T-SHIRT</v>
          </cell>
          <cell r="L3243" t="str">
            <v>NOD</v>
          </cell>
        </row>
        <row r="3244">
          <cell r="C3244" t="str">
            <v>USTSHC0109</v>
          </cell>
          <cell r="D3244" t="str">
            <v>CORE</v>
          </cell>
          <cell r="E3244" t="str">
            <v>CO25</v>
          </cell>
          <cell r="F3244">
            <v>1599</v>
          </cell>
          <cell r="G3244" t="str">
            <v>US</v>
          </cell>
          <cell r="H3244" t="str">
            <v>USPUSMPTS</v>
          </cell>
          <cell r="I3244" t="str">
            <v>USTSHC0109006</v>
          </cell>
          <cell r="J3244" t="str">
            <v>S</v>
          </cell>
          <cell r="K3244" t="str">
            <v>POLO T-SHIRT</v>
          </cell>
          <cell r="L3244" t="str">
            <v>NOD</v>
          </cell>
        </row>
        <row r="3245">
          <cell r="C3245" t="str">
            <v>USTSHC0109</v>
          </cell>
          <cell r="D3245" t="str">
            <v>CORE</v>
          </cell>
          <cell r="E3245" t="str">
            <v>CO25</v>
          </cell>
          <cell r="F3245">
            <v>1599</v>
          </cell>
          <cell r="G3245" t="str">
            <v>US</v>
          </cell>
          <cell r="H3245" t="str">
            <v>USPUSMPTS</v>
          </cell>
          <cell r="I3245" t="str">
            <v>USTSHC0109007</v>
          </cell>
          <cell r="J3245" t="str">
            <v>XL</v>
          </cell>
          <cell r="K3245" t="str">
            <v>POLO T-SHIRT</v>
          </cell>
          <cell r="L3245" t="str">
            <v>NOD</v>
          </cell>
        </row>
        <row r="3246">
          <cell r="C3246" t="str">
            <v>USTSHC0109</v>
          </cell>
          <cell r="D3246" t="str">
            <v>CORE</v>
          </cell>
          <cell r="E3246" t="str">
            <v>CO25</v>
          </cell>
          <cell r="F3246">
            <v>1599</v>
          </cell>
          <cell r="G3246" t="str">
            <v>US</v>
          </cell>
          <cell r="H3246" t="str">
            <v>USPUSMPTS</v>
          </cell>
          <cell r="I3246" t="str">
            <v>USTSHC0109008</v>
          </cell>
          <cell r="J3246" t="str">
            <v>XS</v>
          </cell>
          <cell r="K3246" t="str">
            <v>POLO T-SHIRT</v>
          </cell>
          <cell r="L3246" t="str">
            <v>NOD</v>
          </cell>
        </row>
        <row r="3247">
          <cell r="C3247" t="str">
            <v>USTSHC0109</v>
          </cell>
          <cell r="D3247" t="str">
            <v>CORE</v>
          </cell>
          <cell r="E3247" t="str">
            <v>CO25</v>
          </cell>
          <cell r="F3247">
            <v>1599</v>
          </cell>
          <cell r="G3247" t="str">
            <v>US</v>
          </cell>
          <cell r="H3247" t="str">
            <v>USPUSMPTS</v>
          </cell>
          <cell r="I3247" t="str">
            <v>USTSHC0109009</v>
          </cell>
          <cell r="J3247" t="str">
            <v>XXL</v>
          </cell>
          <cell r="K3247" t="str">
            <v>POLO T-SHIRT</v>
          </cell>
          <cell r="L3247" t="str">
            <v>NOD</v>
          </cell>
        </row>
        <row r="3248">
          <cell r="C3248" t="str">
            <v>USTSHC0110</v>
          </cell>
          <cell r="D3248" t="str">
            <v>CORE</v>
          </cell>
          <cell r="E3248" t="str">
            <v>CO25</v>
          </cell>
          <cell r="F3248">
            <v>1799</v>
          </cell>
          <cell r="G3248" t="str">
            <v>US</v>
          </cell>
          <cell r="H3248" t="str">
            <v>USPUSMPTS</v>
          </cell>
          <cell r="I3248" t="str">
            <v>USTSHC0110001</v>
          </cell>
          <cell r="J3248" t="str">
            <v>3XL</v>
          </cell>
          <cell r="K3248" t="str">
            <v>POLO T-SHIRT</v>
          </cell>
          <cell r="L3248" t="str">
            <v>NOD</v>
          </cell>
        </row>
        <row r="3249">
          <cell r="C3249" t="str">
            <v>USTSHC0110</v>
          </cell>
          <cell r="D3249" t="str">
            <v>CORE</v>
          </cell>
          <cell r="E3249" t="str">
            <v>CO25</v>
          </cell>
          <cell r="F3249">
            <v>1799</v>
          </cell>
          <cell r="G3249" t="str">
            <v>US</v>
          </cell>
          <cell r="H3249" t="str">
            <v>USPUSMPTS</v>
          </cell>
          <cell r="I3249" t="str">
            <v>USTSHC0110002</v>
          </cell>
          <cell r="J3249" t="str">
            <v>4XL</v>
          </cell>
          <cell r="K3249" t="str">
            <v>POLO T-SHIRT</v>
          </cell>
          <cell r="L3249" t="str">
            <v>NOD</v>
          </cell>
        </row>
        <row r="3250">
          <cell r="C3250" t="str">
            <v>USTSHC0110</v>
          </cell>
          <cell r="D3250" t="str">
            <v>CORE</v>
          </cell>
          <cell r="E3250" t="str">
            <v>CO25</v>
          </cell>
          <cell r="F3250">
            <v>1799</v>
          </cell>
          <cell r="G3250" t="str">
            <v>US</v>
          </cell>
          <cell r="H3250" t="str">
            <v>USPUSMPTS</v>
          </cell>
          <cell r="I3250" t="str">
            <v>USTSHC0110003</v>
          </cell>
          <cell r="J3250" t="str">
            <v>5XL</v>
          </cell>
          <cell r="K3250" t="str">
            <v>POLO T-SHIRT</v>
          </cell>
          <cell r="L3250" t="str">
            <v>NOD</v>
          </cell>
        </row>
        <row r="3251">
          <cell r="C3251" t="str">
            <v>USTSHC0110</v>
          </cell>
          <cell r="D3251" t="str">
            <v>CORE</v>
          </cell>
          <cell r="E3251" t="str">
            <v>CO25</v>
          </cell>
          <cell r="F3251">
            <v>1599</v>
          </cell>
          <cell r="G3251" t="str">
            <v>US</v>
          </cell>
          <cell r="H3251" t="str">
            <v>USPUSMPTS</v>
          </cell>
          <cell r="I3251" t="str">
            <v>USTSHC0110004</v>
          </cell>
          <cell r="J3251" t="str">
            <v>L</v>
          </cell>
          <cell r="K3251" t="str">
            <v>POLO T-SHIRT</v>
          </cell>
          <cell r="L3251" t="str">
            <v>NOD</v>
          </cell>
        </row>
        <row r="3252">
          <cell r="C3252" t="str">
            <v>USTSHC0110</v>
          </cell>
          <cell r="D3252" t="str">
            <v>CORE</v>
          </cell>
          <cell r="E3252" t="str">
            <v>CO25</v>
          </cell>
          <cell r="F3252">
            <v>1599</v>
          </cell>
          <cell r="G3252" t="str">
            <v>US</v>
          </cell>
          <cell r="H3252" t="str">
            <v>USPUSMPTS</v>
          </cell>
          <cell r="I3252" t="str">
            <v>USTSHC0110005</v>
          </cell>
          <cell r="J3252" t="str">
            <v>M</v>
          </cell>
          <cell r="K3252" t="str">
            <v>POLO T-SHIRT</v>
          </cell>
          <cell r="L3252" t="str">
            <v>NOD</v>
          </cell>
        </row>
        <row r="3253">
          <cell r="C3253" t="str">
            <v>USTSHC0110</v>
          </cell>
          <cell r="D3253" t="str">
            <v>CORE</v>
          </cell>
          <cell r="E3253" t="str">
            <v>CO25</v>
          </cell>
          <cell r="F3253">
            <v>1599</v>
          </cell>
          <cell r="G3253" t="str">
            <v>US</v>
          </cell>
          <cell r="H3253" t="str">
            <v>USPUSMPTS</v>
          </cell>
          <cell r="I3253" t="str">
            <v>USTSHC0110006</v>
          </cell>
          <cell r="J3253" t="str">
            <v>S</v>
          </cell>
          <cell r="K3253" t="str">
            <v>POLO T-SHIRT</v>
          </cell>
          <cell r="L3253" t="str">
            <v>NOD</v>
          </cell>
        </row>
        <row r="3254">
          <cell r="C3254" t="str">
            <v>USTSHC0110</v>
          </cell>
          <cell r="D3254" t="str">
            <v>CORE</v>
          </cell>
          <cell r="E3254" t="str">
            <v>CO25</v>
          </cell>
          <cell r="F3254">
            <v>1599</v>
          </cell>
          <cell r="G3254" t="str">
            <v>US</v>
          </cell>
          <cell r="H3254" t="str">
            <v>USPUSMPTS</v>
          </cell>
          <cell r="I3254" t="str">
            <v>USTSHC0110007</v>
          </cell>
          <cell r="J3254" t="str">
            <v>XL</v>
          </cell>
          <cell r="K3254" t="str">
            <v>POLO T-SHIRT</v>
          </cell>
          <cell r="L3254" t="str">
            <v>NOD</v>
          </cell>
        </row>
        <row r="3255">
          <cell r="C3255" t="str">
            <v>USTSHC0110</v>
          </cell>
          <cell r="D3255" t="str">
            <v>CORE</v>
          </cell>
          <cell r="E3255" t="str">
            <v>CO25</v>
          </cell>
          <cell r="F3255">
            <v>1599</v>
          </cell>
          <cell r="G3255" t="str">
            <v>US</v>
          </cell>
          <cell r="H3255" t="str">
            <v>USPUSMPTS</v>
          </cell>
          <cell r="I3255" t="str">
            <v>USTSHC0110008</v>
          </cell>
          <cell r="J3255" t="str">
            <v>XS</v>
          </cell>
          <cell r="K3255" t="str">
            <v>POLO T-SHIRT</v>
          </cell>
          <cell r="L3255" t="str">
            <v>NOD</v>
          </cell>
        </row>
        <row r="3256">
          <cell r="C3256" t="str">
            <v>USTSHC0110</v>
          </cell>
          <cell r="D3256" t="str">
            <v>CORE</v>
          </cell>
          <cell r="E3256" t="str">
            <v>CO25</v>
          </cell>
          <cell r="F3256">
            <v>1599</v>
          </cell>
          <cell r="G3256" t="str">
            <v>US</v>
          </cell>
          <cell r="H3256" t="str">
            <v>USPUSMPTS</v>
          </cell>
          <cell r="I3256" t="str">
            <v>USTSHC0110009</v>
          </cell>
          <cell r="J3256" t="str">
            <v>XXL</v>
          </cell>
          <cell r="K3256" t="str">
            <v>POLO T-SHIRT</v>
          </cell>
          <cell r="L3256" t="str">
            <v>NOD</v>
          </cell>
        </row>
        <row r="3257">
          <cell r="C3257" t="str">
            <v>USTSHC0111</v>
          </cell>
          <cell r="D3257" t="str">
            <v>CORE</v>
          </cell>
          <cell r="E3257" t="str">
            <v>CO25</v>
          </cell>
          <cell r="F3257">
            <v>1799</v>
          </cell>
          <cell r="G3257" t="str">
            <v>US</v>
          </cell>
          <cell r="H3257" t="str">
            <v>USPUSMPTS</v>
          </cell>
          <cell r="I3257" t="str">
            <v>USTSHC0111001</v>
          </cell>
          <cell r="J3257" t="str">
            <v>3XL</v>
          </cell>
          <cell r="K3257" t="str">
            <v>POLO T-SHIRT</v>
          </cell>
          <cell r="L3257" t="str">
            <v>NOD</v>
          </cell>
        </row>
        <row r="3258">
          <cell r="C3258" t="str">
            <v>USTSHC0111</v>
          </cell>
          <cell r="D3258" t="str">
            <v>CORE</v>
          </cell>
          <cell r="E3258" t="str">
            <v>CO25</v>
          </cell>
          <cell r="F3258">
            <v>1799</v>
          </cell>
          <cell r="G3258" t="str">
            <v>US</v>
          </cell>
          <cell r="H3258" t="str">
            <v>USPUSMPTS</v>
          </cell>
          <cell r="I3258" t="str">
            <v>USTSHC0111002</v>
          </cell>
          <cell r="J3258" t="str">
            <v>4XL</v>
          </cell>
          <cell r="K3258" t="str">
            <v>POLO T-SHIRT</v>
          </cell>
          <cell r="L3258" t="str">
            <v>NOD</v>
          </cell>
        </row>
        <row r="3259">
          <cell r="C3259" t="str">
            <v>USTSHC0111</v>
          </cell>
          <cell r="D3259" t="str">
            <v>CORE</v>
          </cell>
          <cell r="E3259" t="str">
            <v>CO25</v>
          </cell>
          <cell r="F3259">
            <v>1799</v>
          </cell>
          <cell r="G3259" t="str">
            <v>US</v>
          </cell>
          <cell r="H3259" t="str">
            <v>USPUSMPTS</v>
          </cell>
          <cell r="I3259" t="str">
            <v>USTSHC0111003</v>
          </cell>
          <cell r="J3259" t="str">
            <v>5XL</v>
          </cell>
          <cell r="K3259" t="str">
            <v>POLO T-SHIRT</v>
          </cell>
          <cell r="L3259" t="str">
            <v>NOD</v>
          </cell>
        </row>
        <row r="3260">
          <cell r="C3260" t="str">
            <v>USTSHC0111</v>
          </cell>
          <cell r="D3260" t="str">
            <v>CORE</v>
          </cell>
          <cell r="E3260" t="str">
            <v>CO25</v>
          </cell>
          <cell r="F3260">
            <v>1599</v>
          </cell>
          <cell r="G3260" t="str">
            <v>US</v>
          </cell>
          <cell r="H3260" t="str">
            <v>USPUSMPTS</v>
          </cell>
          <cell r="I3260" t="str">
            <v>USTSHC0111004</v>
          </cell>
          <cell r="J3260" t="str">
            <v>L</v>
          </cell>
          <cell r="K3260" t="str">
            <v>POLO T-SHIRT</v>
          </cell>
          <cell r="L3260" t="str">
            <v>NOD</v>
          </cell>
        </row>
        <row r="3261">
          <cell r="C3261" t="str">
            <v>USTSHC0111</v>
          </cell>
          <cell r="D3261" t="str">
            <v>CORE</v>
          </cell>
          <cell r="E3261" t="str">
            <v>CO25</v>
          </cell>
          <cell r="F3261">
            <v>1599</v>
          </cell>
          <cell r="G3261" t="str">
            <v>US</v>
          </cell>
          <cell r="H3261" t="str">
            <v>USPUSMPTS</v>
          </cell>
          <cell r="I3261" t="str">
            <v>USTSHC0111005</v>
          </cell>
          <cell r="J3261" t="str">
            <v>M</v>
          </cell>
          <cell r="K3261" t="str">
            <v>POLO T-SHIRT</v>
          </cell>
          <cell r="L3261" t="str">
            <v>NOD</v>
          </cell>
        </row>
        <row r="3262">
          <cell r="C3262" t="str">
            <v>USTSHC0111</v>
          </cell>
          <cell r="D3262" t="str">
            <v>CORE</v>
          </cell>
          <cell r="E3262" t="str">
            <v>CO25</v>
          </cell>
          <cell r="F3262">
            <v>1599</v>
          </cell>
          <cell r="G3262" t="str">
            <v>US</v>
          </cell>
          <cell r="H3262" t="str">
            <v>USPUSMPTS</v>
          </cell>
          <cell r="I3262" t="str">
            <v>USTSHC0111006</v>
          </cell>
          <cell r="J3262" t="str">
            <v>S</v>
          </cell>
          <cell r="K3262" t="str">
            <v>POLO T-SHIRT</v>
          </cell>
          <cell r="L3262" t="str">
            <v>NOD</v>
          </cell>
        </row>
        <row r="3263">
          <cell r="C3263" t="str">
            <v>USTSHC0111</v>
          </cell>
          <cell r="D3263" t="str">
            <v>CORE</v>
          </cell>
          <cell r="E3263" t="str">
            <v>CO25</v>
          </cell>
          <cell r="F3263">
            <v>1599</v>
          </cell>
          <cell r="G3263" t="str">
            <v>US</v>
          </cell>
          <cell r="H3263" t="str">
            <v>USPUSMPTS</v>
          </cell>
          <cell r="I3263" t="str">
            <v>USTSHC0111007</v>
          </cell>
          <cell r="J3263" t="str">
            <v>XL</v>
          </cell>
          <cell r="K3263" t="str">
            <v>POLO T-SHIRT</v>
          </cell>
          <cell r="L3263" t="str">
            <v>NOD</v>
          </cell>
        </row>
        <row r="3264">
          <cell r="C3264" t="str">
            <v>USTSHC0111</v>
          </cell>
          <cell r="D3264" t="str">
            <v>CORE</v>
          </cell>
          <cell r="E3264" t="str">
            <v>CO25</v>
          </cell>
          <cell r="F3264">
            <v>1599</v>
          </cell>
          <cell r="G3264" t="str">
            <v>US</v>
          </cell>
          <cell r="H3264" t="str">
            <v>USPUSMPTS</v>
          </cell>
          <cell r="I3264" t="str">
            <v>USTSHC0111008</v>
          </cell>
          <cell r="J3264" t="str">
            <v>XS</v>
          </cell>
          <cell r="K3264" t="str">
            <v>POLO T-SHIRT</v>
          </cell>
          <cell r="L3264" t="str">
            <v>NOD</v>
          </cell>
        </row>
        <row r="3265">
          <cell r="C3265" t="str">
            <v>USTSHC0111</v>
          </cell>
          <cell r="D3265" t="str">
            <v>CORE</v>
          </cell>
          <cell r="E3265" t="str">
            <v>CO25</v>
          </cell>
          <cell r="F3265">
            <v>1599</v>
          </cell>
          <cell r="G3265" t="str">
            <v>US</v>
          </cell>
          <cell r="H3265" t="str">
            <v>USPUSMPTS</v>
          </cell>
          <cell r="I3265" t="str">
            <v>USTSHC0111009</v>
          </cell>
          <cell r="J3265" t="str">
            <v>XXL</v>
          </cell>
          <cell r="K3265" t="str">
            <v>POLO T-SHIRT</v>
          </cell>
          <cell r="L3265" t="str">
            <v>NOD</v>
          </cell>
        </row>
        <row r="3266">
          <cell r="C3266" t="str">
            <v>USTSHC0112</v>
          </cell>
          <cell r="D3266" t="str">
            <v>CORE</v>
          </cell>
          <cell r="E3266" t="str">
            <v>CO25</v>
          </cell>
          <cell r="F3266">
            <v>1799</v>
          </cell>
          <cell r="G3266" t="str">
            <v>US</v>
          </cell>
          <cell r="H3266" t="str">
            <v>USPUSMPTS</v>
          </cell>
          <cell r="I3266" t="str">
            <v>USTSHC0112001</v>
          </cell>
          <cell r="J3266" t="str">
            <v>3XL</v>
          </cell>
          <cell r="K3266" t="str">
            <v>POLO T-SHIRT</v>
          </cell>
          <cell r="L3266" t="str">
            <v>NOD</v>
          </cell>
        </row>
        <row r="3267">
          <cell r="C3267" t="str">
            <v>USTSHC0112</v>
          </cell>
          <cell r="D3267" t="str">
            <v>CORE</v>
          </cell>
          <cell r="E3267" t="str">
            <v>CO25</v>
          </cell>
          <cell r="F3267">
            <v>1799</v>
          </cell>
          <cell r="G3267" t="str">
            <v>US</v>
          </cell>
          <cell r="H3267" t="str">
            <v>USPUSMPTS</v>
          </cell>
          <cell r="I3267" t="str">
            <v>USTSHC0112002</v>
          </cell>
          <cell r="J3267" t="str">
            <v>4XL</v>
          </cell>
          <cell r="K3267" t="str">
            <v>POLO T-SHIRT</v>
          </cell>
          <cell r="L3267" t="str">
            <v>NOD</v>
          </cell>
        </row>
        <row r="3268">
          <cell r="C3268" t="str">
            <v>USTSHC0112</v>
          </cell>
          <cell r="D3268" t="str">
            <v>CORE</v>
          </cell>
          <cell r="E3268" t="str">
            <v>CO25</v>
          </cell>
          <cell r="F3268">
            <v>1799</v>
          </cell>
          <cell r="G3268" t="str">
            <v>US</v>
          </cell>
          <cell r="H3268" t="str">
            <v>USPUSMPTS</v>
          </cell>
          <cell r="I3268" t="str">
            <v>USTSHC0112003</v>
          </cell>
          <cell r="J3268" t="str">
            <v>5XL</v>
          </cell>
          <cell r="K3268" t="str">
            <v>POLO T-SHIRT</v>
          </cell>
          <cell r="L3268" t="str">
            <v>NOD</v>
          </cell>
        </row>
        <row r="3269">
          <cell r="C3269" t="str">
            <v>USTSHC0112</v>
          </cell>
          <cell r="D3269" t="str">
            <v>CORE</v>
          </cell>
          <cell r="E3269" t="str">
            <v>CO25</v>
          </cell>
          <cell r="F3269">
            <v>1599</v>
          </cell>
          <cell r="G3269" t="str">
            <v>US</v>
          </cell>
          <cell r="H3269" t="str">
            <v>USPUSMPTS</v>
          </cell>
          <cell r="I3269" t="str">
            <v>USTSHC0112004</v>
          </cell>
          <cell r="J3269" t="str">
            <v>L</v>
          </cell>
          <cell r="K3269" t="str">
            <v>POLO T-SHIRT</v>
          </cell>
          <cell r="L3269" t="str">
            <v>NOD</v>
          </cell>
        </row>
        <row r="3270">
          <cell r="C3270" t="str">
            <v>USTSHC0112</v>
          </cell>
          <cell r="D3270" t="str">
            <v>CORE</v>
          </cell>
          <cell r="E3270" t="str">
            <v>CO25</v>
          </cell>
          <cell r="F3270">
            <v>1599</v>
          </cell>
          <cell r="G3270" t="str">
            <v>US</v>
          </cell>
          <cell r="H3270" t="str">
            <v>USPUSMPTS</v>
          </cell>
          <cell r="I3270" t="str">
            <v>USTSHC0112005</v>
          </cell>
          <cell r="J3270" t="str">
            <v>M</v>
          </cell>
          <cell r="K3270" t="str">
            <v>POLO T-SHIRT</v>
          </cell>
          <cell r="L3270" t="str">
            <v>NOD</v>
          </cell>
        </row>
        <row r="3271">
          <cell r="C3271" t="str">
            <v>USTSHC0112</v>
          </cell>
          <cell r="D3271" t="str">
            <v>CORE</v>
          </cell>
          <cell r="E3271" t="str">
            <v>CO25</v>
          </cell>
          <cell r="F3271">
            <v>1599</v>
          </cell>
          <cell r="G3271" t="str">
            <v>US</v>
          </cell>
          <cell r="H3271" t="str">
            <v>USPUSMPTS</v>
          </cell>
          <cell r="I3271" t="str">
            <v>USTSHC0112006</v>
          </cell>
          <cell r="J3271" t="str">
            <v>S</v>
          </cell>
          <cell r="K3271" t="str">
            <v>POLO T-SHIRT</v>
          </cell>
          <cell r="L3271" t="str">
            <v>NOD</v>
          </cell>
        </row>
        <row r="3272">
          <cell r="C3272" t="str">
            <v>USTSHC0112</v>
          </cell>
          <cell r="D3272" t="str">
            <v>CORE</v>
          </cell>
          <cell r="E3272" t="str">
            <v>CO25</v>
          </cell>
          <cell r="F3272">
            <v>1599</v>
          </cell>
          <cell r="G3272" t="str">
            <v>US</v>
          </cell>
          <cell r="H3272" t="str">
            <v>USPUSMPTS</v>
          </cell>
          <cell r="I3272" t="str">
            <v>USTSHC0112007</v>
          </cell>
          <cell r="J3272" t="str">
            <v>XL</v>
          </cell>
          <cell r="K3272" t="str">
            <v>POLO T-SHIRT</v>
          </cell>
          <cell r="L3272" t="str">
            <v>NOD</v>
          </cell>
        </row>
        <row r="3273">
          <cell r="C3273" t="str">
            <v>USTSHC0112</v>
          </cell>
          <cell r="D3273" t="str">
            <v>CORE</v>
          </cell>
          <cell r="E3273" t="str">
            <v>CO25</v>
          </cell>
          <cell r="F3273">
            <v>1599</v>
          </cell>
          <cell r="G3273" t="str">
            <v>US</v>
          </cell>
          <cell r="H3273" t="str">
            <v>USPUSMPTS</v>
          </cell>
          <cell r="I3273" t="str">
            <v>USTSHC0112008</v>
          </cell>
          <cell r="J3273" t="str">
            <v>XS</v>
          </cell>
          <cell r="K3273" t="str">
            <v>POLO T-SHIRT</v>
          </cell>
          <cell r="L3273" t="str">
            <v>NOD</v>
          </cell>
        </row>
        <row r="3274">
          <cell r="C3274" t="str">
            <v>USTSHC0112</v>
          </cell>
          <cell r="D3274" t="str">
            <v>CORE</v>
          </cell>
          <cell r="E3274" t="str">
            <v>CO25</v>
          </cell>
          <cell r="F3274">
            <v>1599</v>
          </cell>
          <cell r="G3274" t="str">
            <v>US</v>
          </cell>
          <cell r="H3274" t="str">
            <v>USPUSMPTS</v>
          </cell>
          <cell r="I3274" t="str">
            <v>USTSHC0112009</v>
          </cell>
          <cell r="J3274" t="str">
            <v>XXL</v>
          </cell>
          <cell r="K3274" t="str">
            <v>POLO T-SHIRT</v>
          </cell>
          <cell r="L3274" t="str">
            <v>NOD</v>
          </cell>
        </row>
        <row r="3275">
          <cell r="C3275" t="str">
            <v>USTSHC0113</v>
          </cell>
          <cell r="D3275" t="str">
            <v>CORE</v>
          </cell>
          <cell r="E3275" t="str">
            <v>CO25</v>
          </cell>
          <cell r="F3275">
            <v>1799</v>
          </cell>
          <cell r="G3275" t="str">
            <v>US</v>
          </cell>
          <cell r="H3275" t="str">
            <v>USPUSMPTS</v>
          </cell>
          <cell r="I3275" t="str">
            <v>USTSHC0113001</v>
          </cell>
          <cell r="J3275" t="str">
            <v>3XL</v>
          </cell>
          <cell r="K3275" t="str">
            <v>POLO T-SHIRT</v>
          </cell>
          <cell r="L3275" t="str">
            <v>NOD</v>
          </cell>
        </row>
        <row r="3276">
          <cell r="C3276" t="str">
            <v>USTSHC0113</v>
          </cell>
          <cell r="D3276" t="str">
            <v>CORE</v>
          </cell>
          <cell r="E3276" t="str">
            <v>CO25</v>
          </cell>
          <cell r="F3276">
            <v>1799</v>
          </cell>
          <cell r="G3276" t="str">
            <v>US</v>
          </cell>
          <cell r="H3276" t="str">
            <v>USPUSMPTS</v>
          </cell>
          <cell r="I3276" t="str">
            <v>USTSHC0113002</v>
          </cell>
          <cell r="J3276" t="str">
            <v>4XL</v>
          </cell>
          <cell r="K3276" t="str">
            <v>POLO T-SHIRT</v>
          </cell>
          <cell r="L3276" t="str">
            <v>NOD</v>
          </cell>
        </row>
        <row r="3277">
          <cell r="C3277" t="str">
            <v>USTSHC0113</v>
          </cell>
          <cell r="D3277" t="str">
            <v>CORE</v>
          </cell>
          <cell r="E3277" t="str">
            <v>CO25</v>
          </cell>
          <cell r="F3277">
            <v>1799</v>
          </cell>
          <cell r="G3277" t="str">
            <v>US</v>
          </cell>
          <cell r="H3277" t="str">
            <v>USPUSMPTS</v>
          </cell>
          <cell r="I3277" t="str">
            <v>USTSHC0113003</v>
          </cell>
          <cell r="J3277" t="str">
            <v>5XL</v>
          </cell>
          <cell r="K3277" t="str">
            <v>POLO T-SHIRT</v>
          </cell>
          <cell r="L3277" t="str">
            <v>NOD</v>
          </cell>
        </row>
        <row r="3278">
          <cell r="C3278" t="str">
            <v>USTSHC0113</v>
          </cell>
          <cell r="D3278" t="str">
            <v>CORE</v>
          </cell>
          <cell r="E3278" t="str">
            <v>CO25</v>
          </cell>
          <cell r="F3278">
            <v>1599</v>
          </cell>
          <cell r="G3278" t="str">
            <v>US</v>
          </cell>
          <cell r="H3278" t="str">
            <v>USPUSMPTS</v>
          </cell>
          <cell r="I3278" t="str">
            <v>USTSHC0113004</v>
          </cell>
          <cell r="J3278" t="str">
            <v>L</v>
          </cell>
          <cell r="K3278" t="str">
            <v>POLO T-SHIRT</v>
          </cell>
          <cell r="L3278" t="str">
            <v>NOD</v>
          </cell>
        </row>
        <row r="3279">
          <cell r="C3279" t="str">
            <v>USTSHC0113</v>
          </cell>
          <cell r="D3279" t="str">
            <v>CORE</v>
          </cell>
          <cell r="E3279" t="str">
            <v>CO25</v>
          </cell>
          <cell r="F3279">
            <v>1599</v>
          </cell>
          <cell r="G3279" t="str">
            <v>US</v>
          </cell>
          <cell r="H3279" t="str">
            <v>USPUSMPTS</v>
          </cell>
          <cell r="I3279" t="str">
            <v>USTSHC0113005</v>
          </cell>
          <cell r="J3279" t="str">
            <v>M</v>
          </cell>
          <cell r="K3279" t="str">
            <v>POLO T-SHIRT</v>
          </cell>
          <cell r="L3279" t="str">
            <v>NOD</v>
          </cell>
        </row>
        <row r="3280">
          <cell r="C3280" t="str">
            <v>USTSHC0113</v>
          </cell>
          <cell r="D3280" t="str">
            <v>CORE</v>
          </cell>
          <cell r="E3280" t="str">
            <v>CO25</v>
          </cell>
          <cell r="F3280">
            <v>1599</v>
          </cell>
          <cell r="G3280" t="str">
            <v>US</v>
          </cell>
          <cell r="H3280" t="str">
            <v>USPUSMPTS</v>
          </cell>
          <cell r="I3280" t="str">
            <v>USTSHC0113006</v>
          </cell>
          <cell r="J3280" t="str">
            <v>S</v>
          </cell>
          <cell r="K3280" t="str">
            <v>POLO T-SHIRT</v>
          </cell>
          <cell r="L3280" t="str">
            <v>NOD</v>
          </cell>
        </row>
        <row r="3281">
          <cell r="C3281" t="str">
            <v>USTSHC0113</v>
          </cell>
          <cell r="D3281" t="str">
            <v>CORE</v>
          </cell>
          <cell r="E3281" t="str">
            <v>CO25</v>
          </cell>
          <cell r="F3281">
            <v>1599</v>
          </cell>
          <cell r="G3281" t="str">
            <v>US</v>
          </cell>
          <cell r="H3281" t="str">
            <v>USPUSMPTS</v>
          </cell>
          <cell r="I3281" t="str">
            <v>USTSHC0113007</v>
          </cell>
          <cell r="J3281" t="str">
            <v>XL</v>
          </cell>
          <cell r="K3281" t="str">
            <v>POLO T-SHIRT</v>
          </cell>
          <cell r="L3281" t="str">
            <v>NOD</v>
          </cell>
        </row>
        <row r="3282">
          <cell r="C3282" t="str">
            <v>USTSHC0113</v>
          </cell>
          <cell r="D3282" t="str">
            <v>CORE</v>
          </cell>
          <cell r="E3282" t="str">
            <v>CO25</v>
          </cell>
          <cell r="F3282">
            <v>1599</v>
          </cell>
          <cell r="G3282" t="str">
            <v>US</v>
          </cell>
          <cell r="H3282" t="str">
            <v>USPUSMPTS</v>
          </cell>
          <cell r="I3282" t="str">
            <v>USTSHC0113008</v>
          </cell>
          <cell r="J3282" t="str">
            <v>XS</v>
          </cell>
          <cell r="K3282" t="str">
            <v>POLO T-SHIRT</v>
          </cell>
          <cell r="L3282" t="str">
            <v>NOD</v>
          </cell>
        </row>
        <row r="3283">
          <cell r="C3283" t="str">
            <v>USTSHC0113</v>
          </cell>
          <cell r="D3283" t="str">
            <v>CORE</v>
          </cell>
          <cell r="E3283" t="str">
            <v>CO25</v>
          </cell>
          <cell r="F3283">
            <v>1599</v>
          </cell>
          <cell r="G3283" t="str">
            <v>US</v>
          </cell>
          <cell r="H3283" t="str">
            <v>USPUSMPTS</v>
          </cell>
          <cell r="I3283" t="str">
            <v>USTSHC0113009</v>
          </cell>
          <cell r="J3283" t="str">
            <v>XXL</v>
          </cell>
          <cell r="K3283" t="str">
            <v>POLO T-SHIRT</v>
          </cell>
          <cell r="L3283" t="str">
            <v>NOD</v>
          </cell>
        </row>
        <row r="3284">
          <cell r="C3284" t="str">
            <v>USTSHC0114</v>
          </cell>
          <cell r="D3284" t="str">
            <v>CORE</v>
          </cell>
          <cell r="E3284" t="str">
            <v>CO25</v>
          </cell>
          <cell r="F3284">
            <v>1799</v>
          </cell>
          <cell r="G3284" t="str">
            <v>US</v>
          </cell>
          <cell r="H3284" t="str">
            <v>USPUSMPTS</v>
          </cell>
          <cell r="I3284" t="str">
            <v>USTSHC0114001</v>
          </cell>
          <cell r="J3284" t="str">
            <v>3XL</v>
          </cell>
          <cell r="K3284" t="str">
            <v>POLO T-SHIRT</v>
          </cell>
          <cell r="L3284" t="str">
            <v>NOD</v>
          </cell>
        </row>
        <row r="3285">
          <cell r="C3285" t="str">
            <v>USTSHC0114</v>
          </cell>
          <cell r="D3285" t="str">
            <v>CORE</v>
          </cell>
          <cell r="E3285" t="str">
            <v>CO25</v>
          </cell>
          <cell r="F3285">
            <v>1799</v>
          </cell>
          <cell r="G3285" t="str">
            <v>US</v>
          </cell>
          <cell r="H3285" t="str">
            <v>USPUSMPTS</v>
          </cell>
          <cell r="I3285" t="str">
            <v>USTSHC0114002</v>
          </cell>
          <cell r="J3285" t="str">
            <v>4XL</v>
          </cell>
          <cell r="K3285" t="str">
            <v>POLO T-SHIRT</v>
          </cell>
          <cell r="L3285" t="str">
            <v>NOD</v>
          </cell>
        </row>
        <row r="3286">
          <cell r="C3286" t="str">
            <v>USTSHC0114</v>
          </cell>
          <cell r="D3286" t="str">
            <v>CORE</v>
          </cell>
          <cell r="E3286" t="str">
            <v>CO25</v>
          </cell>
          <cell r="F3286">
            <v>1799</v>
          </cell>
          <cell r="G3286" t="str">
            <v>US</v>
          </cell>
          <cell r="H3286" t="str">
            <v>USPUSMPTS</v>
          </cell>
          <cell r="I3286" t="str">
            <v>USTSHC0114003</v>
          </cell>
          <cell r="J3286" t="str">
            <v>5XL</v>
          </cell>
          <cell r="K3286" t="str">
            <v>POLO T-SHIRT</v>
          </cell>
          <cell r="L3286" t="str">
            <v>NOD</v>
          </cell>
        </row>
        <row r="3287">
          <cell r="C3287" t="str">
            <v>USTSHC0114</v>
          </cell>
          <cell r="D3287" t="str">
            <v>CORE</v>
          </cell>
          <cell r="E3287" t="str">
            <v>CO25</v>
          </cell>
          <cell r="F3287">
            <v>1599</v>
          </cell>
          <cell r="G3287" t="str">
            <v>US</v>
          </cell>
          <cell r="H3287" t="str">
            <v>USPUSMPTS</v>
          </cell>
          <cell r="I3287" t="str">
            <v>USTSHC0114004</v>
          </cell>
          <cell r="J3287" t="str">
            <v>L</v>
          </cell>
          <cell r="K3287" t="str">
            <v>POLO T-SHIRT</v>
          </cell>
          <cell r="L3287" t="str">
            <v>NOD</v>
          </cell>
        </row>
        <row r="3288">
          <cell r="C3288" t="str">
            <v>USTSHC0114</v>
          </cell>
          <cell r="D3288" t="str">
            <v>CORE</v>
          </cell>
          <cell r="E3288" t="str">
            <v>CO25</v>
          </cell>
          <cell r="F3288">
            <v>1599</v>
          </cell>
          <cell r="G3288" t="str">
            <v>US</v>
          </cell>
          <cell r="H3288" t="str">
            <v>USPUSMPTS</v>
          </cell>
          <cell r="I3288" t="str">
            <v>USTSHC0114005</v>
          </cell>
          <cell r="J3288" t="str">
            <v>M</v>
          </cell>
          <cell r="K3288" t="str">
            <v>POLO T-SHIRT</v>
          </cell>
          <cell r="L3288" t="str">
            <v>NOD</v>
          </cell>
        </row>
        <row r="3289">
          <cell r="C3289" t="str">
            <v>USTSHC0114</v>
          </cell>
          <cell r="D3289" t="str">
            <v>CORE</v>
          </cell>
          <cell r="E3289" t="str">
            <v>CO25</v>
          </cell>
          <cell r="F3289">
            <v>1599</v>
          </cell>
          <cell r="G3289" t="str">
            <v>US</v>
          </cell>
          <cell r="H3289" t="str">
            <v>USPUSMPTS</v>
          </cell>
          <cell r="I3289" t="str">
            <v>USTSHC0114006</v>
          </cell>
          <cell r="J3289" t="str">
            <v>S</v>
          </cell>
          <cell r="K3289" t="str">
            <v>POLO T-SHIRT</v>
          </cell>
          <cell r="L3289" t="str">
            <v>NOD</v>
          </cell>
        </row>
        <row r="3290">
          <cell r="C3290" t="str">
            <v>USTSHC0114</v>
          </cell>
          <cell r="D3290" t="str">
            <v>CORE</v>
          </cell>
          <cell r="E3290" t="str">
            <v>CO25</v>
          </cell>
          <cell r="F3290">
            <v>1599</v>
          </cell>
          <cell r="G3290" t="str">
            <v>US</v>
          </cell>
          <cell r="H3290" t="str">
            <v>USPUSMPTS</v>
          </cell>
          <cell r="I3290" t="str">
            <v>USTSHC0114007</v>
          </cell>
          <cell r="J3290" t="str">
            <v>XL</v>
          </cell>
          <cell r="K3290" t="str">
            <v>POLO T-SHIRT</v>
          </cell>
          <cell r="L3290" t="str">
            <v>NOD</v>
          </cell>
        </row>
        <row r="3291">
          <cell r="C3291" t="str">
            <v>USTSHC0114</v>
          </cell>
          <cell r="D3291" t="str">
            <v>CORE</v>
          </cell>
          <cell r="E3291" t="str">
            <v>CO25</v>
          </cell>
          <cell r="F3291">
            <v>1599</v>
          </cell>
          <cell r="G3291" t="str">
            <v>US</v>
          </cell>
          <cell r="H3291" t="str">
            <v>USPUSMPTS</v>
          </cell>
          <cell r="I3291" t="str">
            <v>USTSHC0114008</v>
          </cell>
          <cell r="J3291" t="str">
            <v>XS</v>
          </cell>
          <cell r="K3291" t="str">
            <v>POLO T-SHIRT</v>
          </cell>
          <cell r="L3291" t="str">
            <v>NOD</v>
          </cell>
        </row>
        <row r="3292">
          <cell r="C3292" t="str">
            <v>USTSHC0114</v>
          </cell>
          <cell r="D3292" t="str">
            <v>CORE</v>
          </cell>
          <cell r="E3292" t="str">
            <v>CO25</v>
          </cell>
          <cell r="F3292">
            <v>1599</v>
          </cell>
          <cell r="G3292" t="str">
            <v>US</v>
          </cell>
          <cell r="H3292" t="str">
            <v>USPUSMPTS</v>
          </cell>
          <cell r="I3292" t="str">
            <v>USTSHC0114009</v>
          </cell>
          <cell r="J3292" t="str">
            <v>XXL</v>
          </cell>
          <cell r="K3292" t="str">
            <v>POLO T-SHIRT</v>
          </cell>
          <cell r="L3292" t="str">
            <v>NOD</v>
          </cell>
        </row>
        <row r="3293">
          <cell r="C3293" t="str">
            <v>USTSHC0115</v>
          </cell>
          <cell r="D3293" t="str">
            <v>CORE</v>
          </cell>
          <cell r="E3293" t="str">
            <v>CO25</v>
          </cell>
          <cell r="F3293">
            <v>1799</v>
          </cell>
          <cell r="G3293" t="str">
            <v>US</v>
          </cell>
          <cell r="H3293" t="str">
            <v>USPUSMPTS</v>
          </cell>
          <cell r="I3293" t="str">
            <v>USTSHC0115001</v>
          </cell>
          <cell r="J3293" t="str">
            <v>3XL</v>
          </cell>
          <cell r="K3293" t="str">
            <v>POLO T-SHIRT</v>
          </cell>
          <cell r="L3293" t="str">
            <v>NOD</v>
          </cell>
        </row>
        <row r="3294">
          <cell r="C3294" t="str">
            <v>USTSHC0115</v>
          </cell>
          <cell r="D3294" t="str">
            <v>CORE</v>
          </cell>
          <cell r="E3294" t="str">
            <v>CO25</v>
          </cell>
          <cell r="F3294">
            <v>1799</v>
          </cell>
          <cell r="G3294" t="str">
            <v>US</v>
          </cell>
          <cell r="H3294" t="str">
            <v>USPUSMPTS</v>
          </cell>
          <cell r="I3294" t="str">
            <v>USTSHC0115002</v>
          </cell>
          <cell r="J3294" t="str">
            <v>4XL</v>
          </cell>
          <cell r="K3294" t="str">
            <v>POLO T-SHIRT</v>
          </cell>
          <cell r="L3294" t="str">
            <v>NOD</v>
          </cell>
        </row>
        <row r="3295">
          <cell r="C3295" t="str">
            <v>USTSHC0115</v>
          </cell>
          <cell r="D3295" t="str">
            <v>CORE</v>
          </cell>
          <cell r="E3295" t="str">
            <v>CO25</v>
          </cell>
          <cell r="F3295">
            <v>1799</v>
          </cell>
          <cell r="G3295" t="str">
            <v>US</v>
          </cell>
          <cell r="H3295" t="str">
            <v>USPUSMPTS</v>
          </cell>
          <cell r="I3295" t="str">
            <v>USTSHC0115003</v>
          </cell>
          <cell r="J3295" t="str">
            <v>5XL</v>
          </cell>
          <cell r="K3295" t="str">
            <v>POLO T-SHIRT</v>
          </cell>
          <cell r="L3295" t="str">
            <v>NOD</v>
          </cell>
        </row>
        <row r="3296">
          <cell r="C3296" t="str">
            <v>USTSHC0115</v>
          </cell>
          <cell r="D3296" t="str">
            <v>CORE</v>
          </cell>
          <cell r="E3296" t="str">
            <v>CO25</v>
          </cell>
          <cell r="F3296">
            <v>1599</v>
          </cell>
          <cell r="G3296" t="str">
            <v>US</v>
          </cell>
          <cell r="H3296" t="str">
            <v>USPUSMPTS</v>
          </cell>
          <cell r="I3296" t="str">
            <v>USTSHC0115004</v>
          </cell>
          <cell r="J3296" t="str">
            <v>L</v>
          </cell>
          <cell r="K3296" t="str">
            <v>POLO T-SHIRT</v>
          </cell>
          <cell r="L3296" t="str">
            <v>NOD</v>
          </cell>
        </row>
        <row r="3297">
          <cell r="C3297" t="str">
            <v>USTSHC0115</v>
          </cell>
          <cell r="D3297" t="str">
            <v>CORE</v>
          </cell>
          <cell r="E3297" t="str">
            <v>CO25</v>
          </cell>
          <cell r="F3297">
            <v>1599</v>
          </cell>
          <cell r="G3297" t="str">
            <v>US</v>
          </cell>
          <cell r="H3297" t="str">
            <v>USPUSMPTS</v>
          </cell>
          <cell r="I3297" t="str">
            <v>USTSHC0115005</v>
          </cell>
          <cell r="J3297" t="str">
            <v>M</v>
          </cell>
          <cell r="K3297" t="str">
            <v>POLO T-SHIRT</v>
          </cell>
          <cell r="L3297" t="str">
            <v>NOD</v>
          </cell>
        </row>
        <row r="3298">
          <cell r="C3298" t="str">
            <v>USTSHC0115</v>
          </cell>
          <cell r="D3298" t="str">
            <v>CORE</v>
          </cell>
          <cell r="E3298" t="str">
            <v>CO25</v>
          </cell>
          <cell r="F3298">
            <v>1599</v>
          </cell>
          <cell r="G3298" t="str">
            <v>US</v>
          </cell>
          <cell r="H3298" t="str">
            <v>USPUSMPTS</v>
          </cell>
          <cell r="I3298" t="str">
            <v>USTSHC0115006</v>
          </cell>
          <cell r="J3298" t="str">
            <v>S</v>
          </cell>
          <cell r="K3298" t="str">
            <v>POLO T-SHIRT</v>
          </cell>
          <cell r="L3298" t="str">
            <v>NOD</v>
          </cell>
        </row>
        <row r="3299">
          <cell r="C3299" t="str">
            <v>USTSHC0115</v>
          </cell>
          <cell r="D3299" t="str">
            <v>CORE</v>
          </cell>
          <cell r="E3299" t="str">
            <v>CO25</v>
          </cell>
          <cell r="F3299">
            <v>1599</v>
          </cell>
          <cell r="G3299" t="str">
            <v>US</v>
          </cell>
          <cell r="H3299" t="str">
            <v>USPUSMPTS</v>
          </cell>
          <cell r="I3299" t="str">
            <v>USTSHC0115007</v>
          </cell>
          <cell r="J3299" t="str">
            <v>XL</v>
          </cell>
          <cell r="K3299" t="str">
            <v>POLO T-SHIRT</v>
          </cell>
          <cell r="L3299" t="str">
            <v>NOD</v>
          </cell>
        </row>
        <row r="3300">
          <cell r="C3300" t="str">
            <v>USTSHC0115</v>
          </cell>
          <cell r="D3300" t="str">
            <v>CORE</v>
          </cell>
          <cell r="E3300" t="str">
            <v>CO25</v>
          </cell>
          <cell r="F3300">
            <v>1599</v>
          </cell>
          <cell r="G3300" t="str">
            <v>US</v>
          </cell>
          <cell r="H3300" t="str">
            <v>USPUSMPTS</v>
          </cell>
          <cell r="I3300" t="str">
            <v>USTSHC0115008</v>
          </cell>
          <cell r="J3300" t="str">
            <v>XS</v>
          </cell>
          <cell r="K3300" t="str">
            <v>POLO T-SHIRT</v>
          </cell>
          <cell r="L3300" t="str">
            <v>NOD</v>
          </cell>
        </row>
        <row r="3301">
          <cell r="C3301" t="str">
            <v>USTSHC0115</v>
          </cell>
          <cell r="D3301" t="str">
            <v>CORE</v>
          </cell>
          <cell r="E3301" t="str">
            <v>CO25</v>
          </cell>
          <cell r="F3301">
            <v>1599</v>
          </cell>
          <cell r="G3301" t="str">
            <v>US</v>
          </cell>
          <cell r="H3301" t="str">
            <v>USPUSMPTS</v>
          </cell>
          <cell r="I3301" t="str">
            <v>USTSHC0115009</v>
          </cell>
          <cell r="J3301" t="str">
            <v>XXL</v>
          </cell>
          <cell r="K3301" t="str">
            <v>POLO T-SHIRT</v>
          </cell>
          <cell r="L3301" t="str">
            <v>NOD</v>
          </cell>
        </row>
        <row r="3302">
          <cell r="C3302" t="str">
            <v>USTSHC0116</v>
          </cell>
          <cell r="D3302" t="str">
            <v>CORE</v>
          </cell>
          <cell r="E3302" t="str">
            <v>CO25</v>
          </cell>
          <cell r="F3302">
            <v>1799</v>
          </cell>
          <cell r="G3302" t="str">
            <v>US</v>
          </cell>
          <cell r="H3302" t="str">
            <v>USPUSMPTS</v>
          </cell>
          <cell r="I3302" t="str">
            <v>USTSHC0116001</v>
          </cell>
          <cell r="J3302" t="str">
            <v>3XL</v>
          </cell>
          <cell r="K3302" t="str">
            <v>POLO T-SHIRT</v>
          </cell>
          <cell r="L3302" t="str">
            <v>NOD</v>
          </cell>
        </row>
        <row r="3303">
          <cell r="C3303" t="str">
            <v>USTSHC0116</v>
          </cell>
          <cell r="D3303" t="str">
            <v>CORE</v>
          </cell>
          <cell r="E3303" t="str">
            <v>CO25</v>
          </cell>
          <cell r="F3303">
            <v>1799</v>
          </cell>
          <cell r="G3303" t="str">
            <v>US</v>
          </cell>
          <cell r="H3303" t="str">
            <v>USPUSMPTS</v>
          </cell>
          <cell r="I3303" t="str">
            <v>USTSHC0116002</v>
          </cell>
          <cell r="J3303" t="str">
            <v>4XL</v>
          </cell>
          <cell r="K3303" t="str">
            <v>POLO T-SHIRT</v>
          </cell>
          <cell r="L3303" t="str">
            <v>NOD</v>
          </cell>
        </row>
        <row r="3304">
          <cell r="C3304" t="str">
            <v>USTSHC0116</v>
          </cell>
          <cell r="D3304" t="str">
            <v>CORE</v>
          </cell>
          <cell r="E3304" t="str">
            <v>CO25</v>
          </cell>
          <cell r="F3304">
            <v>1799</v>
          </cell>
          <cell r="G3304" t="str">
            <v>US</v>
          </cell>
          <cell r="H3304" t="str">
            <v>USPUSMPTS</v>
          </cell>
          <cell r="I3304" t="str">
            <v>USTSHC0116003</v>
          </cell>
          <cell r="J3304" t="str">
            <v>5XL</v>
          </cell>
          <cell r="K3304" t="str">
            <v>POLO T-SHIRT</v>
          </cell>
          <cell r="L3304" t="str">
            <v>NOD</v>
          </cell>
        </row>
        <row r="3305">
          <cell r="C3305" t="str">
            <v>USTSHC0116</v>
          </cell>
          <cell r="D3305" t="str">
            <v>CORE</v>
          </cell>
          <cell r="E3305" t="str">
            <v>CO25</v>
          </cell>
          <cell r="F3305">
            <v>1599</v>
          </cell>
          <cell r="G3305" t="str">
            <v>US</v>
          </cell>
          <cell r="H3305" t="str">
            <v>USPUSMPTS</v>
          </cell>
          <cell r="I3305" t="str">
            <v>USTSHC0116004</v>
          </cell>
          <cell r="J3305" t="str">
            <v>L</v>
          </cell>
          <cell r="K3305" t="str">
            <v>POLO T-SHIRT</v>
          </cell>
          <cell r="L3305" t="str">
            <v>NOD</v>
          </cell>
        </row>
        <row r="3306">
          <cell r="C3306" t="str">
            <v>USTSHC0116</v>
          </cell>
          <cell r="D3306" t="str">
            <v>CORE</v>
          </cell>
          <cell r="E3306" t="str">
            <v>CO25</v>
          </cell>
          <cell r="F3306">
            <v>1599</v>
          </cell>
          <cell r="G3306" t="str">
            <v>US</v>
          </cell>
          <cell r="H3306" t="str">
            <v>USPUSMPTS</v>
          </cell>
          <cell r="I3306" t="str">
            <v>USTSHC0116005</v>
          </cell>
          <cell r="J3306" t="str">
            <v>M</v>
          </cell>
          <cell r="K3306" t="str">
            <v>POLO T-SHIRT</v>
          </cell>
          <cell r="L3306" t="str">
            <v>NOD</v>
          </cell>
        </row>
        <row r="3307">
          <cell r="C3307" t="str">
            <v>USTSHC0116</v>
          </cell>
          <cell r="D3307" t="str">
            <v>CORE</v>
          </cell>
          <cell r="E3307" t="str">
            <v>CO25</v>
          </cell>
          <cell r="F3307">
            <v>1599</v>
          </cell>
          <cell r="G3307" t="str">
            <v>US</v>
          </cell>
          <cell r="H3307" t="str">
            <v>USPUSMPTS</v>
          </cell>
          <cell r="I3307" t="str">
            <v>USTSHC0116006</v>
          </cell>
          <cell r="J3307" t="str">
            <v>S</v>
          </cell>
          <cell r="K3307" t="str">
            <v>POLO T-SHIRT</v>
          </cell>
          <cell r="L3307" t="str">
            <v>NOD</v>
          </cell>
        </row>
        <row r="3308">
          <cell r="C3308" t="str">
            <v>USTSHC0116</v>
          </cell>
          <cell r="D3308" t="str">
            <v>CORE</v>
          </cell>
          <cell r="E3308" t="str">
            <v>CO25</v>
          </cell>
          <cell r="F3308">
            <v>1599</v>
          </cell>
          <cell r="G3308" t="str">
            <v>US</v>
          </cell>
          <cell r="H3308" t="str">
            <v>USPUSMPTS</v>
          </cell>
          <cell r="I3308" t="str">
            <v>USTSHC0116007</v>
          </cell>
          <cell r="J3308" t="str">
            <v>XL</v>
          </cell>
          <cell r="K3308" t="str">
            <v>POLO T-SHIRT</v>
          </cell>
          <cell r="L3308" t="str">
            <v>NOD</v>
          </cell>
        </row>
        <row r="3309">
          <cell r="C3309" t="str">
            <v>USTSHC0116</v>
          </cell>
          <cell r="D3309" t="str">
            <v>CORE</v>
          </cell>
          <cell r="E3309" t="str">
            <v>CO25</v>
          </cell>
          <cell r="F3309">
            <v>1599</v>
          </cell>
          <cell r="G3309" t="str">
            <v>US</v>
          </cell>
          <cell r="H3309" t="str">
            <v>USPUSMPTS</v>
          </cell>
          <cell r="I3309" t="str">
            <v>USTSHC0116008</v>
          </cell>
          <cell r="J3309" t="str">
            <v>XS</v>
          </cell>
          <cell r="K3309" t="str">
            <v>POLO T-SHIRT</v>
          </cell>
          <cell r="L3309" t="str">
            <v>NOD</v>
          </cell>
        </row>
        <row r="3310">
          <cell r="C3310" t="str">
            <v>USTSHC0116</v>
          </cell>
          <cell r="D3310" t="str">
            <v>CORE</v>
          </cell>
          <cell r="E3310" t="str">
            <v>CO25</v>
          </cell>
          <cell r="F3310">
            <v>1599</v>
          </cell>
          <cell r="G3310" t="str">
            <v>US</v>
          </cell>
          <cell r="H3310" t="str">
            <v>USPUSMPTS</v>
          </cell>
          <cell r="I3310" t="str">
            <v>USTSHC0116009</v>
          </cell>
          <cell r="J3310" t="str">
            <v>XXL</v>
          </cell>
          <cell r="K3310" t="str">
            <v>POLO T-SHIRT</v>
          </cell>
          <cell r="L3310" t="str">
            <v>NOD</v>
          </cell>
        </row>
        <row r="3311">
          <cell r="C3311" t="str">
            <v>USTSHC0117</v>
          </cell>
          <cell r="D3311" t="str">
            <v>CORE</v>
          </cell>
          <cell r="E3311" t="str">
            <v>CO25</v>
          </cell>
          <cell r="F3311">
            <v>1799</v>
          </cell>
          <cell r="G3311" t="str">
            <v>US</v>
          </cell>
          <cell r="H3311" t="str">
            <v>USPUSMPTS</v>
          </cell>
          <cell r="I3311" t="str">
            <v>USTSHC0117001</v>
          </cell>
          <cell r="J3311" t="str">
            <v>3XL</v>
          </cell>
          <cell r="K3311" t="str">
            <v>POLO T-SHIRT</v>
          </cell>
          <cell r="L3311" t="str">
            <v>NOD</v>
          </cell>
        </row>
        <row r="3312">
          <cell r="C3312" t="str">
            <v>USTSHC0117</v>
          </cell>
          <cell r="D3312" t="str">
            <v>CORE</v>
          </cell>
          <cell r="E3312" t="str">
            <v>CO25</v>
          </cell>
          <cell r="F3312">
            <v>1799</v>
          </cell>
          <cell r="G3312" t="str">
            <v>US</v>
          </cell>
          <cell r="H3312" t="str">
            <v>USPUSMPTS</v>
          </cell>
          <cell r="I3312" t="str">
            <v>USTSHC0117002</v>
          </cell>
          <cell r="J3312" t="str">
            <v>4XL</v>
          </cell>
          <cell r="K3312" t="str">
            <v>POLO T-SHIRT</v>
          </cell>
          <cell r="L3312" t="str">
            <v>NOD</v>
          </cell>
        </row>
        <row r="3313">
          <cell r="C3313" t="str">
            <v>USTSHC0117</v>
          </cell>
          <cell r="D3313" t="str">
            <v>CORE</v>
          </cell>
          <cell r="E3313" t="str">
            <v>CO25</v>
          </cell>
          <cell r="F3313">
            <v>1799</v>
          </cell>
          <cell r="G3313" t="str">
            <v>US</v>
          </cell>
          <cell r="H3313" t="str">
            <v>USPUSMPTS</v>
          </cell>
          <cell r="I3313" t="str">
            <v>USTSHC0117003</v>
          </cell>
          <cell r="J3313" t="str">
            <v>5XL</v>
          </cell>
          <cell r="K3313" t="str">
            <v>POLO T-SHIRT</v>
          </cell>
          <cell r="L3313" t="str">
            <v>NOD</v>
          </cell>
        </row>
        <row r="3314">
          <cell r="C3314" t="str">
            <v>USTSHC0117</v>
          </cell>
          <cell r="D3314" t="str">
            <v>CORE</v>
          </cell>
          <cell r="E3314" t="str">
            <v>CO25</v>
          </cell>
          <cell r="F3314">
            <v>1599</v>
          </cell>
          <cell r="G3314" t="str">
            <v>US</v>
          </cell>
          <cell r="H3314" t="str">
            <v>USPUSMPTS</v>
          </cell>
          <cell r="I3314" t="str">
            <v>USTSHC0117004</v>
          </cell>
          <cell r="J3314" t="str">
            <v>L</v>
          </cell>
          <cell r="K3314" t="str">
            <v>POLO T-SHIRT</v>
          </cell>
          <cell r="L3314" t="str">
            <v>NOD</v>
          </cell>
        </row>
        <row r="3315">
          <cell r="C3315" t="str">
            <v>USTSHC0117</v>
          </cell>
          <cell r="D3315" t="str">
            <v>CORE</v>
          </cell>
          <cell r="E3315" t="str">
            <v>CO25</v>
          </cell>
          <cell r="F3315">
            <v>1599</v>
          </cell>
          <cell r="G3315" t="str">
            <v>US</v>
          </cell>
          <cell r="H3315" t="str">
            <v>USPUSMPTS</v>
          </cell>
          <cell r="I3315" t="str">
            <v>USTSHC0117005</v>
          </cell>
          <cell r="J3315" t="str">
            <v>M</v>
          </cell>
          <cell r="K3315" t="str">
            <v>POLO T-SHIRT</v>
          </cell>
          <cell r="L3315" t="str">
            <v>NOD</v>
          </cell>
        </row>
        <row r="3316">
          <cell r="C3316" t="str">
            <v>USTSHC0117</v>
          </cell>
          <cell r="D3316" t="str">
            <v>CORE</v>
          </cell>
          <cell r="E3316" t="str">
            <v>CO25</v>
          </cell>
          <cell r="F3316">
            <v>1599</v>
          </cell>
          <cell r="G3316" t="str">
            <v>US</v>
          </cell>
          <cell r="H3316" t="str">
            <v>USPUSMPTS</v>
          </cell>
          <cell r="I3316" t="str">
            <v>USTSHC0117006</v>
          </cell>
          <cell r="J3316" t="str">
            <v>S</v>
          </cell>
          <cell r="K3316" t="str">
            <v>POLO T-SHIRT</v>
          </cell>
          <cell r="L3316" t="str">
            <v>NOD</v>
          </cell>
        </row>
        <row r="3317">
          <cell r="C3317" t="str">
            <v>USTSHC0117</v>
          </cell>
          <cell r="D3317" t="str">
            <v>CORE</v>
          </cell>
          <cell r="E3317" t="str">
            <v>CO25</v>
          </cell>
          <cell r="F3317">
            <v>1599</v>
          </cell>
          <cell r="G3317" t="str">
            <v>US</v>
          </cell>
          <cell r="H3317" t="str">
            <v>USPUSMPTS</v>
          </cell>
          <cell r="I3317" t="str">
            <v>USTSHC0117007</v>
          </cell>
          <cell r="J3317" t="str">
            <v>XL</v>
          </cell>
          <cell r="K3317" t="str">
            <v>POLO T-SHIRT</v>
          </cell>
          <cell r="L3317" t="str">
            <v>NOD</v>
          </cell>
        </row>
        <row r="3318">
          <cell r="C3318" t="str">
            <v>USTSHC0117</v>
          </cell>
          <cell r="D3318" t="str">
            <v>CORE</v>
          </cell>
          <cell r="E3318" t="str">
            <v>CO25</v>
          </cell>
          <cell r="F3318">
            <v>1599</v>
          </cell>
          <cell r="G3318" t="str">
            <v>US</v>
          </cell>
          <cell r="H3318" t="str">
            <v>USPUSMPTS</v>
          </cell>
          <cell r="I3318" t="str">
            <v>USTSHC0117008</v>
          </cell>
          <cell r="J3318" t="str">
            <v>XS</v>
          </cell>
          <cell r="K3318" t="str">
            <v>POLO T-SHIRT</v>
          </cell>
          <cell r="L3318" t="str">
            <v>NOD</v>
          </cell>
        </row>
        <row r="3319">
          <cell r="C3319" t="str">
            <v>USTSHC0117</v>
          </cell>
          <cell r="D3319" t="str">
            <v>CORE</v>
          </cell>
          <cell r="E3319" t="str">
            <v>CO25</v>
          </cell>
          <cell r="F3319">
            <v>1599</v>
          </cell>
          <cell r="G3319" t="str">
            <v>US</v>
          </cell>
          <cell r="H3319" t="str">
            <v>USPUSMPTS</v>
          </cell>
          <cell r="I3319" t="str">
            <v>USTSHC0117009</v>
          </cell>
          <cell r="J3319" t="str">
            <v>XXL</v>
          </cell>
          <cell r="K3319" t="str">
            <v>POLO T-SHIRT</v>
          </cell>
          <cell r="L3319" t="str">
            <v>NOD</v>
          </cell>
        </row>
        <row r="3320">
          <cell r="C3320" t="str">
            <v>USTSHC0118</v>
          </cell>
          <cell r="D3320" t="str">
            <v>CORE</v>
          </cell>
          <cell r="E3320" t="str">
            <v>CO25</v>
          </cell>
          <cell r="F3320">
            <v>1799</v>
          </cell>
          <cell r="G3320" t="str">
            <v>US</v>
          </cell>
          <cell r="H3320" t="str">
            <v>USPUSMPTS</v>
          </cell>
          <cell r="I3320" t="str">
            <v>USTSHC0118001</v>
          </cell>
          <cell r="J3320" t="str">
            <v>3XL</v>
          </cell>
          <cell r="K3320" t="str">
            <v>POLO T-SHIRT</v>
          </cell>
          <cell r="L3320" t="str">
            <v>NOD</v>
          </cell>
        </row>
        <row r="3321">
          <cell r="C3321" t="str">
            <v>USTSHC0118</v>
          </cell>
          <cell r="D3321" t="str">
            <v>CORE</v>
          </cell>
          <cell r="E3321" t="str">
            <v>CO25</v>
          </cell>
          <cell r="F3321">
            <v>1799</v>
          </cell>
          <cell r="G3321" t="str">
            <v>US</v>
          </cell>
          <cell r="H3321" t="str">
            <v>USPUSMPTS</v>
          </cell>
          <cell r="I3321" t="str">
            <v>USTSHC0118002</v>
          </cell>
          <cell r="J3321" t="str">
            <v>4XL</v>
          </cell>
          <cell r="K3321" t="str">
            <v>POLO T-SHIRT</v>
          </cell>
          <cell r="L3321" t="str">
            <v>NOD</v>
          </cell>
        </row>
        <row r="3322">
          <cell r="C3322" t="str">
            <v>USTSHC0118</v>
          </cell>
          <cell r="D3322" t="str">
            <v>CORE</v>
          </cell>
          <cell r="E3322" t="str">
            <v>CO25</v>
          </cell>
          <cell r="F3322">
            <v>1799</v>
          </cell>
          <cell r="G3322" t="str">
            <v>US</v>
          </cell>
          <cell r="H3322" t="str">
            <v>USPUSMPTS</v>
          </cell>
          <cell r="I3322" t="str">
            <v>USTSHC0118003</v>
          </cell>
          <cell r="J3322" t="str">
            <v>5XL</v>
          </cell>
          <cell r="K3322" t="str">
            <v>POLO T-SHIRT</v>
          </cell>
          <cell r="L3322" t="str">
            <v>NOD</v>
          </cell>
        </row>
        <row r="3323">
          <cell r="C3323" t="str">
            <v>USTSHC0118</v>
          </cell>
          <cell r="D3323" t="str">
            <v>CORE</v>
          </cell>
          <cell r="E3323" t="str">
            <v>CO25</v>
          </cell>
          <cell r="F3323">
            <v>1599</v>
          </cell>
          <cell r="G3323" t="str">
            <v>US</v>
          </cell>
          <cell r="H3323" t="str">
            <v>USPUSMPTS</v>
          </cell>
          <cell r="I3323" t="str">
            <v>USTSHC0118004</v>
          </cell>
          <cell r="J3323" t="str">
            <v>L</v>
          </cell>
          <cell r="K3323" t="str">
            <v>POLO T-SHIRT</v>
          </cell>
          <cell r="L3323" t="str">
            <v>NOD</v>
          </cell>
        </row>
        <row r="3324">
          <cell r="C3324" t="str">
            <v>USTSHC0118</v>
          </cell>
          <cell r="D3324" t="str">
            <v>CORE</v>
          </cell>
          <cell r="E3324" t="str">
            <v>CO25</v>
          </cell>
          <cell r="F3324">
            <v>1599</v>
          </cell>
          <cell r="G3324" t="str">
            <v>US</v>
          </cell>
          <cell r="H3324" t="str">
            <v>USPUSMPTS</v>
          </cell>
          <cell r="I3324" t="str">
            <v>USTSHC0118005</v>
          </cell>
          <cell r="J3324" t="str">
            <v>M</v>
          </cell>
          <cell r="K3324" t="str">
            <v>POLO T-SHIRT</v>
          </cell>
          <cell r="L3324" t="str">
            <v>NOD</v>
          </cell>
        </row>
        <row r="3325">
          <cell r="C3325" t="str">
            <v>USTSHC0118</v>
          </cell>
          <cell r="D3325" t="str">
            <v>CORE</v>
          </cell>
          <cell r="E3325" t="str">
            <v>CO25</v>
          </cell>
          <cell r="F3325">
            <v>1599</v>
          </cell>
          <cell r="G3325" t="str">
            <v>US</v>
          </cell>
          <cell r="H3325" t="str">
            <v>USPUSMPTS</v>
          </cell>
          <cell r="I3325" t="str">
            <v>USTSHC0118006</v>
          </cell>
          <cell r="J3325" t="str">
            <v>S</v>
          </cell>
          <cell r="K3325" t="str">
            <v>POLO T-SHIRT</v>
          </cell>
          <cell r="L3325" t="str">
            <v>NOD</v>
          </cell>
        </row>
        <row r="3326">
          <cell r="C3326" t="str">
            <v>USTSHC0118</v>
          </cell>
          <cell r="D3326" t="str">
            <v>CORE</v>
          </cell>
          <cell r="E3326" t="str">
            <v>CO25</v>
          </cell>
          <cell r="F3326">
            <v>1599</v>
          </cell>
          <cell r="G3326" t="str">
            <v>US</v>
          </cell>
          <cell r="H3326" t="str">
            <v>USPUSMPTS</v>
          </cell>
          <cell r="I3326" t="str">
            <v>USTSHC0118007</v>
          </cell>
          <cell r="J3326" t="str">
            <v>XL</v>
          </cell>
          <cell r="K3326" t="str">
            <v>POLO T-SHIRT</v>
          </cell>
          <cell r="L3326" t="str">
            <v>NOD</v>
          </cell>
        </row>
        <row r="3327">
          <cell r="C3327" t="str">
            <v>USTSHC0118</v>
          </cell>
          <cell r="D3327" t="str">
            <v>CORE</v>
          </cell>
          <cell r="E3327" t="str">
            <v>CO25</v>
          </cell>
          <cell r="F3327">
            <v>1599</v>
          </cell>
          <cell r="G3327" t="str">
            <v>US</v>
          </cell>
          <cell r="H3327" t="str">
            <v>USPUSMPTS</v>
          </cell>
          <cell r="I3327" t="str">
            <v>USTSHC0118008</v>
          </cell>
          <cell r="J3327" t="str">
            <v>XS</v>
          </cell>
          <cell r="K3327" t="str">
            <v>POLO T-SHIRT</v>
          </cell>
          <cell r="L3327" t="str">
            <v>NOD</v>
          </cell>
        </row>
        <row r="3328">
          <cell r="C3328" t="str">
            <v>USTSHC0118</v>
          </cell>
          <cell r="D3328" t="str">
            <v>CORE</v>
          </cell>
          <cell r="E3328" t="str">
            <v>CO25</v>
          </cell>
          <cell r="F3328">
            <v>1599</v>
          </cell>
          <cell r="G3328" t="str">
            <v>US</v>
          </cell>
          <cell r="H3328" t="str">
            <v>USPUSMPTS</v>
          </cell>
          <cell r="I3328" t="str">
            <v>USTSHC0118009</v>
          </cell>
          <cell r="J3328" t="str">
            <v>XXL</v>
          </cell>
          <cell r="K3328" t="str">
            <v>POLO T-SHIRT</v>
          </cell>
          <cell r="L3328" t="str">
            <v>NOD</v>
          </cell>
        </row>
        <row r="3329">
          <cell r="C3329" t="str">
            <v>USTSHC0119</v>
          </cell>
          <cell r="D3329" t="str">
            <v>CORE</v>
          </cell>
          <cell r="E3329" t="str">
            <v>CO25</v>
          </cell>
          <cell r="F3329">
            <v>1799</v>
          </cell>
          <cell r="G3329" t="str">
            <v>US</v>
          </cell>
          <cell r="H3329" t="str">
            <v>USPUSMPTS</v>
          </cell>
          <cell r="I3329" t="str">
            <v>USTSHC0119001</v>
          </cell>
          <cell r="J3329" t="str">
            <v>3XL</v>
          </cell>
          <cell r="K3329" t="str">
            <v>POLO T-SHIRT</v>
          </cell>
          <cell r="L3329" t="str">
            <v>NOD</v>
          </cell>
        </row>
        <row r="3330">
          <cell r="C3330" t="str">
            <v>USTSHC0119</v>
          </cell>
          <cell r="D3330" t="str">
            <v>CORE</v>
          </cell>
          <cell r="E3330" t="str">
            <v>CO25</v>
          </cell>
          <cell r="F3330">
            <v>1799</v>
          </cell>
          <cell r="G3330" t="str">
            <v>US</v>
          </cell>
          <cell r="H3330" t="str">
            <v>USPUSMPTS</v>
          </cell>
          <cell r="I3330" t="str">
            <v>USTSHC0119002</v>
          </cell>
          <cell r="J3330" t="str">
            <v>4XL</v>
          </cell>
          <cell r="K3330" t="str">
            <v>POLO T-SHIRT</v>
          </cell>
          <cell r="L3330" t="str">
            <v>NOD</v>
          </cell>
        </row>
        <row r="3331">
          <cell r="C3331" t="str">
            <v>USTSHC0119</v>
          </cell>
          <cell r="D3331" t="str">
            <v>CORE</v>
          </cell>
          <cell r="E3331" t="str">
            <v>CO25</v>
          </cell>
          <cell r="F3331">
            <v>1799</v>
          </cell>
          <cell r="G3331" t="str">
            <v>US</v>
          </cell>
          <cell r="H3331" t="str">
            <v>USPUSMPTS</v>
          </cell>
          <cell r="I3331" t="str">
            <v>USTSHC0119003</v>
          </cell>
          <cell r="J3331" t="str">
            <v>5XL</v>
          </cell>
          <cell r="K3331" t="str">
            <v>POLO T-SHIRT</v>
          </cell>
          <cell r="L3331" t="str">
            <v>NOD</v>
          </cell>
        </row>
        <row r="3332">
          <cell r="C3332" t="str">
            <v>USTSHC0119</v>
          </cell>
          <cell r="D3332" t="str">
            <v>CORE</v>
          </cell>
          <cell r="E3332" t="str">
            <v>CO25</v>
          </cell>
          <cell r="F3332">
            <v>1599</v>
          </cell>
          <cell r="G3332" t="str">
            <v>US</v>
          </cell>
          <cell r="H3332" t="str">
            <v>USPUSMPTS</v>
          </cell>
          <cell r="I3332" t="str">
            <v>USTSHC0119004</v>
          </cell>
          <cell r="J3332" t="str">
            <v>L</v>
          </cell>
          <cell r="K3332" t="str">
            <v>POLO T-SHIRT</v>
          </cell>
          <cell r="L3332" t="str">
            <v>NOD</v>
          </cell>
        </row>
        <row r="3333">
          <cell r="C3333" t="str">
            <v>USTSHC0119</v>
          </cell>
          <cell r="D3333" t="str">
            <v>CORE</v>
          </cell>
          <cell r="E3333" t="str">
            <v>CO25</v>
          </cell>
          <cell r="F3333">
            <v>1599</v>
          </cell>
          <cell r="G3333" t="str">
            <v>US</v>
          </cell>
          <cell r="H3333" t="str">
            <v>USPUSMPTS</v>
          </cell>
          <cell r="I3333" t="str">
            <v>USTSHC0119005</v>
          </cell>
          <cell r="J3333" t="str">
            <v>M</v>
          </cell>
          <cell r="K3333" t="str">
            <v>POLO T-SHIRT</v>
          </cell>
          <cell r="L3333" t="str">
            <v>NOD</v>
          </cell>
        </row>
        <row r="3334">
          <cell r="C3334" t="str">
            <v>USTSHC0119</v>
          </cell>
          <cell r="D3334" t="str">
            <v>CORE</v>
          </cell>
          <cell r="E3334" t="str">
            <v>CO25</v>
          </cell>
          <cell r="F3334">
            <v>1599</v>
          </cell>
          <cell r="G3334" t="str">
            <v>US</v>
          </cell>
          <cell r="H3334" t="str">
            <v>USPUSMPTS</v>
          </cell>
          <cell r="I3334" t="str">
            <v>USTSHC0119006</v>
          </cell>
          <cell r="J3334" t="str">
            <v>S</v>
          </cell>
          <cell r="K3334" t="str">
            <v>POLO T-SHIRT</v>
          </cell>
          <cell r="L3334" t="str">
            <v>NOD</v>
          </cell>
        </row>
        <row r="3335">
          <cell r="C3335" t="str">
            <v>USTSHC0119</v>
          </cell>
          <cell r="D3335" t="str">
            <v>CORE</v>
          </cell>
          <cell r="E3335" t="str">
            <v>CO25</v>
          </cell>
          <cell r="F3335">
            <v>1599</v>
          </cell>
          <cell r="G3335" t="str">
            <v>US</v>
          </cell>
          <cell r="H3335" t="str">
            <v>USPUSMPTS</v>
          </cell>
          <cell r="I3335" t="str">
            <v>USTSHC0119007</v>
          </cell>
          <cell r="J3335" t="str">
            <v>XL</v>
          </cell>
          <cell r="K3335" t="str">
            <v>POLO T-SHIRT</v>
          </cell>
          <cell r="L3335" t="str">
            <v>NOD</v>
          </cell>
        </row>
        <row r="3336">
          <cell r="C3336" t="str">
            <v>USTSHC0119</v>
          </cell>
          <cell r="D3336" t="str">
            <v>CORE</v>
          </cell>
          <cell r="E3336" t="str">
            <v>CO25</v>
          </cell>
          <cell r="F3336">
            <v>1599</v>
          </cell>
          <cell r="G3336" t="str">
            <v>US</v>
          </cell>
          <cell r="H3336" t="str">
            <v>USPUSMPTS</v>
          </cell>
          <cell r="I3336" t="str">
            <v>USTSHC0119008</v>
          </cell>
          <cell r="J3336" t="str">
            <v>XS</v>
          </cell>
          <cell r="K3336" t="str">
            <v>POLO T-SHIRT</v>
          </cell>
          <cell r="L3336" t="str">
            <v>NOD</v>
          </cell>
        </row>
        <row r="3337">
          <cell r="C3337" t="str">
            <v>USTSHC0119</v>
          </cell>
          <cell r="D3337" t="str">
            <v>CORE</v>
          </cell>
          <cell r="E3337" t="str">
            <v>CO25</v>
          </cell>
          <cell r="F3337">
            <v>1599</v>
          </cell>
          <cell r="G3337" t="str">
            <v>US</v>
          </cell>
          <cell r="H3337" t="str">
            <v>USPUSMPTS</v>
          </cell>
          <cell r="I3337" t="str">
            <v>USTSHC0119009</v>
          </cell>
          <cell r="J3337" t="str">
            <v>XXL</v>
          </cell>
          <cell r="K3337" t="str">
            <v>POLO T-SHIRT</v>
          </cell>
          <cell r="L3337" t="str">
            <v>NOD</v>
          </cell>
        </row>
        <row r="3338">
          <cell r="C3338" t="str">
            <v>USTSHC0120</v>
          </cell>
          <cell r="D3338" t="str">
            <v>CORE</v>
          </cell>
          <cell r="E3338" t="str">
            <v>CO25</v>
          </cell>
          <cell r="F3338">
            <v>1799</v>
          </cell>
          <cell r="G3338" t="str">
            <v>US</v>
          </cell>
          <cell r="H3338" t="str">
            <v>USPUSMPTS</v>
          </cell>
          <cell r="I3338" t="str">
            <v>USTSHC0120001</v>
          </cell>
          <cell r="J3338" t="str">
            <v>3XL</v>
          </cell>
          <cell r="K3338" t="str">
            <v>POLO T-SHIRT</v>
          </cell>
          <cell r="L3338" t="str">
            <v>NOD</v>
          </cell>
        </row>
        <row r="3339">
          <cell r="C3339" t="str">
            <v>USTSHC0120</v>
          </cell>
          <cell r="D3339" t="str">
            <v>CORE</v>
          </cell>
          <cell r="E3339" t="str">
            <v>CO25</v>
          </cell>
          <cell r="F3339">
            <v>1799</v>
          </cell>
          <cell r="G3339" t="str">
            <v>US</v>
          </cell>
          <cell r="H3339" t="str">
            <v>USPUSMPTS</v>
          </cell>
          <cell r="I3339" t="str">
            <v>USTSHC0120002</v>
          </cell>
          <cell r="J3339" t="str">
            <v>4XL</v>
          </cell>
          <cell r="K3339" t="str">
            <v>POLO T-SHIRT</v>
          </cell>
          <cell r="L3339" t="str">
            <v>NOD</v>
          </cell>
        </row>
        <row r="3340">
          <cell r="C3340" t="str">
            <v>USTSHC0120</v>
          </cell>
          <cell r="D3340" t="str">
            <v>CORE</v>
          </cell>
          <cell r="E3340" t="str">
            <v>CO25</v>
          </cell>
          <cell r="F3340">
            <v>1799</v>
          </cell>
          <cell r="G3340" t="str">
            <v>US</v>
          </cell>
          <cell r="H3340" t="str">
            <v>USPUSMPTS</v>
          </cell>
          <cell r="I3340" t="str">
            <v>USTSHC0120003</v>
          </cell>
          <cell r="J3340" t="str">
            <v>5XL</v>
          </cell>
          <cell r="K3340" t="str">
            <v>POLO T-SHIRT</v>
          </cell>
          <cell r="L3340" t="str">
            <v>NOD</v>
          </cell>
        </row>
        <row r="3341">
          <cell r="C3341" t="str">
            <v>USTSHC0120</v>
          </cell>
          <cell r="D3341" t="str">
            <v>CORE</v>
          </cell>
          <cell r="E3341" t="str">
            <v>CO25</v>
          </cell>
          <cell r="F3341">
            <v>1599</v>
          </cell>
          <cell r="G3341" t="str">
            <v>US</v>
          </cell>
          <cell r="H3341" t="str">
            <v>USPUSMPTS</v>
          </cell>
          <cell r="I3341" t="str">
            <v>USTSHC0120004</v>
          </cell>
          <cell r="J3341" t="str">
            <v>L</v>
          </cell>
          <cell r="K3341" t="str">
            <v>POLO T-SHIRT</v>
          </cell>
          <cell r="L3341" t="str">
            <v>NOD</v>
          </cell>
        </row>
        <row r="3342">
          <cell r="C3342" t="str">
            <v>USTSHC0120</v>
          </cell>
          <cell r="D3342" t="str">
            <v>CORE</v>
          </cell>
          <cell r="E3342" t="str">
            <v>CO25</v>
          </cell>
          <cell r="F3342">
            <v>1599</v>
          </cell>
          <cell r="G3342" t="str">
            <v>US</v>
          </cell>
          <cell r="H3342" t="str">
            <v>USPUSMPTS</v>
          </cell>
          <cell r="I3342" t="str">
            <v>USTSHC0120005</v>
          </cell>
          <cell r="J3342" t="str">
            <v>M</v>
          </cell>
          <cell r="K3342" t="str">
            <v>POLO T-SHIRT</v>
          </cell>
          <cell r="L3342" t="str">
            <v>NOD</v>
          </cell>
        </row>
        <row r="3343">
          <cell r="C3343" t="str">
            <v>USTSHC0120</v>
          </cell>
          <cell r="D3343" t="str">
            <v>CORE</v>
          </cell>
          <cell r="E3343" t="str">
            <v>CO25</v>
          </cell>
          <cell r="F3343">
            <v>1599</v>
          </cell>
          <cell r="G3343" t="str">
            <v>US</v>
          </cell>
          <cell r="H3343" t="str">
            <v>USPUSMPTS</v>
          </cell>
          <cell r="I3343" t="str">
            <v>USTSHC0120006</v>
          </cell>
          <cell r="J3343" t="str">
            <v>S</v>
          </cell>
          <cell r="K3343" t="str">
            <v>POLO T-SHIRT</v>
          </cell>
          <cell r="L3343" t="str">
            <v>NOD</v>
          </cell>
        </row>
        <row r="3344">
          <cell r="C3344" t="str">
            <v>USTSHC0120</v>
          </cell>
          <cell r="D3344" t="str">
            <v>CORE</v>
          </cell>
          <cell r="E3344" t="str">
            <v>CO25</v>
          </cell>
          <cell r="F3344">
            <v>1599</v>
          </cell>
          <cell r="G3344" t="str">
            <v>US</v>
          </cell>
          <cell r="H3344" t="str">
            <v>USPUSMPTS</v>
          </cell>
          <cell r="I3344" t="str">
            <v>USTSHC0120007</v>
          </cell>
          <cell r="J3344" t="str">
            <v>XL</v>
          </cell>
          <cell r="K3344" t="str">
            <v>POLO T-SHIRT</v>
          </cell>
          <cell r="L3344" t="str">
            <v>NOD</v>
          </cell>
        </row>
        <row r="3345">
          <cell r="C3345" t="str">
            <v>USTSHC0120</v>
          </cell>
          <cell r="D3345" t="str">
            <v>CORE</v>
          </cell>
          <cell r="E3345" t="str">
            <v>CO25</v>
          </cell>
          <cell r="F3345">
            <v>1599</v>
          </cell>
          <cell r="G3345" t="str">
            <v>US</v>
          </cell>
          <cell r="H3345" t="str">
            <v>USPUSMPTS</v>
          </cell>
          <cell r="I3345" t="str">
            <v>USTSHC0120008</v>
          </cell>
          <cell r="J3345" t="str">
            <v>XS</v>
          </cell>
          <cell r="K3345" t="str">
            <v>POLO T-SHIRT</v>
          </cell>
          <cell r="L3345" t="str">
            <v>NOD</v>
          </cell>
        </row>
        <row r="3346">
          <cell r="C3346" t="str">
            <v>USTSHC0120</v>
          </cell>
          <cell r="D3346" t="str">
            <v>CORE</v>
          </cell>
          <cell r="E3346" t="str">
            <v>CO25</v>
          </cell>
          <cell r="F3346">
            <v>1599</v>
          </cell>
          <cell r="G3346" t="str">
            <v>US</v>
          </cell>
          <cell r="H3346" t="str">
            <v>USPUSMPTS</v>
          </cell>
          <cell r="I3346" t="str">
            <v>USTSHC0120009</v>
          </cell>
          <cell r="J3346" t="str">
            <v>XXL</v>
          </cell>
          <cell r="K3346" t="str">
            <v>POLO T-SHIRT</v>
          </cell>
          <cell r="L3346" t="str">
            <v>NOD</v>
          </cell>
        </row>
        <row r="3347">
          <cell r="C3347" t="str">
            <v>USTSHC0121</v>
          </cell>
          <cell r="D3347" t="str">
            <v>CORE</v>
          </cell>
          <cell r="E3347" t="str">
            <v>CO25</v>
          </cell>
          <cell r="F3347">
            <v>1799</v>
          </cell>
          <cell r="G3347" t="str">
            <v>US</v>
          </cell>
          <cell r="H3347" t="str">
            <v>USPUSMPTS</v>
          </cell>
          <cell r="I3347" t="str">
            <v>USTSHC0121001</v>
          </cell>
          <cell r="J3347" t="str">
            <v>3XL</v>
          </cell>
          <cell r="K3347" t="str">
            <v>POLO T-SHIRT</v>
          </cell>
          <cell r="L3347" t="str">
            <v>NOD</v>
          </cell>
        </row>
        <row r="3348">
          <cell r="C3348" t="str">
            <v>USTSHC0121</v>
          </cell>
          <cell r="D3348" t="str">
            <v>CORE</v>
          </cell>
          <cell r="E3348" t="str">
            <v>CO25</v>
          </cell>
          <cell r="F3348">
            <v>1799</v>
          </cell>
          <cell r="G3348" t="str">
            <v>US</v>
          </cell>
          <cell r="H3348" t="str">
            <v>USPUSMPTS</v>
          </cell>
          <cell r="I3348" t="str">
            <v>USTSHC0121002</v>
          </cell>
          <cell r="J3348" t="str">
            <v>4XL</v>
          </cell>
          <cell r="K3348" t="str">
            <v>POLO T-SHIRT</v>
          </cell>
          <cell r="L3348" t="str">
            <v>NOD</v>
          </cell>
        </row>
        <row r="3349">
          <cell r="C3349" t="str">
            <v>USTSHC0121</v>
          </cell>
          <cell r="D3349" t="str">
            <v>CORE</v>
          </cell>
          <cell r="E3349" t="str">
            <v>CO25</v>
          </cell>
          <cell r="F3349">
            <v>1799</v>
          </cell>
          <cell r="G3349" t="str">
            <v>US</v>
          </cell>
          <cell r="H3349" t="str">
            <v>USPUSMPTS</v>
          </cell>
          <cell r="I3349" t="str">
            <v>USTSHC0121003</v>
          </cell>
          <cell r="J3349" t="str">
            <v>5XL</v>
          </cell>
          <cell r="K3349" t="str">
            <v>POLO T-SHIRT</v>
          </cell>
          <cell r="L3349" t="str">
            <v>NOD</v>
          </cell>
        </row>
        <row r="3350">
          <cell r="C3350" t="str">
            <v>USTSHC0121</v>
          </cell>
          <cell r="D3350" t="str">
            <v>CORE</v>
          </cell>
          <cell r="E3350" t="str">
            <v>CO25</v>
          </cell>
          <cell r="F3350">
            <v>1599</v>
          </cell>
          <cell r="G3350" t="str">
            <v>US</v>
          </cell>
          <cell r="H3350" t="str">
            <v>USPUSMPTS</v>
          </cell>
          <cell r="I3350" t="str">
            <v>USTSHC0121004</v>
          </cell>
          <cell r="J3350" t="str">
            <v>L</v>
          </cell>
          <cell r="K3350" t="str">
            <v>POLO T-SHIRT</v>
          </cell>
          <cell r="L3350" t="str">
            <v>NOD</v>
          </cell>
        </row>
        <row r="3351">
          <cell r="C3351" t="str">
            <v>USTSHC0121</v>
          </cell>
          <cell r="D3351" t="str">
            <v>CORE</v>
          </cell>
          <cell r="E3351" t="str">
            <v>CO25</v>
          </cell>
          <cell r="F3351">
            <v>1599</v>
          </cell>
          <cell r="G3351" t="str">
            <v>US</v>
          </cell>
          <cell r="H3351" t="str">
            <v>USPUSMPTS</v>
          </cell>
          <cell r="I3351" t="str">
            <v>USTSHC0121005</v>
          </cell>
          <cell r="J3351" t="str">
            <v>M</v>
          </cell>
          <cell r="K3351" t="str">
            <v>POLO T-SHIRT</v>
          </cell>
          <cell r="L3351" t="str">
            <v>NOD</v>
          </cell>
        </row>
        <row r="3352">
          <cell r="C3352" t="str">
            <v>USTSHC0121</v>
          </cell>
          <cell r="D3352" t="str">
            <v>CORE</v>
          </cell>
          <cell r="E3352" t="str">
            <v>CO25</v>
          </cell>
          <cell r="F3352">
            <v>1599</v>
          </cell>
          <cell r="G3352" t="str">
            <v>US</v>
          </cell>
          <cell r="H3352" t="str">
            <v>USPUSMPTS</v>
          </cell>
          <cell r="I3352" t="str">
            <v>USTSHC0121006</v>
          </cell>
          <cell r="J3352" t="str">
            <v>S</v>
          </cell>
          <cell r="K3352" t="str">
            <v>POLO T-SHIRT</v>
          </cell>
          <cell r="L3352" t="str">
            <v>NOD</v>
          </cell>
        </row>
        <row r="3353">
          <cell r="C3353" t="str">
            <v>USTSHC0121</v>
          </cell>
          <cell r="D3353" t="str">
            <v>CORE</v>
          </cell>
          <cell r="E3353" t="str">
            <v>CO25</v>
          </cell>
          <cell r="F3353">
            <v>1599</v>
          </cell>
          <cell r="G3353" t="str">
            <v>US</v>
          </cell>
          <cell r="H3353" t="str">
            <v>USPUSMPTS</v>
          </cell>
          <cell r="I3353" t="str">
            <v>USTSHC0121007</v>
          </cell>
          <cell r="J3353" t="str">
            <v>XL</v>
          </cell>
          <cell r="K3353" t="str">
            <v>POLO T-SHIRT</v>
          </cell>
          <cell r="L3353" t="str">
            <v>NOD</v>
          </cell>
        </row>
        <row r="3354">
          <cell r="C3354" t="str">
            <v>USTSHC0121</v>
          </cell>
          <cell r="D3354" t="str">
            <v>CORE</v>
          </cell>
          <cell r="E3354" t="str">
            <v>CO25</v>
          </cell>
          <cell r="F3354">
            <v>1599</v>
          </cell>
          <cell r="G3354" t="str">
            <v>US</v>
          </cell>
          <cell r="H3354" t="str">
            <v>USPUSMPTS</v>
          </cell>
          <cell r="I3354" t="str">
            <v>USTSHC0121008</v>
          </cell>
          <cell r="J3354" t="str">
            <v>XS</v>
          </cell>
          <cell r="K3354" t="str">
            <v>POLO T-SHIRT</v>
          </cell>
          <cell r="L3354" t="str">
            <v>NOD</v>
          </cell>
        </row>
        <row r="3355">
          <cell r="C3355" t="str">
            <v>USTSHC0121</v>
          </cell>
          <cell r="D3355" t="str">
            <v>CORE</v>
          </cell>
          <cell r="E3355" t="str">
            <v>CO25</v>
          </cell>
          <cell r="F3355">
            <v>1599</v>
          </cell>
          <cell r="G3355" t="str">
            <v>US</v>
          </cell>
          <cell r="H3355" t="str">
            <v>USPUSMPTS</v>
          </cell>
          <cell r="I3355" t="str">
            <v>USTSHC0121009</v>
          </cell>
          <cell r="J3355" t="str">
            <v>XXL</v>
          </cell>
          <cell r="K3355" t="str">
            <v>POLO T-SHIRT</v>
          </cell>
          <cell r="L3355" t="str">
            <v>NOD</v>
          </cell>
        </row>
        <row r="3356">
          <cell r="C3356" t="str">
            <v>USTSHC0122</v>
          </cell>
          <cell r="D3356" t="str">
            <v>CORE</v>
          </cell>
          <cell r="E3356" t="str">
            <v>CO25</v>
          </cell>
          <cell r="F3356">
            <v>1899</v>
          </cell>
          <cell r="G3356" t="str">
            <v>US</v>
          </cell>
          <cell r="H3356" t="str">
            <v>USPUSMPTS</v>
          </cell>
          <cell r="I3356" t="str">
            <v>USTSHC0122001</v>
          </cell>
          <cell r="J3356" t="str">
            <v>3XL</v>
          </cell>
          <cell r="K3356" t="str">
            <v>POLO T-SHIRT</v>
          </cell>
          <cell r="L3356" t="str">
            <v>NOD</v>
          </cell>
        </row>
        <row r="3357">
          <cell r="C3357" t="str">
            <v>USTSHC0122</v>
          </cell>
          <cell r="D3357" t="str">
            <v>CORE</v>
          </cell>
          <cell r="E3357" t="str">
            <v>CO25</v>
          </cell>
          <cell r="F3357">
            <v>1899</v>
          </cell>
          <cell r="G3357" t="str">
            <v>US</v>
          </cell>
          <cell r="H3357" t="str">
            <v>USPUSMPTS</v>
          </cell>
          <cell r="I3357" t="str">
            <v>USTSHC0122002</v>
          </cell>
          <cell r="J3357" t="str">
            <v>4XL</v>
          </cell>
          <cell r="K3357" t="str">
            <v>POLO T-SHIRT</v>
          </cell>
          <cell r="L3357" t="str">
            <v>NOD</v>
          </cell>
        </row>
        <row r="3358">
          <cell r="C3358" t="str">
            <v>USTSHC0122</v>
          </cell>
          <cell r="D3358" t="str">
            <v>CORE</v>
          </cell>
          <cell r="E3358" t="str">
            <v>CO25</v>
          </cell>
          <cell r="F3358">
            <v>1899</v>
          </cell>
          <cell r="G3358" t="str">
            <v>US</v>
          </cell>
          <cell r="H3358" t="str">
            <v>USPUSMPTS</v>
          </cell>
          <cell r="I3358" t="str">
            <v>USTSHC0122003</v>
          </cell>
          <cell r="J3358" t="str">
            <v>5XL</v>
          </cell>
          <cell r="K3358" t="str">
            <v>POLO T-SHIRT</v>
          </cell>
          <cell r="L3358" t="str">
            <v>NOD</v>
          </cell>
        </row>
        <row r="3359">
          <cell r="C3359" t="str">
            <v>USTSHC0122</v>
          </cell>
          <cell r="D3359" t="str">
            <v>CORE</v>
          </cell>
          <cell r="E3359" t="str">
            <v>CO25</v>
          </cell>
          <cell r="F3359">
            <v>1699</v>
          </cell>
          <cell r="G3359" t="str">
            <v>US</v>
          </cell>
          <cell r="H3359" t="str">
            <v>USPUSMPTS</v>
          </cell>
          <cell r="I3359" t="str">
            <v>USTSHC0122004</v>
          </cell>
          <cell r="J3359" t="str">
            <v>L</v>
          </cell>
          <cell r="K3359" t="str">
            <v>POLO T-SHIRT</v>
          </cell>
          <cell r="L3359" t="str">
            <v>NOD</v>
          </cell>
        </row>
        <row r="3360">
          <cell r="C3360" t="str">
            <v>USTSHC0122</v>
          </cell>
          <cell r="D3360" t="str">
            <v>CORE</v>
          </cell>
          <cell r="E3360" t="str">
            <v>CO25</v>
          </cell>
          <cell r="F3360">
            <v>1699</v>
          </cell>
          <cell r="G3360" t="str">
            <v>US</v>
          </cell>
          <cell r="H3360" t="str">
            <v>USPUSMPTS</v>
          </cell>
          <cell r="I3360" t="str">
            <v>USTSHC0122005</v>
          </cell>
          <cell r="J3360" t="str">
            <v>M</v>
          </cell>
          <cell r="K3360" t="str">
            <v>POLO T-SHIRT</v>
          </cell>
          <cell r="L3360" t="str">
            <v>NOD</v>
          </cell>
        </row>
        <row r="3361">
          <cell r="C3361" t="str">
            <v>USTSHC0122</v>
          </cell>
          <cell r="D3361" t="str">
            <v>CORE</v>
          </cell>
          <cell r="E3361" t="str">
            <v>CO25</v>
          </cell>
          <cell r="F3361">
            <v>1699</v>
          </cell>
          <cell r="G3361" t="str">
            <v>US</v>
          </cell>
          <cell r="H3361" t="str">
            <v>USPUSMPTS</v>
          </cell>
          <cell r="I3361" t="str">
            <v>USTSHC0122006</v>
          </cell>
          <cell r="J3361" t="str">
            <v>S</v>
          </cell>
          <cell r="K3361" t="str">
            <v>POLO T-SHIRT</v>
          </cell>
          <cell r="L3361" t="str">
            <v>NOD</v>
          </cell>
        </row>
        <row r="3362">
          <cell r="C3362" t="str">
            <v>USTSHC0122</v>
          </cell>
          <cell r="D3362" t="str">
            <v>CORE</v>
          </cell>
          <cell r="E3362" t="str">
            <v>CO25</v>
          </cell>
          <cell r="F3362">
            <v>1699</v>
          </cell>
          <cell r="G3362" t="str">
            <v>US</v>
          </cell>
          <cell r="H3362" t="str">
            <v>USPUSMPTS</v>
          </cell>
          <cell r="I3362" t="str">
            <v>USTSHC0122007</v>
          </cell>
          <cell r="J3362" t="str">
            <v>XL</v>
          </cell>
          <cell r="K3362" t="str">
            <v>POLO T-SHIRT</v>
          </cell>
          <cell r="L3362" t="str">
            <v>NOD</v>
          </cell>
        </row>
        <row r="3363">
          <cell r="C3363" t="str">
            <v>USTSHC0122</v>
          </cell>
          <cell r="D3363" t="str">
            <v>CORE</v>
          </cell>
          <cell r="E3363" t="str">
            <v>CO25</v>
          </cell>
          <cell r="F3363">
            <v>1699</v>
          </cell>
          <cell r="G3363" t="str">
            <v>US</v>
          </cell>
          <cell r="H3363" t="str">
            <v>USPUSMPTS</v>
          </cell>
          <cell r="I3363" t="str">
            <v>USTSHC0122008</v>
          </cell>
          <cell r="J3363" t="str">
            <v>XS</v>
          </cell>
          <cell r="K3363" t="str">
            <v>POLO T-SHIRT</v>
          </cell>
          <cell r="L3363" t="str">
            <v>NOD</v>
          </cell>
        </row>
        <row r="3364">
          <cell r="C3364" t="str">
            <v>USTSHC0122</v>
          </cell>
          <cell r="D3364" t="str">
            <v>CORE</v>
          </cell>
          <cell r="E3364" t="str">
            <v>CO25</v>
          </cell>
          <cell r="F3364">
            <v>1699</v>
          </cell>
          <cell r="G3364" t="str">
            <v>US</v>
          </cell>
          <cell r="H3364" t="str">
            <v>USPUSMPTS</v>
          </cell>
          <cell r="I3364" t="str">
            <v>USTSHC0122009</v>
          </cell>
          <cell r="J3364" t="str">
            <v>XXL</v>
          </cell>
          <cell r="K3364" t="str">
            <v>POLO T-SHIRT</v>
          </cell>
          <cell r="L3364" t="str">
            <v>NOD</v>
          </cell>
        </row>
        <row r="3365">
          <cell r="C3365" t="str">
            <v>USTSHC0123</v>
          </cell>
          <cell r="D3365" t="str">
            <v>CORE</v>
          </cell>
          <cell r="E3365" t="str">
            <v>CO25</v>
          </cell>
          <cell r="F3365">
            <v>1899</v>
          </cell>
          <cell r="G3365" t="str">
            <v>US</v>
          </cell>
          <cell r="H3365" t="str">
            <v>USPUSMPTS</v>
          </cell>
          <cell r="I3365" t="str">
            <v>USTSHC0123001</v>
          </cell>
          <cell r="J3365" t="str">
            <v>3XL</v>
          </cell>
          <cell r="K3365" t="str">
            <v>POLO T-SHIRT</v>
          </cell>
          <cell r="L3365" t="str">
            <v>NOD</v>
          </cell>
        </row>
        <row r="3366">
          <cell r="C3366" t="str">
            <v>USTSHC0123</v>
          </cell>
          <cell r="D3366" t="str">
            <v>CORE</v>
          </cell>
          <cell r="E3366" t="str">
            <v>CO25</v>
          </cell>
          <cell r="F3366">
            <v>1899</v>
          </cell>
          <cell r="G3366" t="str">
            <v>US</v>
          </cell>
          <cell r="H3366" t="str">
            <v>USPUSMPTS</v>
          </cell>
          <cell r="I3366" t="str">
            <v>USTSHC0123002</v>
          </cell>
          <cell r="J3366" t="str">
            <v>4XL</v>
          </cell>
          <cell r="K3366" t="str">
            <v>POLO T-SHIRT</v>
          </cell>
          <cell r="L3366" t="str">
            <v>NOD</v>
          </cell>
        </row>
        <row r="3367">
          <cell r="C3367" t="str">
            <v>USTSHC0123</v>
          </cell>
          <cell r="D3367" t="str">
            <v>CORE</v>
          </cell>
          <cell r="E3367" t="str">
            <v>CO25</v>
          </cell>
          <cell r="F3367">
            <v>1899</v>
          </cell>
          <cell r="G3367" t="str">
            <v>US</v>
          </cell>
          <cell r="H3367" t="str">
            <v>USPUSMPTS</v>
          </cell>
          <cell r="I3367" t="str">
            <v>USTSHC0123003</v>
          </cell>
          <cell r="J3367" t="str">
            <v>5XL</v>
          </cell>
          <cell r="K3367" t="str">
            <v>POLO T-SHIRT</v>
          </cell>
          <cell r="L3367" t="str">
            <v>NOD</v>
          </cell>
        </row>
        <row r="3368">
          <cell r="C3368" t="str">
            <v>USTSHC0123</v>
          </cell>
          <cell r="D3368" t="str">
            <v>CORE</v>
          </cell>
          <cell r="E3368" t="str">
            <v>CO25</v>
          </cell>
          <cell r="F3368">
            <v>1699</v>
          </cell>
          <cell r="G3368" t="str">
            <v>US</v>
          </cell>
          <cell r="H3368" t="str">
            <v>USPUSMPTS</v>
          </cell>
          <cell r="I3368" t="str">
            <v>USTSHC0123004</v>
          </cell>
          <cell r="J3368" t="str">
            <v>L</v>
          </cell>
          <cell r="K3368" t="str">
            <v>POLO T-SHIRT</v>
          </cell>
          <cell r="L3368" t="str">
            <v>NOD</v>
          </cell>
        </row>
        <row r="3369">
          <cell r="C3369" t="str">
            <v>USTSHC0123</v>
          </cell>
          <cell r="D3369" t="str">
            <v>CORE</v>
          </cell>
          <cell r="E3369" t="str">
            <v>CO25</v>
          </cell>
          <cell r="F3369">
            <v>1699</v>
          </cell>
          <cell r="G3369" t="str">
            <v>US</v>
          </cell>
          <cell r="H3369" t="str">
            <v>USPUSMPTS</v>
          </cell>
          <cell r="I3369" t="str">
            <v>USTSHC0123005</v>
          </cell>
          <cell r="J3369" t="str">
            <v>M</v>
          </cell>
          <cell r="K3369" t="str">
            <v>POLO T-SHIRT</v>
          </cell>
          <cell r="L3369" t="str">
            <v>NOD</v>
          </cell>
        </row>
        <row r="3370">
          <cell r="C3370" t="str">
            <v>USTSHC0123</v>
          </cell>
          <cell r="D3370" t="str">
            <v>CORE</v>
          </cell>
          <cell r="E3370" t="str">
            <v>CO25</v>
          </cell>
          <cell r="F3370">
            <v>1699</v>
          </cell>
          <cell r="G3370" t="str">
            <v>US</v>
          </cell>
          <cell r="H3370" t="str">
            <v>USPUSMPTS</v>
          </cell>
          <cell r="I3370" t="str">
            <v>USTSHC0123006</v>
          </cell>
          <cell r="J3370" t="str">
            <v>S</v>
          </cell>
          <cell r="K3370" t="str">
            <v>POLO T-SHIRT</v>
          </cell>
          <cell r="L3370" t="str">
            <v>NOD</v>
          </cell>
        </row>
        <row r="3371">
          <cell r="C3371" t="str">
            <v>USTSHC0123</v>
          </cell>
          <cell r="D3371" t="str">
            <v>CORE</v>
          </cell>
          <cell r="E3371" t="str">
            <v>CO25</v>
          </cell>
          <cell r="F3371">
            <v>1699</v>
          </cell>
          <cell r="G3371" t="str">
            <v>US</v>
          </cell>
          <cell r="H3371" t="str">
            <v>USPUSMPTS</v>
          </cell>
          <cell r="I3371" t="str">
            <v>USTSHC0123007</v>
          </cell>
          <cell r="J3371" t="str">
            <v>XL</v>
          </cell>
          <cell r="K3371" t="str">
            <v>POLO T-SHIRT</v>
          </cell>
          <cell r="L3371" t="str">
            <v>NOD</v>
          </cell>
        </row>
        <row r="3372">
          <cell r="C3372" t="str">
            <v>USTSHC0123</v>
          </cell>
          <cell r="D3372" t="str">
            <v>CORE</v>
          </cell>
          <cell r="E3372" t="str">
            <v>CO25</v>
          </cell>
          <cell r="F3372">
            <v>1699</v>
          </cell>
          <cell r="G3372" t="str">
            <v>US</v>
          </cell>
          <cell r="H3372" t="str">
            <v>USPUSMPTS</v>
          </cell>
          <cell r="I3372" t="str">
            <v>USTSHC0123008</v>
          </cell>
          <cell r="J3372" t="str">
            <v>XS</v>
          </cell>
          <cell r="K3372" t="str">
            <v>POLO T-SHIRT</v>
          </cell>
          <cell r="L3372" t="str">
            <v>NOD</v>
          </cell>
        </row>
        <row r="3373">
          <cell r="C3373" t="str">
            <v>USTSHC0123</v>
          </cell>
          <cell r="D3373" t="str">
            <v>CORE</v>
          </cell>
          <cell r="E3373" t="str">
            <v>CO25</v>
          </cell>
          <cell r="F3373">
            <v>1699</v>
          </cell>
          <cell r="G3373" t="str">
            <v>US</v>
          </cell>
          <cell r="H3373" t="str">
            <v>USPUSMPTS</v>
          </cell>
          <cell r="I3373" t="str">
            <v>USTSHC0123009</v>
          </cell>
          <cell r="J3373" t="str">
            <v>XXL</v>
          </cell>
          <cell r="K3373" t="str">
            <v>POLO T-SHIRT</v>
          </cell>
          <cell r="L3373" t="str">
            <v>NOD</v>
          </cell>
        </row>
        <row r="3374">
          <cell r="C3374" t="str">
            <v>USTSHC0124</v>
          </cell>
          <cell r="D3374" t="str">
            <v>CORE</v>
          </cell>
          <cell r="E3374" t="str">
            <v>CO25</v>
          </cell>
          <cell r="F3374">
            <v>1899</v>
          </cell>
          <cell r="G3374" t="str">
            <v>US</v>
          </cell>
          <cell r="H3374" t="str">
            <v>USPUSMPTS</v>
          </cell>
          <cell r="I3374" t="str">
            <v>USTSHC0124001</v>
          </cell>
          <cell r="J3374" t="str">
            <v>3XL</v>
          </cell>
          <cell r="K3374" t="str">
            <v>POLO T-SHIRT</v>
          </cell>
          <cell r="L3374" t="str">
            <v>NOD</v>
          </cell>
        </row>
        <row r="3375">
          <cell r="C3375" t="str">
            <v>USTSHC0124</v>
          </cell>
          <cell r="D3375" t="str">
            <v>CORE</v>
          </cell>
          <cell r="E3375" t="str">
            <v>CO25</v>
          </cell>
          <cell r="F3375">
            <v>1899</v>
          </cell>
          <cell r="G3375" t="str">
            <v>US</v>
          </cell>
          <cell r="H3375" t="str">
            <v>USPUSMPTS</v>
          </cell>
          <cell r="I3375" t="str">
            <v>USTSHC0124002</v>
          </cell>
          <cell r="J3375" t="str">
            <v>4XL</v>
          </cell>
          <cell r="K3375" t="str">
            <v>POLO T-SHIRT</v>
          </cell>
          <cell r="L3375" t="str">
            <v>NOD</v>
          </cell>
        </row>
        <row r="3376">
          <cell r="C3376" t="str">
            <v>USTSHC0124</v>
          </cell>
          <cell r="D3376" t="str">
            <v>CORE</v>
          </cell>
          <cell r="E3376" t="str">
            <v>CO25</v>
          </cell>
          <cell r="F3376">
            <v>1899</v>
          </cell>
          <cell r="G3376" t="str">
            <v>US</v>
          </cell>
          <cell r="H3376" t="str">
            <v>USPUSMPTS</v>
          </cell>
          <cell r="I3376" t="str">
            <v>USTSHC0124003</v>
          </cell>
          <cell r="J3376" t="str">
            <v>5XL</v>
          </cell>
          <cell r="K3376" t="str">
            <v>POLO T-SHIRT</v>
          </cell>
          <cell r="L3376" t="str">
            <v>NOD</v>
          </cell>
        </row>
        <row r="3377">
          <cell r="C3377" t="str">
            <v>USTSHC0124</v>
          </cell>
          <cell r="D3377" t="str">
            <v>CORE</v>
          </cell>
          <cell r="E3377" t="str">
            <v>CO25</v>
          </cell>
          <cell r="F3377">
            <v>1699</v>
          </cell>
          <cell r="G3377" t="str">
            <v>US</v>
          </cell>
          <cell r="H3377" t="str">
            <v>USPUSMPTS</v>
          </cell>
          <cell r="I3377" t="str">
            <v>USTSHC0124004</v>
          </cell>
          <cell r="J3377" t="str">
            <v>L</v>
          </cell>
          <cell r="K3377" t="str">
            <v>POLO T-SHIRT</v>
          </cell>
          <cell r="L3377" t="str">
            <v>NOD</v>
          </cell>
        </row>
        <row r="3378">
          <cell r="C3378" t="str">
            <v>USTSHC0124</v>
          </cell>
          <cell r="D3378" t="str">
            <v>CORE</v>
          </cell>
          <cell r="E3378" t="str">
            <v>CO25</v>
          </cell>
          <cell r="F3378">
            <v>1699</v>
          </cell>
          <cell r="G3378" t="str">
            <v>US</v>
          </cell>
          <cell r="H3378" t="str">
            <v>USPUSMPTS</v>
          </cell>
          <cell r="I3378" t="str">
            <v>USTSHC0124005</v>
          </cell>
          <cell r="J3378" t="str">
            <v>M</v>
          </cell>
          <cell r="K3378" t="str">
            <v>POLO T-SHIRT</v>
          </cell>
          <cell r="L3378" t="str">
            <v>NOD</v>
          </cell>
        </row>
        <row r="3379">
          <cell r="C3379" t="str">
            <v>USTSHC0124</v>
          </cell>
          <cell r="D3379" t="str">
            <v>CORE</v>
          </cell>
          <cell r="E3379" t="str">
            <v>CO25</v>
          </cell>
          <cell r="F3379">
            <v>1699</v>
          </cell>
          <cell r="G3379" t="str">
            <v>US</v>
          </cell>
          <cell r="H3379" t="str">
            <v>USPUSMPTS</v>
          </cell>
          <cell r="I3379" t="str">
            <v>USTSHC0124006</v>
          </cell>
          <cell r="J3379" t="str">
            <v>S</v>
          </cell>
          <cell r="K3379" t="str">
            <v>POLO T-SHIRT</v>
          </cell>
          <cell r="L3379" t="str">
            <v>NOD</v>
          </cell>
        </row>
        <row r="3380">
          <cell r="C3380" t="str">
            <v>USTSHC0124</v>
          </cell>
          <cell r="D3380" t="str">
            <v>CORE</v>
          </cell>
          <cell r="E3380" t="str">
            <v>CO25</v>
          </cell>
          <cell r="F3380">
            <v>1699</v>
          </cell>
          <cell r="G3380" t="str">
            <v>US</v>
          </cell>
          <cell r="H3380" t="str">
            <v>USPUSMPTS</v>
          </cell>
          <cell r="I3380" t="str">
            <v>USTSHC0124007</v>
          </cell>
          <cell r="J3380" t="str">
            <v>XL</v>
          </cell>
          <cell r="K3380" t="str">
            <v>POLO T-SHIRT</v>
          </cell>
          <cell r="L3380" t="str">
            <v>NOD</v>
          </cell>
        </row>
        <row r="3381">
          <cell r="C3381" t="str">
            <v>USTSHC0124</v>
          </cell>
          <cell r="D3381" t="str">
            <v>CORE</v>
          </cell>
          <cell r="E3381" t="str">
            <v>CO25</v>
          </cell>
          <cell r="F3381">
            <v>1699</v>
          </cell>
          <cell r="G3381" t="str">
            <v>US</v>
          </cell>
          <cell r="H3381" t="str">
            <v>USPUSMPTS</v>
          </cell>
          <cell r="I3381" t="str">
            <v>USTSHC0124008</v>
          </cell>
          <cell r="J3381" t="str">
            <v>XS</v>
          </cell>
          <cell r="K3381" t="str">
            <v>POLO T-SHIRT</v>
          </cell>
          <cell r="L3381" t="str">
            <v>NOD</v>
          </cell>
        </row>
        <row r="3382">
          <cell r="C3382" t="str">
            <v>USTSHC0124</v>
          </cell>
          <cell r="D3382" t="str">
            <v>CORE</v>
          </cell>
          <cell r="E3382" t="str">
            <v>CO25</v>
          </cell>
          <cell r="F3382">
            <v>1699</v>
          </cell>
          <cell r="G3382" t="str">
            <v>US</v>
          </cell>
          <cell r="H3382" t="str">
            <v>USPUSMPTS</v>
          </cell>
          <cell r="I3382" t="str">
            <v>USTSHC0124009</v>
          </cell>
          <cell r="J3382" t="str">
            <v>XXL</v>
          </cell>
          <cell r="K3382" t="str">
            <v>POLO T-SHIRT</v>
          </cell>
          <cell r="L3382" t="str">
            <v>NOD</v>
          </cell>
        </row>
        <row r="3383">
          <cell r="C3383" t="str">
            <v>USTSHC0125</v>
          </cell>
          <cell r="D3383" t="str">
            <v>CORE</v>
          </cell>
          <cell r="E3383" t="str">
            <v>CO25</v>
          </cell>
          <cell r="F3383">
            <v>1899</v>
          </cell>
          <cell r="G3383" t="str">
            <v>US</v>
          </cell>
          <cell r="H3383" t="str">
            <v>USPUSMPTS</v>
          </cell>
          <cell r="I3383" t="str">
            <v>USTSHC0125001</v>
          </cell>
          <cell r="J3383" t="str">
            <v>3XL</v>
          </cell>
          <cell r="K3383" t="str">
            <v>POLO T-SHIRT</v>
          </cell>
          <cell r="L3383" t="str">
            <v>NOD</v>
          </cell>
        </row>
        <row r="3384">
          <cell r="C3384" t="str">
            <v>USTSHC0125</v>
          </cell>
          <cell r="D3384" t="str">
            <v>CORE</v>
          </cell>
          <cell r="E3384" t="str">
            <v>CO25</v>
          </cell>
          <cell r="F3384">
            <v>1899</v>
          </cell>
          <cell r="G3384" t="str">
            <v>US</v>
          </cell>
          <cell r="H3384" t="str">
            <v>USPUSMPTS</v>
          </cell>
          <cell r="I3384" t="str">
            <v>USTSHC0125002</v>
          </cell>
          <cell r="J3384" t="str">
            <v>4XL</v>
          </cell>
          <cell r="K3384" t="str">
            <v>POLO T-SHIRT</v>
          </cell>
          <cell r="L3384" t="str">
            <v>NOD</v>
          </cell>
        </row>
        <row r="3385">
          <cell r="C3385" t="str">
            <v>USTSHC0125</v>
          </cell>
          <cell r="D3385" t="str">
            <v>CORE</v>
          </cell>
          <cell r="E3385" t="str">
            <v>CO25</v>
          </cell>
          <cell r="F3385">
            <v>1899</v>
          </cell>
          <cell r="G3385" t="str">
            <v>US</v>
          </cell>
          <cell r="H3385" t="str">
            <v>USPUSMPTS</v>
          </cell>
          <cell r="I3385" t="str">
            <v>USTSHC0125003</v>
          </cell>
          <cell r="J3385" t="str">
            <v>5XL</v>
          </cell>
          <cell r="K3385" t="str">
            <v>POLO T-SHIRT</v>
          </cell>
          <cell r="L3385" t="str">
            <v>NOD</v>
          </cell>
        </row>
        <row r="3386">
          <cell r="C3386" t="str">
            <v>USTSHC0125</v>
          </cell>
          <cell r="D3386" t="str">
            <v>CORE</v>
          </cell>
          <cell r="E3386" t="str">
            <v>CO25</v>
          </cell>
          <cell r="F3386">
            <v>1699</v>
          </cell>
          <cell r="G3386" t="str">
            <v>US</v>
          </cell>
          <cell r="H3386" t="str">
            <v>USPUSMPTS</v>
          </cell>
          <cell r="I3386" t="str">
            <v>USTSHC0125004</v>
          </cell>
          <cell r="J3386" t="str">
            <v>L</v>
          </cell>
          <cell r="K3386" t="str">
            <v>POLO T-SHIRT</v>
          </cell>
          <cell r="L3386" t="str">
            <v>NOD</v>
          </cell>
        </row>
        <row r="3387">
          <cell r="C3387" t="str">
            <v>USTSHC0125</v>
          </cell>
          <cell r="D3387" t="str">
            <v>CORE</v>
          </cell>
          <cell r="E3387" t="str">
            <v>CO25</v>
          </cell>
          <cell r="F3387">
            <v>1699</v>
          </cell>
          <cell r="G3387" t="str">
            <v>US</v>
          </cell>
          <cell r="H3387" t="str">
            <v>USPUSMPTS</v>
          </cell>
          <cell r="I3387" t="str">
            <v>USTSHC0125005</v>
          </cell>
          <cell r="J3387" t="str">
            <v>M</v>
          </cell>
          <cell r="K3387" t="str">
            <v>POLO T-SHIRT</v>
          </cell>
          <cell r="L3387" t="str">
            <v>NOD</v>
          </cell>
        </row>
        <row r="3388">
          <cell r="C3388" t="str">
            <v>USTSHC0125</v>
          </cell>
          <cell r="D3388" t="str">
            <v>CORE</v>
          </cell>
          <cell r="E3388" t="str">
            <v>CO25</v>
          </cell>
          <cell r="F3388">
            <v>1699</v>
          </cell>
          <cell r="G3388" t="str">
            <v>US</v>
          </cell>
          <cell r="H3388" t="str">
            <v>USPUSMPTS</v>
          </cell>
          <cell r="I3388" t="str">
            <v>USTSHC0125006</v>
          </cell>
          <cell r="J3388" t="str">
            <v>S</v>
          </cell>
          <cell r="K3388" t="str">
            <v>POLO T-SHIRT</v>
          </cell>
          <cell r="L3388" t="str">
            <v>NOD</v>
          </cell>
        </row>
        <row r="3389">
          <cell r="C3389" t="str">
            <v>USTSHC0125</v>
          </cell>
          <cell r="D3389" t="str">
            <v>CORE</v>
          </cell>
          <cell r="E3389" t="str">
            <v>CO25</v>
          </cell>
          <cell r="F3389">
            <v>1699</v>
          </cell>
          <cell r="G3389" t="str">
            <v>US</v>
          </cell>
          <cell r="H3389" t="str">
            <v>USPUSMPTS</v>
          </cell>
          <cell r="I3389" t="str">
            <v>USTSHC0125007</v>
          </cell>
          <cell r="J3389" t="str">
            <v>XL</v>
          </cell>
          <cell r="K3389" t="str">
            <v>POLO T-SHIRT</v>
          </cell>
          <cell r="L3389" t="str">
            <v>NOD</v>
          </cell>
        </row>
        <row r="3390">
          <cell r="C3390" t="str">
            <v>USTSHC0125</v>
          </cell>
          <cell r="D3390" t="str">
            <v>CORE</v>
          </cell>
          <cell r="E3390" t="str">
            <v>CO25</v>
          </cell>
          <cell r="F3390">
            <v>1699</v>
          </cell>
          <cell r="G3390" t="str">
            <v>US</v>
          </cell>
          <cell r="H3390" t="str">
            <v>USPUSMPTS</v>
          </cell>
          <cell r="I3390" t="str">
            <v>USTSHC0125008</v>
          </cell>
          <cell r="J3390" t="str">
            <v>XS</v>
          </cell>
          <cell r="K3390" t="str">
            <v>POLO T-SHIRT</v>
          </cell>
          <cell r="L3390" t="str">
            <v>NOD</v>
          </cell>
        </row>
        <row r="3391">
          <cell r="C3391" t="str">
            <v>USTSHC0125</v>
          </cell>
          <cell r="D3391" t="str">
            <v>CORE</v>
          </cell>
          <cell r="E3391" t="str">
            <v>CO25</v>
          </cell>
          <cell r="F3391">
            <v>1699</v>
          </cell>
          <cell r="G3391" t="str">
            <v>US</v>
          </cell>
          <cell r="H3391" t="str">
            <v>USPUSMPTS</v>
          </cell>
          <cell r="I3391" t="str">
            <v>USTSHC0125009</v>
          </cell>
          <cell r="J3391" t="str">
            <v>XXL</v>
          </cell>
          <cell r="K3391" t="str">
            <v>POLO T-SHIRT</v>
          </cell>
          <cell r="L3391" t="str">
            <v>NOD</v>
          </cell>
        </row>
        <row r="3392">
          <cell r="C3392" t="str">
            <v>USTSHC0128</v>
          </cell>
          <cell r="D3392" t="str">
            <v>CORE</v>
          </cell>
          <cell r="E3392" t="str">
            <v>CO25</v>
          </cell>
          <cell r="F3392">
            <v>1899</v>
          </cell>
          <cell r="G3392" t="str">
            <v>US</v>
          </cell>
          <cell r="H3392" t="str">
            <v>USPUSMPTS</v>
          </cell>
          <cell r="I3392" t="str">
            <v>USTSHC0128001</v>
          </cell>
          <cell r="J3392" t="str">
            <v>3XL</v>
          </cell>
          <cell r="K3392" t="str">
            <v>POLO T-SHIRT</v>
          </cell>
          <cell r="L3392" t="str">
            <v>NOD</v>
          </cell>
        </row>
        <row r="3393">
          <cell r="C3393" t="str">
            <v>USTSHC0128</v>
          </cell>
          <cell r="D3393" t="str">
            <v>CORE</v>
          </cell>
          <cell r="E3393" t="str">
            <v>CO25</v>
          </cell>
          <cell r="F3393">
            <v>1899</v>
          </cell>
          <cell r="G3393" t="str">
            <v>US</v>
          </cell>
          <cell r="H3393" t="str">
            <v>USPUSMPTS</v>
          </cell>
          <cell r="I3393" t="str">
            <v>USTSHC0128002</v>
          </cell>
          <cell r="J3393" t="str">
            <v>4XL</v>
          </cell>
          <cell r="K3393" t="str">
            <v>POLO T-SHIRT</v>
          </cell>
          <cell r="L3393" t="str">
            <v>NOD</v>
          </cell>
        </row>
        <row r="3394">
          <cell r="C3394" t="str">
            <v>USTSHC0128</v>
          </cell>
          <cell r="D3394" t="str">
            <v>CORE</v>
          </cell>
          <cell r="E3394" t="str">
            <v>CO25</v>
          </cell>
          <cell r="F3394">
            <v>1899</v>
          </cell>
          <cell r="G3394" t="str">
            <v>US</v>
          </cell>
          <cell r="H3394" t="str">
            <v>USPUSMPTS</v>
          </cell>
          <cell r="I3394" t="str">
            <v>USTSHC0128003</v>
          </cell>
          <cell r="J3394" t="str">
            <v>5XL</v>
          </cell>
          <cell r="K3394" t="str">
            <v>POLO T-SHIRT</v>
          </cell>
          <cell r="L3394" t="str">
            <v>NOD</v>
          </cell>
        </row>
        <row r="3395">
          <cell r="C3395" t="str">
            <v>USTSHC0128</v>
          </cell>
          <cell r="D3395" t="str">
            <v>CORE</v>
          </cell>
          <cell r="E3395" t="str">
            <v>CO25</v>
          </cell>
          <cell r="F3395">
            <v>1699</v>
          </cell>
          <cell r="G3395" t="str">
            <v>US</v>
          </cell>
          <cell r="H3395" t="str">
            <v>USPUSMPTS</v>
          </cell>
          <cell r="I3395" t="str">
            <v>USTSHC0128004</v>
          </cell>
          <cell r="J3395" t="str">
            <v>L</v>
          </cell>
          <cell r="K3395" t="str">
            <v>POLO T-SHIRT</v>
          </cell>
          <cell r="L3395" t="str">
            <v>NOD</v>
          </cell>
        </row>
        <row r="3396">
          <cell r="C3396" t="str">
            <v>USTSHC0128</v>
          </cell>
          <cell r="D3396" t="str">
            <v>CORE</v>
          </cell>
          <cell r="E3396" t="str">
            <v>CO25</v>
          </cell>
          <cell r="F3396">
            <v>1699</v>
          </cell>
          <cell r="G3396" t="str">
            <v>US</v>
          </cell>
          <cell r="H3396" t="str">
            <v>USPUSMPTS</v>
          </cell>
          <cell r="I3396" t="str">
            <v>USTSHC0128005</v>
          </cell>
          <cell r="J3396" t="str">
            <v>M</v>
          </cell>
          <cell r="K3396" t="str">
            <v>POLO T-SHIRT</v>
          </cell>
          <cell r="L3396" t="str">
            <v>NOD</v>
          </cell>
        </row>
        <row r="3397">
          <cell r="C3397" t="str">
            <v>USTSHC0128</v>
          </cell>
          <cell r="D3397" t="str">
            <v>CORE</v>
          </cell>
          <cell r="E3397" t="str">
            <v>CO25</v>
          </cell>
          <cell r="F3397">
            <v>1699</v>
          </cell>
          <cell r="G3397" t="str">
            <v>US</v>
          </cell>
          <cell r="H3397" t="str">
            <v>USPUSMPTS</v>
          </cell>
          <cell r="I3397" t="str">
            <v>USTSHC0128006</v>
          </cell>
          <cell r="J3397" t="str">
            <v>S</v>
          </cell>
          <cell r="K3397" t="str">
            <v>POLO T-SHIRT</v>
          </cell>
          <cell r="L3397" t="str">
            <v>NOD</v>
          </cell>
        </row>
        <row r="3398">
          <cell r="C3398" t="str">
            <v>USTSHC0128</v>
          </cell>
          <cell r="D3398" t="str">
            <v>CORE</v>
          </cell>
          <cell r="E3398" t="str">
            <v>CO25</v>
          </cell>
          <cell r="F3398">
            <v>1699</v>
          </cell>
          <cell r="G3398" t="str">
            <v>US</v>
          </cell>
          <cell r="H3398" t="str">
            <v>USPUSMPTS</v>
          </cell>
          <cell r="I3398" t="str">
            <v>USTSHC0128007</v>
          </cell>
          <cell r="J3398" t="str">
            <v>XL</v>
          </cell>
          <cell r="K3398" t="str">
            <v>POLO T-SHIRT</v>
          </cell>
          <cell r="L3398" t="str">
            <v>NOD</v>
          </cell>
        </row>
        <row r="3399">
          <cell r="C3399" t="str">
            <v>USTSHC0128</v>
          </cell>
          <cell r="D3399" t="str">
            <v>CORE</v>
          </cell>
          <cell r="E3399" t="str">
            <v>CO25</v>
          </cell>
          <cell r="F3399">
            <v>1699</v>
          </cell>
          <cell r="G3399" t="str">
            <v>US</v>
          </cell>
          <cell r="H3399" t="str">
            <v>USPUSMPTS</v>
          </cell>
          <cell r="I3399" t="str">
            <v>USTSHC0128008</v>
          </cell>
          <cell r="J3399" t="str">
            <v>XS</v>
          </cell>
          <cell r="K3399" t="str">
            <v>POLO T-SHIRT</v>
          </cell>
          <cell r="L3399" t="str">
            <v>NOD</v>
          </cell>
        </row>
        <row r="3400">
          <cell r="C3400" t="str">
            <v>USTSHC0128</v>
          </cell>
          <cell r="D3400" t="str">
            <v>CORE</v>
          </cell>
          <cell r="E3400" t="str">
            <v>CO25</v>
          </cell>
          <cell r="F3400">
            <v>1699</v>
          </cell>
          <cell r="G3400" t="str">
            <v>US</v>
          </cell>
          <cell r="H3400" t="str">
            <v>USPUSMPTS</v>
          </cell>
          <cell r="I3400" t="str">
            <v>USTSHC0128009</v>
          </cell>
          <cell r="J3400" t="str">
            <v>XXL</v>
          </cell>
          <cell r="K3400" t="str">
            <v>POLO T-SHIRT</v>
          </cell>
          <cell r="L3400" t="str">
            <v>NOD</v>
          </cell>
        </row>
        <row r="3401">
          <cell r="C3401" t="str">
            <v>USTSHC0129</v>
          </cell>
          <cell r="D3401" t="str">
            <v>CORE</v>
          </cell>
          <cell r="E3401" t="str">
            <v>CO25</v>
          </cell>
          <cell r="F3401">
            <v>1899</v>
          </cell>
          <cell r="G3401" t="str">
            <v>US</v>
          </cell>
          <cell r="H3401" t="str">
            <v>USPUSMPTS</v>
          </cell>
          <cell r="I3401" t="str">
            <v>USTSHC0129001</v>
          </cell>
          <cell r="J3401" t="str">
            <v>3XL</v>
          </cell>
          <cell r="K3401" t="str">
            <v>POLO T-SHIRT</v>
          </cell>
          <cell r="L3401" t="str">
            <v>NOD</v>
          </cell>
        </row>
        <row r="3402">
          <cell r="C3402" t="str">
            <v>USTSHC0129</v>
          </cell>
          <cell r="D3402" t="str">
            <v>CORE</v>
          </cell>
          <cell r="E3402" t="str">
            <v>CO25</v>
          </cell>
          <cell r="F3402">
            <v>1899</v>
          </cell>
          <cell r="G3402" t="str">
            <v>US</v>
          </cell>
          <cell r="H3402" t="str">
            <v>USPUSMPTS</v>
          </cell>
          <cell r="I3402" t="str">
            <v>USTSHC0129002</v>
          </cell>
          <cell r="J3402" t="str">
            <v>4XL</v>
          </cell>
          <cell r="K3402" t="str">
            <v>POLO T-SHIRT</v>
          </cell>
          <cell r="L3402" t="str">
            <v>NOD</v>
          </cell>
        </row>
        <row r="3403">
          <cell r="C3403" t="str">
            <v>USTSHC0129</v>
          </cell>
          <cell r="D3403" t="str">
            <v>CORE</v>
          </cell>
          <cell r="E3403" t="str">
            <v>CO25</v>
          </cell>
          <cell r="F3403">
            <v>1899</v>
          </cell>
          <cell r="G3403" t="str">
            <v>US</v>
          </cell>
          <cell r="H3403" t="str">
            <v>USPUSMPTS</v>
          </cell>
          <cell r="I3403" t="str">
            <v>USTSHC0129003</v>
          </cell>
          <cell r="J3403" t="str">
            <v>5XL</v>
          </cell>
          <cell r="K3403" t="str">
            <v>POLO T-SHIRT</v>
          </cell>
          <cell r="L3403" t="str">
            <v>NOD</v>
          </cell>
        </row>
        <row r="3404">
          <cell r="C3404" t="str">
            <v>USTSHC0129</v>
          </cell>
          <cell r="D3404" t="str">
            <v>CORE</v>
          </cell>
          <cell r="E3404" t="str">
            <v>CO25</v>
          </cell>
          <cell r="F3404">
            <v>1699</v>
          </cell>
          <cell r="G3404" t="str">
            <v>US</v>
          </cell>
          <cell r="H3404" t="str">
            <v>USPUSMPTS</v>
          </cell>
          <cell r="I3404" t="str">
            <v>USTSHC0129004</v>
          </cell>
          <cell r="J3404" t="str">
            <v>L</v>
          </cell>
          <cell r="K3404" t="str">
            <v>POLO T-SHIRT</v>
          </cell>
          <cell r="L3404" t="str">
            <v>NOD</v>
          </cell>
        </row>
        <row r="3405">
          <cell r="C3405" t="str">
            <v>USTSHC0129</v>
          </cell>
          <cell r="D3405" t="str">
            <v>CORE</v>
          </cell>
          <cell r="E3405" t="str">
            <v>CO25</v>
          </cell>
          <cell r="F3405">
            <v>1699</v>
          </cell>
          <cell r="G3405" t="str">
            <v>US</v>
          </cell>
          <cell r="H3405" t="str">
            <v>USPUSMPTS</v>
          </cell>
          <cell r="I3405" t="str">
            <v>USTSHC0129005</v>
          </cell>
          <cell r="J3405" t="str">
            <v>M</v>
          </cell>
          <cell r="K3405" t="str">
            <v>POLO T-SHIRT</v>
          </cell>
          <cell r="L3405" t="str">
            <v>NOD</v>
          </cell>
        </row>
        <row r="3406">
          <cell r="C3406" t="str">
            <v>USTSHC0129</v>
          </cell>
          <cell r="D3406" t="str">
            <v>CORE</v>
          </cell>
          <cell r="E3406" t="str">
            <v>CO25</v>
          </cell>
          <cell r="F3406">
            <v>1699</v>
          </cell>
          <cell r="G3406" t="str">
            <v>US</v>
          </cell>
          <cell r="H3406" t="str">
            <v>USPUSMPTS</v>
          </cell>
          <cell r="I3406" t="str">
            <v>USTSHC0129006</v>
          </cell>
          <cell r="J3406" t="str">
            <v>S</v>
          </cell>
          <cell r="K3406" t="str">
            <v>POLO T-SHIRT</v>
          </cell>
          <cell r="L3406" t="str">
            <v>NOD</v>
          </cell>
        </row>
        <row r="3407">
          <cell r="C3407" t="str">
            <v>USTSHC0129</v>
          </cell>
          <cell r="D3407" t="str">
            <v>CORE</v>
          </cell>
          <cell r="E3407" t="str">
            <v>CO25</v>
          </cell>
          <cell r="F3407">
            <v>1699</v>
          </cell>
          <cell r="G3407" t="str">
            <v>US</v>
          </cell>
          <cell r="H3407" t="str">
            <v>USPUSMPTS</v>
          </cell>
          <cell r="I3407" t="str">
            <v>USTSHC0129007</v>
          </cell>
          <cell r="J3407" t="str">
            <v>XL</v>
          </cell>
          <cell r="K3407" t="str">
            <v>POLO T-SHIRT</v>
          </cell>
          <cell r="L3407" t="str">
            <v>NOD</v>
          </cell>
        </row>
        <row r="3408">
          <cell r="C3408" t="str">
            <v>USTSHC0129</v>
          </cell>
          <cell r="D3408" t="str">
            <v>CORE</v>
          </cell>
          <cell r="E3408" t="str">
            <v>CO25</v>
          </cell>
          <cell r="F3408">
            <v>1699</v>
          </cell>
          <cell r="G3408" t="str">
            <v>US</v>
          </cell>
          <cell r="H3408" t="str">
            <v>USPUSMPTS</v>
          </cell>
          <cell r="I3408" t="str">
            <v>USTSHC0129008</v>
          </cell>
          <cell r="J3408" t="str">
            <v>XS</v>
          </cell>
          <cell r="K3408" t="str">
            <v>POLO T-SHIRT</v>
          </cell>
          <cell r="L3408" t="str">
            <v>NOD</v>
          </cell>
        </row>
        <row r="3409">
          <cell r="C3409" t="str">
            <v>USTSHC0129</v>
          </cell>
          <cell r="D3409" t="str">
            <v>CORE</v>
          </cell>
          <cell r="E3409" t="str">
            <v>CO25</v>
          </cell>
          <cell r="F3409">
            <v>1699</v>
          </cell>
          <cell r="G3409" t="str">
            <v>US</v>
          </cell>
          <cell r="H3409" t="str">
            <v>USPUSMPTS</v>
          </cell>
          <cell r="I3409" t="str">
            <v>USTSHC0129009</v>
          </cell>
          <cell r="J3409" t="str">
            <v>XXL</v>
          </cell>
          <cell r="K3409" t="str">
            <v>POLO T-SHIRT</v>
          </cell>
          <cell r="L3409" t="str">
            <v>NOD</v>
          </cell>
        </row>
        <row r="3410">
          <cell r="C3410" t="str">
            <v>USTSHC0130</v>
          </cell>
          <cell r="D3410" t="str">
            <v>CORE</v>
          </cell>
          <cell r="E3410" t="str">
            <v>CO25</v>
          </cell>
          <cell r="F3410">
            <v>1899</v>
          </cell>
          <cell r="G3410" t="str">
            <v>US</v>
          </cell>
          <cell r="H3410" t="str">
            <v>USPUSMPTS</v>
          </cell>
          <cell r="I3410" t="str">
            <v>USTSHC0130001</v>
          </cell>
          <cell r="J3410" t="str">
            <v>3XL</v>
          </cell>
          <cell r="K3410" t="str">
            <v>POLO T-SHIRT</v>
          </cell>
          <cell r="L3410" t="str">
            <v>NOD</v>
          </cell>
        </row>
        <row r="3411">
          <cell r="C3411" t="str">
            <v>USTSHC0130</v>
          </cell>
          <cell r="D3411" t="str">
            <v>CORE</v>
          </cell>
          <cell r="E3411" t="str">
            <v>CO25</v>
          </cell>
          <cell r="F3411">
            <v>1899</v>
          </cell>
          <cell r="G3411" t="str">
            <v>US</v>
          </cell>
          <cell r="H3411" t="str">
            <v>USPUSMPTS</v>
          </cell>
          <cell r="I3411" t="str">
            <v>USTSHC0130002</v>
          </cell>
          <cell r="J3411" t="str">
            <v>4XL</v>
          </cell>
          <cell r="K3411" t="str">
            <v>POLO T-SHIRT</v>
          </cell>
          <cell r="L3411" t="str">
            <v>NOD</v>
          </cell>
        </row>
        <row r="3412">
          <cell r="C3412" t="str">
            <v>USTSHC0130</v>
          </cell>
          <cell r="D3412" t="str">
            <v>CORE</v>
          </cell>
          <cell r="E3412" t="str">
            <v>CO25</v>
          </cell>
          <cell r="F3412">
            <v>1899</v>
          </cell>
          <cell r="G3412" t="str">
            <v>US</v>
          </cell>
          <cell r="H3412" t="str">
            <v>USPUSMPTS</v>
          </cell>
          <cell r="I3412" t="str">
            <v>USTSHC0130003</v>
          </cell>
          <cell r="J3412" t="str">
            <v>5XL</v>
          </cell>
          <cell r="K3412" t="str">
            <v>POLO T-SHIRT</v>
          </cell>
          <cell r="L3412" t="str">
            <v>NOD</v>
          </cell>
        </row>
        <row r="3413">
          <cell r="C3413" t="str">
            <v>USTSHC0130</v>
          </cell>
          <cell r="D3413" t="str">
            <v>CORE</v>
          </cell>
          <cell r="E3413" t="str">
            <v>CO25</v>
          </cell>
          <cell r="F3413">
            <v>1699</v>
          </cell>
          <cell r="G3413" t="str">
            <v>US</v>
          </cell>
          <cell r="H3413" t="str">
            <v>USPUSMPTS</v>
          </cell>
          <cell r="I3413" t="str">
            <v>USTSHC0130004</v>
          </cell>
          <cell r="J3413" t="str">
            <v>L</v>
          </cell>
          <cell r="K3413" t="str">
            <v>POLO T-SHIRT</v>
          </cell>
          <cell r="L3413" t="str">
            <v>NOD</v>
          </cell>
        </row>
        <row r="3414">
          <cell r="C3414" t="str">
            <v>USTSHC0130</v>
          </cell>
          <cell r="D3414" t="str">
            <v>CORE</v>
          </cell>
          <cell r="E3414" t="str">
            <v>CO25</v>
          </cell>
          <cell r="F3414">
            <v>1699</v>
          </cell>
          <cell r="G3414" t="str">
            <v>US</v>
          </cell>
          <cell r="H3414" t="str">
            <v>USPUSMPTS</v>
          </cell>
          <cell r="I3414" t="str">
            <v>USTSHC0130005</v>
          </cell>
          <cell r="J3414" t="str">
            <v>M</v>
          </cell>
          <cell r="K3414" t="str">
            <v>POLO T-SHIRT</v>
          </cell>
          <cell r="L3414" t="str">
            <v>NOD</v>
          </cell>
        </row>
        <row r="3415">
          <cell r="C3415" t="str">
            <v>USTSHC0130</v>
          </cell>
          <cell r="D3415" t="str">
            <v>CORE</v>
          </cell>
          <cell r="E3415" t="str">
            <v>CO25</v>
          </cell>
          <cell r="F3415">
            <v>1699</v>
          </cell>
          <cell r="G3415" t="str">
            <v>US</v>
          </cell>
          <cell r="H3415" t="str">
            <v>USPUSMPTS</v>
          </cell>
          <cell r="I3415" t="str">
            <v>USTSHC0130006</v>
          </cell>
          <cell r="J3415" t="str">
            <v>S</v>
          </cell>
          <cell r="K3415" t="str">
            <v>POLO T-SHIRT</v>
          </cell>
          <cell r="L3415" t="str">
            <v>NOD</v>
          </cell>
        </row>
        <row r="3416">
          <cell r="C3416" t="str">
            <v>USTSHC0130</v>
          </cell>
          <cell r="D3416" t="str">
            <v>CORE</v>
          </cell>
          <cell r="E3416" t="str">
            <v>CO25</v>
          </cell>
          <cell r="F3416">
            <v>1699</v>
          </cell>
          <cell r="G3416" t="str">
            <v>US</v>
          </cell>
          <cell r="H3416" t="str">
            <v>USPUSMPTS</v>
          </cell>
          <cell r="I3416" t="str">
            <v>USTSHC0130007</v>
          </cell>
          <cell r="J3416" t="str">
            <v>XL</v>
          </cell>
          <cell r="K3416" t="str">
            <v>POLO T-SHIRT</v>
          </cell>
          <cell r="L3416" t="str">
            <v>NOD</v>
          </cell>
        </row>
        <row r="3417">
          <cell r="C3417" t="str">
            <v>USTSHC0130</v>
          </cell>
          <cell r="D3417" t="str">
            <v>CORE</v>
          </cell>
          <cell r="E3417" t="str">
            <v>CO25</v>
          </cell>
          <cell r="F3417">
            <v>1699</v>
          </cell>
          <cell r="G3417" t="str">
            <v>US</v>
          </cell>
          <cell r="H3417" t="str">
            <v>USPUSMPTS</v>
          </cell>
          <cell r="I3417" t="str">
            <v>USTSHC0130008</v>
          </cell>
          <cell r="J3417" t="str">
            <v>XS</v>
          </cell>
          <cell r="K3417" t="str">
            <v>POLO T-SHIRT</v>
          </cell>
          <cell r="L3417" t="str">
            <v>NOD</v>
          </cell>
        </row>
        <row r="3418">
          <cell r="C3418" t="str">
            <v>USTSHC0130</v>
          </cell>
          <cell r="D3418" t="str">
            <v>CORE</v>
          </cell>
          <cell r="E3418" t="str">
            <v>CO25</v>
          </cell>
          <cell r="F3418">
            <v>1699</v>
          </cell>
          <cell r="G3418" t="str">
            <v>US</v>
          </cell>
          <cell r="H3418" t="str">
            <v>USPUSMPTS</v>
          </cell>
          <cell r="I3418" t="str">
            <v>USTSHC0130009</v>
          </cell>
          <cell r="J3418" t="str">
            <v>XXL</v>
          </cell>
          <cell r="K3418" t="str">
            <v>POLO T-SHIRT</v>
          </cell>
          <cell r="L3418" t="str">
            <v>NOD</v>
          </cell>
        </row>
        <row r="3419">
          <cell r="C3419" t="str">
            <v>USTSHC0131</v>
          </cell>
          <cell r="D3419" t="str">
            <v>CORE</v>
          </cell>
          <cell r="E3419" t="str">
            <v>CO25</v>
          </cell>
          <cell r="F3419">
            <v>1899</v>
          </cell>
          <cell r="G3419" t="str">
            <v>US</v>
          </cell>
          <cell r="H3419" t="str">
            <v>USPUSMPTS</v>
          </cell>
          <cell r="I3419" t="str">
            <v>USTSHC0131001</v>
          </cell>
          <cell r="J3419" t="str">
            <v>3XL</v>
          </cell>
          <cell r="K3419" t="str">
            <v>POLO T-SHIRT</v>
          </cell>
          <cell r="L3419" t="str">
            <v>NOD</v>
          </cell>
        </row>
        <row r="3420">
          <cell r="C3420" t="str">
            <v>USTSHC0131</v>
          </cell>
          <cell r="D3420" t="str">
            <v>CORE</v>
          </cell>
          <cell r="E3420" t="str">
            <v>CO25</v>
          </cell>
          <cell r="F3420">
            <v>1899</v>
          </cell>
          <cell r="G3420" t="str">
            <v>US</v>
          </cell>
          <cell r="H3420" t="str">
            <v>USPUSMPTS</v>
          </cell>
          <cell r="I3420" t="str">
            <v>USTSHC0131002</v>
          </cell>
          <cell r="J3420" t="str">
            <v>4XL</v>
          </cell>
          <cell r="K3420" t="str">
            <v>POLO T-SHIRT</v>
          </cell>
          <cell r="L3420" t="str">
            <v>NOD</v>
          </cell>
        </row>
        <row r="3421">
          <cell r="C3421" t="str">
            <v>USTSHC0131</v>
          </cell>
          <cell r="D3421" t="str">
            <v>CORE</v>
          </cell>
          <cell r="E3421" t="str">
            <v>CO25</v>
          </cell>
          <cell r="F3421">
            <v>1899</v>
          </cell>
          <cell r="G3421" t="str">
            <v>US</v>
          </cell>
          <cell r="H3421" t="str">
            <v>USPUSMPTS</v>
          </cell>
          <cell r="I3421" t="str">
            <v>USTSHC0131003</v>
          </cell>
          <cell r="J3421" t="str">
            <v>5XL</v>
          </cell>
          <cell r="K3421" t="str">
            <v>POLO T-SHIRT</v>
          </cell>
          <cell r="L3421" t="str">
            <v>NOD</v>
          </cell>
        </row>
        <row r="3422">
          <cell r="C3422" t="str">
            <v>USTSHC0131</v>
          </cell>
          <cell r="D3422" t="str">
            <v>CORE</v>
          </cell>
          <cell r="E3422" t="str">
            <v>CO25</v>
          </cell>
          <cell r="F3422">
            <v>1699</v>
          </cell>
          <cell r="G3422" t="str">
            <v>US</v>
          </cell>
          <cell r="H3422" t="str">
            <v>USPUSMPTS</v>
          </cell>
          <cell r="I3422" t="str">
            <v>USTSHC0131004</v>
          </cell>
          <cell r="J3422" t="str">
            <v>L</v>
          </cell>
          <cell r="K3422" t="str">
            <v>POLO T-SHIRT</v>
          </cell>
          <cell r="L3422" t="str">
            <v>NOD</v>
          </cell>
        </row>
        <row r="3423">
          <cell r="C3423" t="str">
            <v>USTSHC0131</v>
          </cell>
          <cell r="D3423" t="str">
            <v>CORE</v>
          </cell>
          <cell r="E3423" t="str">
            <v>CO25</v>
          </cell>
          <cell r="F3423">
            <v>1699</v>
          </cell>
          <cell r="G3423" t="str">
            <v>US</v>
          </cell>
          <cell r="H3423" t="str">
            <v>USPUSMPTS</v>
          </cell>
          <cell r="I3423" t="str">
            <v>USTSHC0131005</v>
          </cell>
          <cell r="J3423" t="str">
            <v>M</v>
          </cell>
          <cell r="K3423" t="str">
            <v>POLO T-SHIRT</v>
          </cell>
          <cell r="L3423" t="str">
            <v>NOD</v>
          </cell>
        </row>
        <row r="3424">
          <cell r="C3424" t="str">
            <v>USTSHC0131</v>
          </cell>
          <cell r="D3424" t="str">
            <v>CORE</v>
          </cell>
          <cell r="E3424" t="str">
            <v>CO25</v>
          </cell>
          <cell r="F3424">
            <v>1699</v>
          </cell>
          <cell r="G3424" t="str">
            <v>US</v>
          </cell>
          <cell r="H3424" t="str">
            <v>USPUSMPTS</v>
          </cell>
          <cell r="I3424" t="str">
            <v>USTSHC0131006</v>
          </cell>
          <cell r="J3424" t="str">
            <v>S</v>
          </cell>
          <cell r="K3424" t="str">
            <v>POLO T-SHIRT</v>
          </cell>
          <cell r="L3424" t="str">
            <v>NOD</v>
          </cell>
        </row>
        <row r="3425">
          <cell r="C3425" t="str">
            <v>USTSHC0131</v>
          </cell>
          <cell r="D3425" t="str">
            <v>CORE</v>
          </cell>
          <cell r="E3425" t="str">
            <v>CO25</v>
          </cell>
          <cell r="F3425">
            <v>1699</v>
          </cell>
          <cell r="G3425" t="str">
            <v>US</v>
          </cell>
          <cell r="H3425" t="str">
            <v>USPUSMPTS</v>
          </cell>
          <cell r="I3425" t="str">
            <v>USTSHC0131007</v>
          </cell>
          <cell r="J3425" t="str">
            <v>XL</v>
          </cell>
          <cell r="K3425" t="str">
            <v>POLO T-SHIRT</v>
          </cell>
          <cell r="L3425" t="str">
            <v>NOD</v>
          </cell>
        </row>
        <row r="3426">
          <cell r="C3426" t="str">
            <v>USTSHC0131</v>
          </cell>
          <cell r="D3426" t="str">
            <v>CORE</v>
          </cell>
          <cell r="E3426" t="str">
            <v>CO25</v>
          </cell>
          <cell r="F3426">
            <v>1699</v>
          </cell>
          <cell r="G3426" t="str">
            <v>US</v>
          </cell>
          <cell r="H3426" t="str">
            <v>USPUSMPTS</v>
          </cell>
          <cell r="I3426" t="str">
            <v>USTSHC0131008</v>
          </cell>
          <cell r="J3426" t="str">
            <v>XS</v>
          </cell>
          <cell r="K3426" t="str">
            <v>POLO T-SHIRT</v>
          </cell>
          <cell r="L3426" t="str">
            <v>NOD</v>
          </cell>
        </row>
        <row r="3427">
          <cell r="C3427" t="str">
            <v>USTSHC0131</v>
          </cell>
          <cell r="D3427" t="str">
            <v>CORE</v>
          </cell>
          <cell r="E3427" t="str">
            <v>CO25</v>
          </cell>
          <cell r="F3427">
            <v>1699</v>
          </cell>
          <cell r="G3427" t="str">
            <v>US</v>
          </cell>
          <cell r="H3427" t="str">
            <v>USPUSMPTS</v>
          </cell>
          <cell r="I3427" t="str">
            <v>USTSHC0131009</v>
          </cell>
          <cell r="J3427" t="str">
            <v>XXL</v>
          </cell>
          <cell r="K3427" t="str">
            <v>POLO T-SHIRT</v>
          </cell>
          <cell r="L3427" t="str">
            <v>NOD</v>
          </cell>
        </row>
        <row r="3428">
          <cell r="C3428" t="str">
            <v>USTSHC0149</v>
          </cell>
          <cell r="D3428" t="str">
            <v>CORE</v>
          </cell>
          <cell r="E3428" t="str">
            <v>CO25</v>
          </cell>
          <cell r="F3428">
            <v>1899</v>
          </cell>
          <cell r="G3428" t="str">
            <v>US</v>
          </cell>
          <cell r="H3428" t="str">
            <v>USPUSMPTS</v>
          </cell>
          <cell r="I3428" t="str">
            <v>USTSHC0149001</v>
          </cell>
          <cell r="J3428" t="str">
            <v>3XL</v>
          </cell>
          <cell r="K3428" t="str">
            <v>POLO T-SHIRT</v>
          </cell>
          <cell r="L3428" t="str">
            <v>NOD</v>
          </cell>
        </row>
        <row r="3429">
          <cell r="C3429" t="str">
            <v>USTSHC0149</v>
          </cell>
          <cell r="D3429" t="str">
            <v>CORE</v>
          </cell>
          <cell r="E3429" t="str">
            <v>CO25</v>
          </cell>
          <cell r="F3429">
            <v>1899</v>
          </cell>
          <cell r="G3429" t="str">
            <v>US</v>
          </cell>
          <cell r="H3429" t="str">
            <v>USPUSMPTS</v>
          </cell>
          <cell r="I3429" t="str">
            <v>USTSHC0149002</v>
          </cell>
          <cell r="J3429" t="str">
            <v>4XL</v>
          </cell>
          <cell r="K3429" t="str">
            <v>POLO T-SHIRT</v>
          </cell>
          <cell r="L3429" t="str">
            <v>NOD</v>
          </cell>
        </row>
        <row r="3430">
          <cell r="C3430" t="str">
            <v>USTSHC0149</v>
          </cell>
          <cell r="D3430" t="str">
            <v>CORE</v>
          </cell>
          <cell r="E3430" t="str">
            <v>CO25</v>
          </cell>
          <cell r="F3430">
            <v>1899</v>
          </cell>
          <cell r="G3430" t="str">
            <v>US</v>
          </cell>
          <cell r="H3430" t="str">
            <v>USPUSMPTS</v>
          </cell>
          <cell r="I3430" t="str">
            <v>USTSHC0149003</v>
          </cell>
          <cell r="J3430" t="str">
            <v>5XL</v>
          </cell>
          <cell r="K3430" t="str">
            <v>POLO T-SHIRT</v>
          </cell>
          <cell r="L3430" t="str">
            <v>NOD</v>
          </cell>
        </row>
        <row r="3431">
          <cell r="C3431" t="str">
            <v>USTSHC0149</v>
          </cell>
          <cell r="D3431" t="str">
            <v>CORE</v>
          </cell>
          <cell r="E3431" t="str">
            <v>CO25</v>
          </cell>
          <cell r="F3431">
            <v>1699</v>
          </cell>
          <cell r="G3431" t="str">
            <v>US</v>
          </cell>
          <cell r="H3431" t="str">
            <v>USPUSMPTS</v>
          </cell>
          <cell r="I3431" t="str">
            <v>USTSHC0149004</v>
          </cell>
          <cell r="J3431" t="str">
            <v>L</v>
          </cell>
          <cell r="K3431" t="str">
            <v>POLO T-SHIRT</v>
          </cell>
          <cell r="L3431" t="str">
            <v>NOD</v>
          </cell>
        </row>
        <row r="3432">
          <cell r="C3432" t="str">
            <v>USTSHC0149</v>
          </cell>
          <cell r="D3432" t="str">
            <v>CORE</v>
          </cell>
          <cell r="E3432" t="str">
            <v>CO25</v>
          </cell>
          <cell r="F3432">
            <v>1699</v>
          </cell>
          <cell r="G3432" t="str">
            <v>US</v>
          </cell>
          <cell r="H3432" t="str">
            <v>USPUSMPTS</v>
          </cell>
          <cell r="I3432" t="str">
            <v>USTSHC0149005</v>
          </cell>
          <cell r="J3432" t="str">
            <v>M</v>
          </cell>
          <cell r="K3432" t="str">
            <v>POLO T-SHIRT</v>
          </cell>
          <cell r="L3432" t="str">
            <v>NOD</v>
          </cell>
        </row>
        <row r="3433">
          <cell r="C3433" t="str">
            <v>USTSHC0149</v>
          </cell>
          <cell r="D3433" t="str">
            <v>CORE</v>
          </cell>
          <cell r="E3433" t="str">
            <v>CO25</v>
          </cell>
          <cell r="F3433">
            <v>1699</v>
          </cell>
          <cell r="G3433" t="str">
            <v>US</v>
          </cell>
          <cell r="H3433" t="str">
            <v>USPUSMPTS</v>
          </cell>
          <cell r="I3433" t="str">
            <v>USTSHC0149006</v>
          </cell>
          <cell r="J3433" t="str">
            <v>S</v>
          </cell>
          <cell r="K3433" t="str">
            <v>POLO T-SHIRT</v>
          </cell>
          <cell r="L3433" t="str">
            <v>NOD</v>
          </cell>
        </row>
        <row r="3434">
          <cell r="C3434" t="str">
            <v>USTSHC0149</v>
          </cell>
          <cell r="D3434" t="str">
            <v>CORE</v>
          </cell>
          <cell r="E3434" t="str">
            <v>CO25</v>
          </cell>
          <cell r="F3434">
            <v>1699</v>
          </cell>
          <cell r="G3434" t="str">
            <v>US</v>
          </cell>
          <cell r="H3434" t="str">
            <v>USPUSMPTS</v>
          </cell>
          <cell r="I3434" t="str">
            <v>USTSHC0149007</v>
          </cell>
          <cell r="J3434" t="str">
            <v>XL</v>
          </cell>
          <cell r="K3434" t="str">
            <v>POLO T-SHIRT</v>
          </cell>
          <cell r="L3434" t="str">
            <v>NOD</v>
          </cell>
        </row>
        <row r="3435">
          <cell r="C3435" t="str">
            <v>USTSHC0149</v>
          </cell>
          <cell r="D3435" t="str">
            <v>CORE</v>
          </cell>
          <cell r="E3435" t="str">
            <v>CO25</v>
          </cell>
          <cell r="F3435">
            <v>1699</v>
          </cell>
          <cell r="G3435" t="str">
            <v>US</v>
          </cell>
          <cell r="H3435" t="str">
            <v>USPUSMPTS</v>
          </cell>
          <cell r="I3435" t="str">
            <v>USTSHC0149008</v>
          </cell>
          <cell r="J3435" t="str">
            <v>XS</v>
          </cell>
          <cell r="K3435" t="str">
            <v>POLO T-SHIRT</v>
          </cell>
          <cell r="L3435" t="str">
            <v>NOD</v>
          </cell>
        </row>
        <row r="3436">
          <cell r="C3436" t="str">
            <v>USTSHC0149</v>
          </cell>
          <cell r="D3436" t="str">
            <v>CORE</v>
          </cell>
          <cell r="E3436" t="str">
            <v>CO25</v>
          </cell>
          <cell r="F3436">
            <v>1699</v>
          </cell>
          <cell r="G3436" t="str">
            <v>US</v>
          </cell>
          <cell r="H3436" t="str">
            <v>USPUSMPTS</v>
          </cell>
          <cell r="I3436" t="str">
            <v>USTSHC0149009</v>
          </cell>
          <cell r="J3436" t="str">
            <v>XXL</v>
          </cell>
          <cell r="K3436" t="str">
            <v>POLO T-SHIRT</v>
          </cell>
          <cell r="L3436" t="str">
            <v>NOD</v>
          </cell>
        </row>
        <row r="3437">
          <cell r="C3437" t="str">
            <v>USTSHC0150</v>
          </cell>
          <cell r="D3437" t="str">
            <v>CORE</v>
          </cell>
          <cell r="E3437" t="str">
            <v>CO25</v>
          </cell>
          <cell r="F3437">
            <v>1799</v>
          </cell>
          <cell r="G3437" t="str">
            <v>US</v>
          </cell>
          <cell r="H3437" t="str">
            <v>USPUSMPTS</v>
          </cell>
          <cell r="I3437" t="str">
            <v>USTSHC0150001</v>
          </cell>
          <cell r="J3437" t="str">
            <v>3XL</v>
          </cell>
          <cell r="K3437" t="str">
            <v>POLO T-SHIRT</v>
          </cell>
          <cell r="L3437" t="str">
            <v>NOD</v>
          </cell>
        </row>
        <row r="3438">
          <cell r="C3438" t="str">
            <v>USTSHC0150</v>
          </cell>
          <cell r="D3438" t="str">
            <v>CORE</v>
          </cell>
          <cell r="E3438" t="str">
            <v>CO25</v>
          </cell>
          <cell r="F3438">
            <v>1799</v>
          </cell>
          <cell r="G3438" t="str">
            <v>US</v>
          </cell>
          <cell r="H3438" t="str">
            <v>USPUSMPTS</v>
          </cell>
          <cell r="I3438" t="str">
            <v>USTSHC0150002</v>
          </cell>
          <cell r="J3438" t="str">
            <v>4XL</v>
          </cell>
          <cell r="K3438" t="str">
            <v>POLO T-SHIRT</v>
          </cell>
          <cell r="L3438" t="str">
            <v>NOD</v>
          </cell>
        </row>
        <row r="3439">
          <cell r="C3439" t="str">
            <v>USTSHC0150</v>
          </cell>
          <cell r="D3439" t="str">
            <v>CORE</v>
          </cell>
          <cell r="E3439" t="str">
            <v>CO25</v>
          </cell>
          <cell r="F3439">
            <v>1799</v>
          </cell>
          <cell r="G3439" t="str">
            <v>US</v>
          </cell>
          <cell r="H3439" t="str">
            <v>USPUSMPTS</v>
          </cell>
          <cell r="I3439" t="str">
            <v>USTSHC0150003</v>
          </cell>
          <cell r="J3439" t="str">
            <v>5XL</v>
          </cell>
          <cell r="K3439" t="str">
            <v>POLO T-SHIRT</v>
          </cell>
          <cell r="L3439" t="str">
            <v>NOD</v>
          </cell>
        </row>
        <row r="3440">
          <cell r="C3440" t="str">
            <v>USTSHC0150</v>
          </cell>
          <cell r="D3440" t="str">
            <v>CORE</v>
          </cell>
          <cell r="E3440" t="str">
            <v>CO25</v>
          </cell>
          <cell r="F3440">
            <v>1599</v>
          </cell>
          <cell r="G3440" t="str">
            <v>US</v>
          </cell>
          <cell r="H3440" t="str">
            <v>USPUSMPTS</v>
          </cell>
          <cell r="I3440" t="str">
            <v>USTSHC0150004</v>
          </cell>
          <cell r="J3440" t="str">
            <v>L</v>
          </cell>
          <cell r="K3440" t="str">
            <v>POLO T-SHIRT</v>
          </cell>
          <cell r="L3440" t="str">
            <v>NOD</v>
          </cell>
        </row>
        <row r="3441">
          <cell r="C3441" t="str">
            <v>USTSHC0150</v>
          </cell>
          <cell r="D3441" t="str">
            <v>CORE</v>
          </cell>
          <cell r="E3441" t="str">
            <v>CO25</v>
          </cell>
          <cell r="F3441">
            <v>1599</v>
          </cell>
          <cell r="G3441" t="str">
            <v>US</v>
          </cell>
          <cell r="H3441" t="str">
            <v>USPUSMPTS</v>
          </cell>
          <cell r="I3441" t="str">
            <v>USTSHC0150005</v>
          </cell>
          <cell r="J3441" t="str">
            <v>M</v>
          </cell>
          <cell r="K3441" t="str">
            <v>POLO T-SHIRT</v>
          </cell>
          <cell r="L3441" t="str">
            <v>NOD</v>
          </cell>
        </row>
        <row r="3442">
          <cell r="C3442" t="str">
            <v>USTSHC0150</v>
          </cell>
          <cell r="D3442" t="str">
            <v>CORE</v>
          </cell>
          <cell r="E3442" t="str">
            <v>CO25</v>
          </cell>
          <cell r="F3442">
            <v>1599</v>
          </cell>
          <cell r="G3442" t="str">
            <v>US</v>
          </cell>
          <cell r="H3442" t="str">
            <v>USPUSMPTS</v>
          </cell>
          <cell r="I3442" t="str">
            <v>USTSHC0150006</v>
          </cell>
          <cell r="J3442" t="str">
            <v>S</v>
          </cell>
          <cell r="K3442" t="str">
            <v>POLO T-SHIRT</v>
          </cell>
          <cell r="L3442" t="str">
            <v>NOD</v>
          </cell>
        </row>
        <row r="3443">
          <cell r="C3443" t="str">
            <v>USTSHC0150</v>
          </cell>
          <cell r="D3443" t="str">
            <v>CORE</v>
          </cell>
          <cell r="E3443" t="str">
            <v>CO25</v>
          </cell>
          <cell r="F3443">
            <v>1599</v>
          </cell>
          <cell r="G3443" t="str">
            <v>US</v>
          </cell>
          <cell r="H3443" t="str">
            <v>USPUSMPTS</v>
          </cell>
          <cell r="I3443" t="str">
            <v>USTSHC0150007</v>
          </cell>
          <cell r="J3443" t="str">
            <v>XL</v>
          </cell>
          <cell r="K3443" t="str">
            <v>POLO T-SHIRT</v>
          </cell>
          <cell r="L3443" t="str">
            <v>NOD</v>
          </cell>
        </row>
        <row r="3444">
          <cell r="C3444" t="str">
            <v>USTSHC0150</v>
          </cell>
          <cell r="D3444" t="str">
            <v>CORE</v>
          </cell>
          <cell r="E3444" t="str">
            <v>CO25</v>
          </cell>
          <cell r="F3444">
            <v>1599</v>
          </cell>
          <cell r="G3444" t="str">
            <v>US</v>
          </cell>
          <cell r="H3444" t="str">
            <v>USPUSMPTS</v>
          </cell>
          <cell r="I3444" t="str">
            <v>USTSHC0150008</v>
          </cell>
          <cell r="J3444" t="str">
            <v>XS</v>
          </cell>
          <cell r="K3444" t="str">
            <v>POLO T-SHIRT</v>
          </cell>
          <cell r="L3444" t="str">
            <v>NOD</v>
          </cell>
        </row>
        <row r="3445">
          <cell r="C3445" t="str">
            <v>USTSHC0150</v>
          </cell>
          <cell r="D3445" t="str">
            <v>CORE</v>
          </cell>
          <cell r="E3445" t="str">
            <v>CO25</v>
          </cell>
          <cell r="F3445">
            <v>1599</v>
          </cell>
          <cell r="G3445" t="str">
            <v>US</v>
          </cell>
          <cell r="H3445" t="str">
            <v>USPUSMPTS</v>
          </cell>
          <cell r="I3445" t="str">
            <v>USTSHC0150009</v>
          </cell>
          <cell r="J3445" t="str">
            <v>XXL</v>
          </cell>
          <cell r="K3445" t="str">
            <v>POLO T-SHIRT</v>
          </cell>
          <cell r="L3445" t="str">
            <v>NOD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 1"/>
    </sheetNames>
    <sheetDataSet>
      <sheetData sheetId="0" refreshError="1">
        <row r="2">
          <cell r="B2">
            <v>1059</v>
          </cell>
          <cell r="C2">
            <v>0.12</v>
          </cell>
          <cell r="D2">
            <v>113.46</v>
          </cell>
          <cell r="E2">
            <v>945.54</v>
          </cell>
          <cell r="F2">
            <v>0.05</v>
          </cell>
          <cell r="G2">
            <v>47.28</v>
          </cell>
          <cell r="H2">
            <v>992.81</v>
          </cell>
          <cell r="I2">
            <v>-66.179999999999993</v>
          </cell>
        </row>
        <row r="3">
          <cell r="B3">
            <v>1079</v>
          </cell>
          <cell r="C3">
            <v>0.12</v>
          </cell>
          <cell r="D3">
            <v>115.61</v>
          </cell>
          <cell r="E3">
            <v>963.39</v>
          </cell>
          <cell r="F3">
            <v>0.05</v>
          </cell>
          <cell r="G3">
            <v>48.17</v>
          </cell>
          <cell r="H3">
            <v>1011.56</v>
          </cell>
          <cell r="I3">
            <v>-67.44</v>
          </cell>
        </row>
        <row r="4">
          <cell r="B4">
            <v>1098</v>
          </cell>
          <cell r="C4">
            <v>0.12</v>
          </cell>
          <cell r="D4">
            <v>117.64</v>
          </cell>
          <cell r="E4">
            <v>980.36</v>
          </cell>
          <cell r="F4">
            <v>0.05</v>
          </cell>
          <cell r="G4">
            <v>49.02</v>
          </cell>
          <cell r="H4">
            <v>1029.3800000000001</v>
          </cell>
          <cell r="I4">
            <v>-68.62</v>
          </cell>
        </row>
        <row r="5">
          <cell r="B5">
            <v>1099</v>
          </cell>
          <cell r="C5">
            <v>0.12</v>
          </cell>
          <cell r="D5">
            <v>117.75</v>
          </cell>
          <cell r="E5">
            <v>981.25</v>
          </cell>
          <cell r="F5">
            <v>0.05</v>
          </cell>
          <cell r="G5">
            <v>49.06</v>
          </cell>
          <cell r="H5">
            <v>1030.31</v>
          </cell>
          <cell r="I5">
            <v>-68.69</v>
          </cell>
        </row>
        <row r="6">
          <cell r="B6">
            <v>1107</v>
          </cell>
          <cell r="C6">
            <v>0.12</v>
          </cell>
          <cell r="D6">
            <v>118.61</v>
          </cell>
          <cell r="E6">
            <v>988.39</v>
          </cell>
          <cell r="F6">
            <v>0.05</v>
          </cell>
          <cell r="G6">
            <v>49.42</v>
          </cell>
          <cell r="H6">
            <v>1037.81</v>
          </cell>
          <cell r="I6">
            <v>-69.19</v>
          </cell>
        </row>
        <row r="7">
          <cell r="B7">
            <v>1119</v>
          </cell>
          <cell r="C7">
            <v>0.12</v>
          </cell>
          <cell r="D7">
            <v>119.89</v>
          </cell>
          <cell r="E7">
            <v>999.11</v>
          </cell>
          <cell r="F7">
            <v>0.05</v>
          </cell>
          <cell r="G7">
            <v>49.96</v>
          </cell>
          <cell r="H7">
            <v>1049.06</v>
          </cell>
          <cell r="I7">
            <v>-69.930000000000007</v>
          </cell>
        </row>
        <row r="8">
          <cell r="B8">
            <v>1149</v>
          </cell>
          <cell r="C8">
            <v>0.12</v>
          </cell>
          <cell r="D8">
            <v>123.11</v>
          </cell>
          <cell r="E8">
            <v>1025.8900000000001</v>
          </cell>
          <cell r="F8">
            <v>0.05</v>
          </cell>
          <cell r="G8">
            <v>51.29</v>
          </cell>
          <cell r="H8">
            <v>1077.19</v>
          </cell>
          <cell r="I8">
            <v>-71.819999999999993</v>
          </cell>
        </row>
        <row r="9">
          <cell r="B9">
            <v>1179</v>
          </cell>
          <cell r="C9">
            <v>0.12</v>
          </cell>
          <cell r="D9">
            <v>126.32</v>
          </cell>
          <cell r="E9">
            <v>1052.68</v>
          </cell>
          <cell r="F9">
            <v>0.05</v>
          </cell>
          <cell r="G9">
            <v>52.63</v>
          </cell>
          <cell r="H9">
            <v>1105.31</v>
          </cell>
          <cell r="I9">
            <v>-73.69</v>
          </cell>
        </row>
        <row r="10">
          <cell r="B10">
            <v>1197</v>
          </cell>
          <cell r="C10">
            <v>0.12</v>
          </cell>
          <cell r="D10">
            <v>128.25</v>
          </cell>
          <cell r="E10">
            <v>1068.75</v>
          </cell>
          <cell r="F10">
            <v>0.05</v>
          </cell>
          <cell r="G10">
            <v>53.44</v>
          </cell>
          <cell r="H10">
            <v>1122.19</v>
          </cell>
          <cell r="I10">
            <v>-74.81</v>
          </cell>
        </row>
        <row r="11">
          <cell r="B11">
            <v>1199</v>
          </cell>
          <cell r="C11">
            <v>0.12</v>
          </cell>
          <cell r="D11">
            <v>128.46</v>
          </cell>
          <cell r="E11">
            <v>1070.54</v>
          </cell>
          <cell r="F11">
            <v>0.05</v>
          </cell>
          <cell r="G11">
            <v>53.53</v>
          </cell>
          <cell r="H11">
            <v>1124.06</v>
          </cell>
          <cell r="I11">
            <v>-74.930000000000007</v>
          </cell>
        </row>
        <row r="12">
          <cell r="B12">
            <v>1249</v>
          </cell>
          <cell r="C12">
            <v>0.12</v>
          </cell>
          <cell r="D12">
            <v>133.82</v>
          </cell>
          <cell r="E12">
            <v>1115.18</v>
          </cell>
          <cell r="F12">
            <v>0.05</v>
          </cell>
          <cell r="G12">
            <v>55.76</v>
          </cell>
          <cell r="H12">
            <v>1170.94</v>
          </cell>
          <cell r="I12">
            <v>-78.06</v>
          </cell>
        </row>
        <row r="13">
          <cell r="B13">
            <v>1259</v>
          </cell>
          <cell r="C13">
            <v>0.12</v>
          </cell>
          <cell r="D13">
            <v>134.88999999999999</v>
          </cell>
          <cell r="E13">
            <v>1124.1099999999999</v>
          </cell>
          <cell r="F13">
            <v>0.05</v>
          </cell>
          <cell r="G13">
            <v>56.21</v>
          </cell>
          <cell r="H13">
            <v>1180.31</v>
          </cell>
          <cell r="I13">
            <v>-78.679999999999978</v>
          </cell>
        </row>
        <row r="14">
          <cell r="B14">
            <v>1298</v>
          </cell>
          <cell r="C14">
            <v>0.12</v>
          </cell>
          <cell r="D14">
            <v>139.07</v>
          </cell>
          <cell r="E14">
            <v>1158.93</v>
          </cell>
          <cell r="F14">
            <v>0.05</v>
          </cell>
          <cell r="G14">
            <v>57.95</v>
          </cell>
          <cell r="H14">
            <v>1216.8800000000001</v>
          </cell>
          <cell r="I14">
            <v>-81.11999999999999</v>
          </cell>
        </row>
        <row r="15">
          <cell r="B15">
            <v>1299</v>
          </cell>
          <cell r="C15">
            <v>0.12</v>
          </cell>
          <cell r="D15">
            <v>139.18</v>
          </cell>
          <cell r="E15">
            <v>1159.82</v>
          </cell>
          <cell r="F15">
            <v>0.05</v>
          </cell>
          <cell r="G15">
            <v>57.99</v>
          </cell>
          <cell r="H15">
            <v>1217.81</v>
          </cell>
          <cell r="I15">
            <v>-81.19</v>
          </cell>
        </row>
        <row r="16">
          <cell r="B16">
            <v>1349</v>
          </cell>
          <cell r="C16">
            <v>0.12</v>
          </cell>
          <cell r="D16">
            <v>144.54</v>
          </cell>
          <cell r="E16">
            <v>1204.46</v>
          </cell>
          <cell r="F16">
            <v>0.05</v>
          </cell>
          <cell r="G16">
            <v>60.22</v>
          </cell>
          <cell r="H16">
            <v>1264.69</v>
          </cell>
          <cell r="I16">
            <v>-84.32</v>
          </cell>
        </row>
        <row r="17">
          <cell r="B17">
            <v>1399</v>
          </cell>
          <cell r="C17">
            <v>0.12</v>
          </cell>
          <cell r="D17">
            <v>149.88999999999999</v>
          </cell>
          <cell r="E17">
            <v>1249.1099999999999</v>
          </cell>
          <cell r="F17">
            <v>0.05</v>
          </cell>
          <cell r="G17">
            <v>62.46</v>
          </cell>
          <cell r="H17">
            <v>1311.56</v>
          </cell>
          <cell r="I17">
            <v>-87.429999999999978</v>
          </cell>
        </row>
        <row r="18">
          <cell r="B18">
            <v>1449</v>
          </cell>
          <cell r="C18">
            <v>0.12</v>
          </cell>
          <cell r="D18">
            <v>155.25</v>
          </cell>
          <cell r="E18">
            <v>1293.75</v>
          </cell>
          <cell r="F18">
            <v>0.05</v>
          </cell>
          <cell r="G18">
            <v>64.69</v>
          </cell>
          <cell r="H18">
            <v>1358.44</v>
          </cell>
          <cell r="I18">
            <v>-90.56</v>
          </cell>
        </row>
        <row r="19">
          <cell r="B19">
            <v>1459</v>
          </cell>
          <cell r="C19">
            <v>0.12</v>
          </cell>
          <cell r="D19">
            <v>156.32</v>
          </cell>
          <cell r="E19">
            <v>1302.68</v>
          </cell>
          <cell r="F19">
            <v>0.05</v>
          </cell>
          <cell r="G19">
            <v>65.13</v>
          </cell>
          <cell r="H19">
            <v>1367.81</v>
          </cell>
          <cell r="I19">
            <v>-91.19</v>
          </cell>
        </row>
        <row r="20">
          <cell r="B20">
            <v>1499</v>
          </cell>
          <cell r="C20">
            <v>0.12</v>
          </cell>
          <cell r="D20">
            <v>160.61000000000001</v>
          </cell>
          <cell r="E20">
            <v>1338.39</v>
          </cell>
          <cell r="F20">
            <v>0.05</v>
          </cell>
          <cell r="G20">
            <v>66.92</v>
          </cell>
          <cell r="H20">
            <v>1405.31</v>
          </cell>
          <cell r="I20">
            <v>-93.690000000000012</v>
          </cell>
        </row>
        <row r="21">
          <cell r="B21">
            <v>1549</v>
          </cell>
          <cell r="C21">
            <v>0.12</v>
          </cell>
          <cell r="D21">
            <v>165.96</v>
          </cell>
          <cell r="E21">
            <v>1383.04</v>
          </cell>
          <cell r="F21">
            <v>0.05</v>
          </cell>
          <cell r="G21">
            <v>69.150000000000006</v>
          </cell>
          <cell r="H21">
            <v>1452.19</v>
          </cell>
          <cell r="I21">
            <v>-96.81</v>
          </cell>
        </row>
        <row r="22">
          <cell r="B22">
            <v>1599</v>
          </cell>
          <cell r="C22">
            <v>0.12</v>
          </cell>
          <cell r="D22">
            <v>171.32</v>
          </cell>
          <cell r="E22">
            <v>1427.68</v>
          </cell>
          <cell r="F22">
            <v>0.05</v>
          </cell>
          <cell r="G22">
            <v>71.38</v>
          </cell>
          <cell r="H22">
            <v>1499.06</v>
          </cell>
          <cell r="I22">
            <v>-99.94</v>
          </cell>
        </row>
        <row r="23">
          <cell r="B23">
            <v>1649</v>
          </cell>
          <cell r="C23">
            <v>0.12</v>
          </cell>
          <cell r="D23">
            <v>176.68</v>
          </cell>
          <cell r="E23">
            <v>1472.32</v>
          </cell>
          <cell r="F23">
            <v>0.05</v>
          </cell>
          <cell r="G23">
            <v>73.62</v>
          </cell>
          <cell r="H23">
            <v>1545.94</v>
          </cell>
          <cell r="I23">
            <v>-103.06</v>
          </cell>
        </row>
        <row r="24">
          <cell r="B24">
            <v>1699</v>
          </cell>
          <cell r="C24">
            <v>0.12</v>
          </cell>
          <cell r="D24">
            <v>182.04</v>
          </cell>
          <cell r="E24">
            <v>1516.96</v>
          </cell>
          <cell r="F24">
            <v>0.05</v>
          </cell>
          <cell r="G24">
            <v>75.849999999999994</v>
          </cell>
          <cell r="H24">
            <v>1592.81</v>
          </cell>
          <cell r="I24">
            <v>-106.19</v>
          </cell>
        </row>
        <row r="25">
          <cell r="B25">
            <v>1700</v>
          </cell>
          <cell r="C25">
            <v>0.12</v>
          </cell>
          <cell r="D25">
            <v>182.14</v>
          </cell>
          <cell r="E25">
            <v>1517.86</v>
          </cell>
          <cell r="F25">
            <v>0.05</v>
          </cell>
          <cell r="G25">
            <v>75.89</v>
          </cell>
          <cell r="H25">
            <v>1593.75</v>
          </cell>
          <cell r="I25">
            <v>-106.24999999999999</v>
          </cell>
        </row>
        <row r="26">
          <cell r="B26">
            <v>1749</v>
          </cell>
          <cell r="C26">
            <v>0.12</v>
          </cell>
          <cell r="D26">
            <v>187.39</v>
          </cell>
          <cell r="E26">
            <v>1561.61</v>
          </cell>
          <cell r="F26">
            <v>0.05</v>
          </cell>
          <cell r="G26">
            <v>78.08</v>
          </cell>
          <cell r="H26">
            <v>1639.69</v>
          </cell>
          <cell r="I26">
            <v>-109.30999999999999</v>
          </cell>
        </row>
        <row r="27">
          <cell r="B27">
            <v>1750</v>
          </cell>
          <cell r="C27">
            <v>0.12</v>
          </cell>
          <cell r="D27">
            <v>187.5</v>
          </cell>
          <cell r="E27">
            <v>1562.5</v>
          </cell>
          <cell r="F27">
            <v>0.05</v>
          </cell>
          <cell r="G27">
            <v>78.13</v>
          </cell>
          <cell r="H27">
            <v>1640.63</v>
          </cell>
          <cell r="I27">
            <v>-109.37</v>
          </cell>
        </row>
        <row r="28">
          <cell r="B28">
            <v>1799</v>
          </cell>
          <cell r="C28">
            <v>0.12</v>
          </cell>
          <cell r="D28">
            <v>192.75</v>
          </cell>
          <cell r="E28">
            <v>1606.25</v>
          </cell>
          <cell r="F28">
            <v>0.05</v>
          </cell>
          <cell r="G28">
            <v>80.31</v>
          </cell>
          <cell r="H28">
            <v>1686.56</v>
          </cell>
          <cell r="I28">
            <v>-112.44</v>
          </cell>
        </row>
        <row r="29">
          <cell r="B29">
            <v>1849</v>
          </cell>
          <cell r="C29">
            <v>0.12</v>
          </cell>
          <cell r="D29">
            <v>198.11</v>
          </cell>
          <cell r="E29">
            <v>1650.89</v>
          </cell>
          <cell r="F29">
            <v>0.05</v>
          </cell>
          <cell r="G29">
            <v>82.54</v>
          </cell>
          <cell r="H29">
            <v>1733.44</v>
          </cell>
          <cell r="I29">
            <v>-115.57000000000001</v>
          </cell>
        </row>
        <row r="30">
          <cell r="B30">
            <v>1899</v>
          </cell>
          <cell r="C30">
            <v>0.12</v>
          </cell>
          <cell r="D30">
            <v>203.46</v>
          </cell>
          <cell r="E30">
            <v>1695.54</v>
          </cell>
          <cell r="F30">
            <v>0.05</v>
          </cell>
          <cell r="G30">
            <v>84.78</v>
          </cell>
          <cell r="H30">
            <v>1780.31</v>
          </cell>
          <cell r="I30">
            <v>-118.68</v>
          </cell>
        </row>
        <row r="31">
          <cell r="B31">
            <v>1949</v>
          </cell>
          <cell r="C31">
            <v>0.12</v>
          </cell>
          <cell r="D31">
            <v>208.82</v>
          </cell>
          <cell r="E31">
            <v>1740.18</v>
          </cell>
          <cell r="F31">
            <v>0.05</v>
          </cell>
          <cell r="G31">
            <v>87.01</v>
          </cell>
          <cell r="H31">
            <v>1827.19</v>
          </cell>
          <cell r="I31">
            <v>-121.80999999999999</v>
          </cell>
        </row>
        <row r="32">
          <cell r="B32">
            <v>1999</v>
          </cell>
          <cell r="C32">
            <v>0.12</v>
          </cell>
          <cell r="D32">
            <v>214.18</v>
          </cell>
          <cell r="E32">
            <v>1784.82</v>
          </cell>
          <cell r="F32">
            <v>0.05</v>
          </cell>
          <cell r="G32">
            <v>89.24</v>
          </cell>
          <cell r="H32">
            <v>1874.06</v>
          </cell>
          <cell r="I32">
            <v>-124.94000000000001</v>
          </cell>
        </row>
        <row r="33">
          <cell r="B33">
            <v>2049</v>
          </cell>
          <cell r="C33">
            <v>0.12</v>
          </cell>
          <cell r="D33">
            <v>219.54</v>
          </cell>
          <cell r="E33">
            <v>1829.46</v>
          </cell>
          <cell r="F33">
            <v>0.05</v>
          </cell>
          <cell r="G33">
            <v>91.47</v>
          </cell>
          <cell r="H33">
            <v>1920.94</v>
          </cell>
          <cell r="I33">
            <v>-128.07</v>
          </cell>
        </row>
        <row r="34">
          <cell r="B34">
            <v>2099</v>
          </cell>
          <cell r="C34">
            <v>0.12</v>
          </cell>
          <cell r="D34">
            <v>224.89</v>
          </cell>
          <cell r="E34">
            <v>1874.11</v>
          </cell>
          <cell r="F34">
            <v>0.05</v>
          </cell>
          <cell r="G34">
            <v>93.71</v>
          </cell>
          <cell r="H34">
            <v>1967.81</v>
          </cell>
          <cell r="I34">
            <v>-131.18</v>
          </cell>
        </row>
        <row r="35">
          <cell r="B35">
            <v>2149</v>
          </cell>
          <cell r="C35">
            <v>0.12</v>
          </cell>
          <cell r="D35">
            <v>230.25</v>
          </cell>
          <cell r="E35">
            <v>1918.75</v>
          </cell>
          <cell r="F35">
            <v>0.05</v>
          </cell>
          <cell r="G35">
            <v>95.94</v>
          </cell>
          <cell r="H35">
            <v>2014.69</v>
          </cell>
          <cell r="I35">
            <v>-134.31</v>
          </cell>
        </row>
        <row r="36">
          <cell r="B36">
            <v>2199</v>
          </cell>
          <cell r="C36">
            <v>0.12</v>
          </cell>
          <cell r="D36">
            <v>235.61</v>
          </cell>
          <cell r="E36">
            <v>1963.39</v>
          </cell>
          <cell r="F36">
            <v>0.05</v>
          </cell>
          <cell r="G36">
            <v>98.17</v>
          </cell>
          <cell r="H36">
            <v>2061.56</v>
          </cell>
          <cell r="I36">
            <v>-137.44</v>
          </cell>
        </row>
        <row r="37">
          <cell r="B37">
            <v>2249</v>
          </cell>
          <cell r="C37">
            <v>0.12</v>
          </cell>
          <cell r="D37">
            <v>240.96</v>
          </cell>
          <cell r="E37">
            <v>2008.04</v>
          </cell>
          <cell r="F37">
            <v>0.05</v>
          </cell>
          <cell r="G37">
            <v>100.4</v>
          </cell>
          <cell r="H37">
            <v>2108.44</v>
          </cell>
          <cell r="I37">
            <v>-140.56</v>
          </cell>
        </row>
        <row r="38">
          <cell r="B38">
            <v>2299</v>
          </cell>
          <cell r="C38">
            <v>0.12</v>
          </cell>
          <cell r="D38">
            <v>246.32</v>
          </cell>
          <cell r="E38">
            <v>2052.6799999999998</v>
          </cell>
          <cell r="F38">
            <v>0.05</v>
          </cell>
          <cell r="G38">
            <v>102.63</v>
          </cell>
          <cell r="H38">
            <v>2155.31</v>
          </cell>
          <cell r="I38">
            <v>-143.69</v>
          </cell>
        </row>
        <row r="39">
          <cell r="B39">
            <v>2349</v>
          </cell>
          <cell r="C39">
            <v>0.12</v>
          </cell>
          <cell r="D39">
            <v>251.68</v>
          </cell>
          <cell r="E39">
            <v>2097.3200000000002</v>
          </cell>
          <cell r="F39">
            <v>0.05</v>
          </cell>
          <cell r="G39">
            <v>104.87</v>
          </cell>
          <cell r="H39">
            <v>2202.19</v>
          </cell>
          <cell r="I39">
            <v>-146.81</v>
          </cell>
        </row>
        <row r="40">
          <cell r="B40">
            <v>2399</v>
          </cell>
          <cell r="C40">
            <v>0.12</v>
          </cell>
          <cell r="D40">
            <v>257.04000000000002</v>
          </cell>
          <cell r="E40">
            <v>2141.96</v>
          </cell>
          <cell r="F40">
            <v>0.05</v>
          </cell>
          <cell r="G40">
            <v>107.1</v>
          </cell>
          <cell r="H40">
            <v>2249.06</v>
          </cell>
          <cell r="I40">
            <v>-149.94000000000003</v>
          </cell>
        </row>
        <row r="41">
          <cell r="B41">
            <v>2449</v>
          </cell>
          <cell r="C41">
            <v>0.12</v>
          </cell>
          <cell r="D41">
            <v>262.39</v>
          </cell>
          <cell r="E41">
            <v>2186.61</v>
          </cell>
          <cell r="F41">
            <v>0.05</v>
          </cell>
          <cell r="G41">
            <v>109.33</v>
          </cell>
          <cell r="H41">
            <v>2295.94</v>
          </cell>
          <cell r="I41">
            <v>-153.06</v>
          </cell>
        </row>
        <row r="42">
          <cell r="B42">
            <v>2499</v>
          </cell>
          <cell r="C42">
            <v>0.12</v>
          </cell>
          <cell r="D42">
            <v>267.75</v>
          </cell>
          <cell r="E42">
            <v>2231.25</v>
          </cell>
          <cell r="F42">
            <v>0.05</v>
          </cell>
          <cell r="G42">
            <v>111.56</v>
          </cell>
          <cell r="H42">
            <v>2342.81</v>
          </cell>
          <cell r="I42">
            <v>-156.19</v>
          </cell>
        </row>
        <row r="43">
          <cell r="B43">
            <v>2549</v>
          </cell>
          <cell r="C43">
            <v>0.12</v>
          </cell>
          <cell r="D43">
            <v>273.11</v>
          </cell>
          <cell r="E43">
            <v>2275.89</v>
          </cell>
          <cell r="F43">
            <v>0.05</v>
          </cell>
          <cell r="G43">
            <v>113.79</v>
          </cell>
          <cell r="H43">
            <v>2389.69</v>
          </cell>
          <cell r="I43">
            <v>-159.32</v>
          </cell>
        </row>
        <row r="44">
          <cell r="B44">
            <v>2500</v>
          </cell>
          <cell r="C44">
            <v>0.12</v>
          </cell>
          <cell r="D44">
            <v>267.86</v>
          </cell>
          <cell r="E44">
            <v>2232.14</v>
          </cell>
          <cell r="F44">
            <v>0.05</v>
          </cell>
          <cell r="G44">
            <v>111.61</v>
          </cell>
          <cell r="H44">
            <v>2343.75</v>
          </cell>
          <cell r="I44">
            <v>-156.25</v>
          </cell>
        </row>
        <row r="45">
          <cell r="B45">
            <v>2599</v>
          </cell>
          <cell r="C45">
            <v>0.12</v>
          </cell>
          <cell r="D45">
            <v>278.45999999999998</v>
          </cell>
          <cell r="E45">
            <v>2320.54</v>
          </cell>
          <cell r="F45">
            <v>0.05</v>
          </cell>
          <cell r="G45">
            <v>116.03</v>
          </cell>
          <cell r="H45">
            <v>2436.56</v>
          </cell>
          <cell r="I45">
            <v>-162.42999999999998</v>
          </cell>
        </row>
        <row r="46">
          <cell r="B46">
            <v>2600</v>
          </cell>
          <cell r="C46">
            <v>0.12</v>
          </cell>
          <cell r="D46">
            <v>278.57</v>
          </cell>
          <cell r="E46">
            <v>2321.4299999999998</v>
          </cell>
          <cell r="F46">
            <v>0.05</v>
          </cell>
          <cell r="G46">
            <v>116.07</v>
          </cell>
          <cell r="H46">
            <v>2437.5</v>
          </cell>
          <cell r="I46">
            <v>-162.5</v>
          </cell>
        </row>
        <row r="47">
          <cell r="B47">
            <v>2649</v>
          </cell>
          <cell r="C47">
            <v>0.12</v>
          </cell>
          <cell r="D47">
            <v>283.82</v>
          </cell>
          <cell r="E47">
            <v>2365.1799999999998</v>
          </cell>
          <cell r="F47">
            <v>0.05</v>
          </cell>
          <cell r="G47">
            <v>118.26</v>
          </cell>
          <cell r="H47">
            <v>2483.44</v>
          </cell>
          <cell r="I47">
            <v>-165.56</v>
          </cell>
        </row>
        <row r="48">
          <cell r="B48">
            <v>2699</v>
          </cell>
          <cell r="C48">
            <v>0.12</v>
          </cell>
          <cell r="D48">
            <v>289.18</v>
          </cell>
          <cell r="E48">
            <v>2409.8200000000002</v>
          </cell>
          <cell r="F48">
            <v>0.05</v>
          </cell>
          <cell r="G48">
            <v>120.49</v>
          </cell>
          <cell r="H48">
            <v>2530.31</v>
          </cell>
          <cell r="I48">
            <v>-168.69</v>
          </cell>
        </row>
        <row r="49">
          <cell r="B49">
            <v>2749</v>
          </cell>
          <cell r="C49">
            <v>0.12</v>
          </cell>
          <cell r="D49">
            <v>294.54000000000002</v>
          </cell>
          <cell r="E49">
            <v>2454.46</v>
          </cell>
          <cell r="F49">
            <v>0.05</v>
          </cell>
          <cell r="G49">
            <v>122.72</v>
          </cell>
          <cell r="H49">
            <v>2577.19</v>
          </cell>
          <cell r="I49">
            <v>-171.82000000000002</v>
          </cell>
        </row>
        <row r="50">
          <cell r="B50">
            <v>2799</v>
          </cell>
          <cell r="C50">
            <v>0.12</v>
          </cell>
          <cell r="D50">
            <v>299.89</v>
          </cell>
          <cell r="E50">
            <v>2499.11</v>
          </cell>
          <cell r="F50">
            <v>0.05</v>
          </cell>
          <cell r="G50">
            <v>124.96</v>
          </cell>
          <cell r="H50">
            <v>2624.06</v>
          </cell>
          <cell r="I50">
            <v>-174.93</v>
          </cell>
        </row>
        <row r="51">
          <cell r="B51">
            <v>2849</v>
          </cell>
          <cell r="C51">
            <v>0.12</v>
          </cell>
          <cell r="D51">
            <v>305.25</v>
          </cell>
          <cell r="E51">
            <v>2543.75</v>
          </cell>
          <cell r="F51">
            <v>0.18</v>
          </cell>
          <cell r="G51">
            <v>457.88</v>
          </cell>
          <cell r="H51">
            <v>3001.63</v>
          </cell>
          <cell r="I51">
            <v>152.63</v>
          </cell>
        </row>
        <row r="52">
          <cell r="B52">
            <v>2899</v>
          </cell>
          <cell r="C52">
            <v>0.12</v>
          </cell>
          <cell r="D52">
            <v>310.61</v>
          </cell>
          <cell r="E52">
            <v>2588.39</v>
          </cell>
          <cell r="F52">
            <v>0.18</v>
          </cell>
          <cell r="G52">
            <v>465.91</v>
          </cell>
          <cell r="H52">
            <v>3054.3</v>
          </cell>
          <cell r="I52">
            <v>155.30000000000001</v>
          </cell>
        </row>
        <row r="53">
          <cell r="B53">
            <v>2949</v>
          </cell>
          <cell r="C53">
            <v>0.12</v>
          </cell>
          <cell r="D53">
            <v>315.95999999999998</v>
          </cell>
          <cell r="E53">
            <v>2633.04</v>
          </cell>
          <cell r="F53">
            <v>0.18</v>
          </cell>
          <cell r="G53">
            <v>473.95</v>
          </cell>
          <cell r="H53">
            <v>3106.98</v>
          </cell>
          <cell r="I53">
            <v>157.99</v>
          </cell>
        </row>
        <row r="54">
          <cell r="B54">
            <v>2999</v>
          </cell>
          <cell r="C54">
            <v>0.12</v>
          </cell>
          <cell r="D54">
            <v>321.32</v>
          </cell>
          <cell r="E54">
            <v>2677.68</v>
          </cell>
          <cell r="F54">
            <v>0.18</v>
          </cell>
          <cell r="G54">
            <v>481.98</v>
          </cell>
          <cell r="H54">
            <v>3159.66</v>
          </cell>
          <cell r="I54">
            <v>160.66000000000003</v>
          </cell>
        </row>
        <row r="55">
          <cell r="B55">
            <v>3049</v>
          </cell>
          <cell r="C55">
            <v>0.12</v>
          </cell>
          <cell r="D55">
            <v>326.68</v>
          </cell>
          <cell r="E55">
            <v>2722.32</v>
          </cell>
          <cell r="F55">
            <v>0.18</v>
          </cell>
          <cell r="G55">
            <v>490.02</v>
          </cell>
          <cell r="H55">
            <v>3212.34</v>
          </cell>
          <cell r="I55">
            <v>163.33999999999997</v>
          </cell>
        </row>
        <row r="56">
          <cell r="B56">
            <v>3099</v>
          </cell>
          <cell r="C56">
            <v>0.12</v>
          </cell>
          <cell r="D56">
            <v>332.04</v>
          </cell>
          <cell r="E56">
            <v>2766.96</v>
          </cell>
          <cell r="F56">
            <v>0.18</v>
          </cell>
          <cell r="G56">
            <v>498.05</v>
          </cell>
          <cell r="H56">
            <v>3265.02</v>
          </cell>
          <cell r="I56">
            <v>166.01</v>
          </cell>
        </row>
        <row r="57">
          <cell r="B57">
            <v>3149</v>
          </cell>
          <cell r="C57">
            <v>0.12</v>
          </cell>
          <cell r="D57">
            <v>337.39</v>
          </cell>
          <cell r="E57">
            <v>2811.61</v>
          </cell>
          <cell r="F57">
            <v>0.18</v>
          </cell>
          <cell r="G57">
            <v>506.09</v>
          </cell>
          <cell r="H57">
            <v>3317.7</v>
          </cell>
          <cell r="I57">
            <v>168.7</v>
          </cell>
        </row>
        <row r="58">
          <cell r="B58">
            <v>3199</v>
          </cell>
          <cell r="C58">
            <v>0.12</v>
          </cell>
          <cell r="D58">
            <v>342.75</v>
          </cell>
          <cell r="E58">
            <v>2856.25</v>
          </cell>
          <cell r="F58">
            <v>0.18</v>
          </cell>
          <cell r="G58">
            <v>514.13</v>
          </cell>
          <cell r="H58">
            <v>3370.38</v>
          </cell>
          <cell r="I58">
            <v>171.38</v>
          </cell>
        </row>
        <row r="59">
          <cell r="B59">
            <v>3249</v>
          </cell>
          <cell r="C59">
            <v>0.12</v>
          </cell>
          <cell r="D59">
            <v>348.11</v>
          </cell>
          <cell r="E59">
            <v>2900.89</v>
          </cell>
          <cell r="F59">
            <v>0.18</v>
          </cell>
          <cell r="G59">
            <v>522.16</v>
          </cell>
          <cell r="H59">
            <v>3423.05</v>
          </cell>
          <cell r="I59">
            <v>174.04999999999995</v>
          </cell>
        </row>
        <row r="60">
          <cell r="B60">
            <v>3299</v>
          </cell>
          <cell r="C60">
            <v>0.12</v>
          </cell>
          <cell r="D60">
            <v>353.46</v>
          </cell>
          <cell r="E60">
            <v>2945.54</v>
          </cell>
          <cell r="F60">
            <v>0.18</v>
          </cell>
          <cell r="G60">
            <v>530.20000000000005</v>
          </cell>
          <cell r="H60">
            <v>3475.73</v>
          </cell>
          <cell r="I60">
            <v>176.74000000000007</v>
          </cell>
        </row>
        <row r="61">
          <cell r="B61">
            <v>3399</v>
          </cell>
          <cell r="C61">
            <v>0.12</v>
          </cell>
          <cell r="D61">
            <v>364.18</v>
          </cell>
          <cell r="E61">
            <v>3034.82</v>
          </cell>
          <cell r="F61">
            <v>0.18</v>
          </cell>
          <cell r="G61">
            <v>546.27</v>
          </cell>
          <cell r="H61">
            <v>3581.09</v>
          </cell>
          <cell r="I61">
            <v>182.08999999999997</v>
          </cell>
        </row>
        <row r="62">
          <cell r="B62">
            <v>3499</v>
          </cell>
          <cell r="C62">
            <v>0.12</v>
          </cell>
          <cell r="D62">
            <v>374.89</v>
          </cell>
          <cell r="E62">
            <v>3124.11</v>
          </cell>
          <cell r="F62">
            <v>0.18</v>
          </cell>
          <cell r="G62">
            <v>562.34</v>
          </cell>
          <cell r="H62">
            <v>3686.45</v>
          </cell>
          <cell r="I62">
            <v>187.45000000000005</v>
          </cell>
        </row>
        <row r="63">
          <cell r="B63">
            <v>3500</v>
          </cell>
          <cell r="C63">
            <v>0.12</v>
          </cell>
          <cell r="D63">
            <v>375</v>
          </cell>
          <cell r="E63">
            <v>3125</v>
          </cell>
          <cell r="F63">
            <v>0.18</v>
          </cell>
          <cell r="G63">
            <v>562.5</v>
          </cell>
          <cell r="H63">
            <v>3687.5</v>
          </cell>
          <cell r="I63">
            <v>187.5</v>
          </cell>
        </row>
        <row r="64">
          <cell r="B64">
            <v>3599</v>
          </cell>
          <cell r="C64">
            <v>0.12</v>
          </cell>
          <cell r="D64">
            <v>385.61</v>
          </cell>
          <cell r="E64">
            <v>3213.39</v>
          </cell>
          <cell r="F64">
            <v>0.18</v>
          </cell>
          <cell r="G64">
            <v>578.41</v>
          </cell>
          <cell r="H64">
            <v>3791.8</v>
          </cell>
          <cell r="I64">
            <v>192.79999999999995</v>
          </cell>
        </row>
        <row r="65">
          <cell r="B65">
            <v>3699</v>
          </cell>
          <cell r="C65">
            <v>0.12</v>
          </cell>
          <cell r="D65">
            <v>396.32</v>
          </cell>
          <cell r="E65">
            <v>3302.68</v>
          </cell>
          <cell r="F65">
            <v>0.18</v>
          </cell>
          <cell r="G65">
            <v>594.48</v>
          </cell>
          <cell r="H65">
            <v>3897.16</v>
          </cell>
          <cell r="I65">
            <v>198.16000000000003</v>
          </cell>
        </row>
        <row r="66">
          <cell r="B66">
            <v>3799</v>
          </cell>
          <cell r="C66">
            <v>0.12</v>
          </cell>
          <cell r="D66">
            <v>407.04</v>
          </cell>
          <cell r="E66">
            <v>3391.96</v>
          </cell>
          <cell r="F66">
            <v>0.18</v>
          </cell>
          <cell r="G66">
            <v>610.54999999999995</v>
          </cell>
          <cell r="H66">
            <v>4002.52</v>
          </cell>
          <cell r="I66">
            <v>203.50999999999993</v>
          </cell>
        </row>
        <row r="67">
          <cell r="B67">
            <v>3899</v>
          </cell>
          <cell r="C67">
            <v>0.12</v>
          </cell>
          <cell r="D67">
            <v>417.75</v>
          </cell>
          <cell r="E67">
            <v>3481.25</v>
          </cell>
          <cell r="F67">
            <v>0.18</v>
          </cell>
          <cell r="G67">
            <v>626.63</v>
          </cell>
          <cell r="H67">
            <v>4107.88</v>
          </cell>
          <cell r="I67">
            <v>208.88</v>
          </cell>
        </row>
        <row r="68">
          <cell r="B68">
            <v>3949</v>
          </cell>
          <cell r="C68">
            <v>0.12</v>
          </cell>
          <cell r="D68">
            <v>423.11</v>
          </cell>
          <cell r="E68">
            <v>3525.89</v>
          </cell>
          <cell r="F68">
            <v>0.18</v>
          </cell>
          <cell r="G68">
            <v>634.66</v>
          </cell>
          <cell r="H68">
            <v>4160.55</v>
          </cell>
          <cell r="I68">
            <v>211.54999999999995</v>
          </cell>
        </row>
        <row r="69">
          <cell r="B69">
            <v>3999</v>
          </cell>
          <cell r="C69">
            <v>0.12</v>
          </cell>
          <cell r="D69">
            <v>428.46</v>
          </cell>
          <cell r="E69">
            <v>3570.54</v>
          </cell>
          <cell r="F69">
            <v>0.18</v>
          </cell>
          <cell r="G69">
            <v>642.70000000000005</v>
          </cell>
          <cell r="H69">
            <v>4213.2299999999996</v>
          </cell>
          <cell r="I69">
            <v>214.24000000000007</v>
          </cell>
        </row>
        <row r="70">
          <cell r="B70">
            <v>4000</v>
          </cell>
          <cell r="C70">
            <v>0.12</v>
          </cell>
          <cell r="D70">
            <v>428.57</v>
          </cell>
          <cell r="E70">
            <v>3571.43</v>
          </cell>
          <cell r="F70">
            <v>0.18</v>
          </cell>
          <cell r="G70">
            <v>642.86</v>
          </cell>
          <cell r="H70">
            <v>4214.29</v>
          </cell>
          <cell r="I70">
            <v>214.29000000000002</v>
          </cell>
        </row>
        <row r="71">
          <cell r="B71">
            <v>4099</v>
          </cell>
          <cell r="C71">
            <v>0.12</v>
          </cell>
          <cell r="D71">
            <v>439.18</v>
          </cell>
          <cell r="E71">
            <v>3659.82</v>
          </cell>
          <cell r="F71">
            <v>0.18</v>
          </cell>
          <cell r="G71">
            <v>658.77</v>
          </cell>
          <cell r="H71">
            <v>4318.59</v>
          </cell>
          <cell r="I71">
            <v>219.58999999999997</v>
          </cell>
        </row>
        <row r="72">
          <cell r="B72">
            <v>4199</v>
          </cell>
          <cell r="C72">
            <v>0.12</v>
          </cell>
          <cell r="D72">
            <v>449.89</v>
          </cell>
          <cell r="E72">
            <v>3749.11</v>
          </cell>
          <cell r="F72">
            <v>0.18</v>
          </cell>
          <cell r="G72">
            <v>674.84</v>
          </cell>
          <cell r="H72">
            <v>4423.95</v>
          </cell>
          <cell r="I72">
            <v>224.95000000000005</v>
          </cell>
        </row>
        <row r="73">
          <cell r="B73">
            <v>4299</v>
          </cell>
          <cell r="C73">
            <v>0.12</v>
          </cell>
          <cell r="D73">
            <v>460.61</v>
          </cell>
          <cell r="E73">
            <v>3838.39</v>
          </cell>
          <cell r="F73">
            <v>0.18</v>
          </cell>
          <cell r="G73">
            <v>690.91</v>
          </cell>
          <cell r="H73">
            <v>4529.3</v>
          </cell>
          <cell r="I73">
            <v>230.29999999999995</v>
          </cell>
        </row>
        <row r="74">
          <cell r="B74" t="str">
            <v>Existing MRP</v>
          </cell>
          <cell r="C74" t="str">
            <v>Old GST Rate</v>
          </cell>
          <cell r="D74" t="str">
            <v>Old GST Amt</v>
          </cell>
          <cell r="E74" t="str">
            <v>Base Value</v>
          </cell>
          <cell r="F74" t="str">
            <v>New GST Rate</v>
          </cell>
          <cell r="G74" t="str">
            <v>New GST Amt</v>
          </cell>
          <cell r="H74" t="str">
            <v>New MRP</v>
          </cell>
          <cell r="I74" t="str">
            <v>GST DIFF</v>
          </cell>
        </row>
        <row r="75">
          <cell r="B75">
            <v>4399</v>
          </cell>
          <cell r="C75">
            <v>0.12</v>
          </cell>
          <cell r="D75">
            <v>471.32</v>
          </cell>
          <cell r="E75">
            <v>3927.68</v>
          </cell>
          <cell r="F75">
            <v>0.18</v>
          </cell>
          <cell r="G75">
            <v>706.98</v>
          </cell>
          <cell r="H75">
            <v>4634.66</v>
          </cell>
          <cell r="I75">
            <v>235.66000000000003</v>
          </cell>
        </row>
        <row r="76">
          <cell r="B76">
            <v>4449</v>
          </cell>
          <cell r="C76">
            <v>0.12</v>
          </cell>
          <cell r="D76">
            <v>476.68</v>
          </cell>
          <cell r="E76">
            <v>3972.32</v>
          </cell>
          <cell r="F76">
            <v>0.18</v>
          </cell>
          <cell r="G76">
            <v>715.02</v>
          </cell>
          <cell r="H76">
            <v>4687.34</v>
          </cell>
          <cell r="I76">
            <v>238.33999999999997</v>
          </cell>
        </row>
        <row r="77">
          <cell r="B77">
            <v>4499</v>
          </cell>
          <cell r="C77">
            <v>0.12</v>
          </cell>
          <cell r="D77">
            <v>482.04</v>
          </cell>
          <cell r="E77">
            <v>4016.96</v>
          </cell>
          <cell r="F77">
            <v>0.18</v>
          </cell>
          <cell r="G77">
            <v>723.05</v>
          </cell>
          <cell r="H77">
            <v>4740.0200000000004</v>
          </cell>
          <cell r="I77">
            <v>241.00999999999993</v>
          </cell>
        </row>
        <row r="78">
          <cell r="B78">
            <v>4599</v>
          </cell>
          <cell r="C78">
            <v>0.12</v>
          </cell>
          <cell r="D78">
            <v>492.75</v>
          </cell>
          <cell r="E78">
            <v>4106.25</v>
          </cell>
          <cell r="F78">
            <v>0.18</v>
          </cell>
          <cell r="G78">
            <v>739.13</v>
          </cell>
          <cell r="H78">
            <v>4845.38</v>
          </cell>
          <cell r="I78">
            <v>246.38</v>
          </cell>
        </row>
        <row r="79">
          <cell r="B79">
            <v>4600</v>
          </cell>
          <cell r="C79">
            <v>0.12</v>
          </cell>
          <cell r="D79">
            <v>492.86</v>
          </cell>
          <cell r="E79">
            <v>4107.1400000000003</v>
          </cell>
          <cell r="F79">
            <v>0.18</v>
          </cell>
          <cell r="G79">
            <v>739.29</v>
          </cell>
          <cell r="H79">
            <v>4846.43</v>
          </cell>
          <cell r="I79">
            <v>246.42999999999995</v>
          </cell>
        </row>
        <row r="80">
          <cell r="B80">
            <v>4649</v>
          </cell>
          <cell r="C80">
            <v>0.12</v>
          </cell>
          <cell r="D80">
            <v>498.11</v>
          </cell>
          <cell r="E80">
            <v>4150.8900000000003</v>
          </cell>
          <cell r="F80">
            <v>0.18</v>
          </cell>
          <cell r="G80">
            <v>747.16</v>
          </cell>
          <cell r="H80">
            <v>4898.05</v>
          </cell>
          <cell r="I80">
            <v>249.04999999999995</v>
          </cell>
        </row>
        <row r="81">
          <cell r="B81">
            <v>4699</v>
          </cell>
          <cell r="C81">
            <v>0.12</v>
          </cell>
          <cell r="D81">
            <v>503.46</v>
          </cell>
          <cell r="E81">
            <v>4195.54</v>
          </cell>
          <cell r="F81">
            <v>0.18</v>
          </cell>
          <cell r="G81">
            <v>755.2</v>
          </cell>
          <cell r="H81">
            <v>4950.7299999999996</v>
          </cell>
          <cell r="I81">
            <v>251.74000000000007</v>
          </cell>
        </row>
        <row r="82">
          <cell r="B82">
            <v>4700</v>
          </cell>
          <cell r="C82">
            <v>0.12</v>
          </cell>
          <cell r="D82">
            <v>503.57</v>
          </cell>
          <cell r="E82">
            <v>4196.43</v>
          </cell>
          <cell r="F82">
            <v>0.18</v>
          </cell>
          <cell r="G82">
            <v>755.36</v>
          </cell>
          <cell r="H82">
            <v>4951.79</v>
          </cell>
          <cell r="I82">
            <v>251.79000000000002</v>
          </cell>
        </row>
        <row r="83">
          <cell r="B83">
            <v>4749</v>
          </cell>
          <cell r="C83">
            <v>0.12</v>
          </cell>
          <cell r="D83">
            <v>508.82</v>
          </cell>
          <cell r="E83">
            <v>4240.18</v>
          </cell>
          <cell r="F83">
            <v>0.18</v>
          </cell>
          <cell r="G83">
            <v>763.23</v>
          </cell>
          <cell r="H83">
            <v>5003.41</v>
          </cell>
          <cell r="I83">
            <v>254.41000000000003</v>
          </cell>
        </row>
        <row r="84">
          <cell r="B84">
            <v>4799</v>
          </cell>
          <cell r="C84">
            <v>0.12</v>
          </cell>
          <cell r="D84">
            <v>514.17999999999995</v>
          </cell>
          <cell r="E84">
            <v>4284.82</v>
          </cell>
          <cell r="F84">
            <v>0.18</v>
          </cell>
          <cell r="G84">
            <v>771.27</v>
          </cell>
          <cell r="H84">
            <v>5056.09</v>
          </cell>
          <cell r="I84">
            <v>257.09000000000003</v>
          </cell>
        </row>
        <row r="85">
          <cell r="B85">
            <v>4850</v>
          </cell>
          <cell r="C85">
            <v>0.12</v>
          </cell>
          <cell r="D85">
            <v>519.64</v>
          </cell>
          <cell r="E85">
            <v>4330.3599999999997</v>
          </cell>
          <cell r="F85">
            <v>0.18</v>
          </cell>
          <cell r="G85">
            <v>779.46</v>
          </cell>
          <cell r="H85">
            <v>5109.82</v>
          </cell>
          <cell r="I85">
            <v>259.82000000000005</v>
          </cell>
        </row>
        <row r="86">
          <cell r="B86">
            <v>4899</v>
          </cell>
          <cell r="C86">
            <v>0.12</v>
          </cell>
          <cell r="D86">
            <v>524.89</v>
          </cell>
          <cell r="E86">
            <v>4374.1099999999997</v>
          </cell>
          <cell r="F86">
            <v>0.18</v>
          </cell>
          <cell r="G86">
            <v>787.34</v>
          </cell>
          <cell r="H86">
            <v>5161.45</v>
          </cell>
          <cell r="I86">
            <v>262.45000000000005</v>
          </cell>
        </row>
        <row r="87">
          <cell r="B87">
            <v>4999</v>
          </cell>
          <cell r="C87">
            <v>0.12</v>
          </cell>
          <cell r="D87">
            <v>535.61</v>
          </cell>
          <cell r="E87">
            <v>4463.3900000000003</v>
          </cell>
          <cell r="F87">
            <v>0.18</v>
          </cell>
          <cell r="G87">
            <v>803.41</v>
          </cell>
          <cell r="H87">
            <v>5266.8</v>
          </cell>
          <cell r="I87">
            <v>267.79999999999995</v>
          </cell>
        </row>
        <row r="88">
          <cell r="B88">
            <v>5000</v>
          </cell>
          <cell r="C88">
            <v>0.12</v>
          </cell>
          <cell r="D88">
            <v>535.71</v>
          </cell>
          <cell r="E88">
            <v>4464.29</v>
          </cell>
          <cell r="F88">
            <v>0.18</v>
          </cell>
          <cell r="G88">
            <v>803.57</v>
          </cell>
          <cell r="H88">
            <v>5267.86</v>
          </cell>
          <cell r="I88">
            <v>267.86</v>
          </cell>
        </row>
        <row r="89">
          <cell r="B89">
            <v>5099</v>
          </cell>
          <cell r="C89">
            <v>0.12</v>
          </cell>
          <cell r="D89">
            <v>546.32000000000005</v>
          </cell>
          <cell r="E89">
            <v>4552.68</v>
          </cell>
          <cell r="F89">
            <v>0.18</v>
          </cell>
          <cell r="G89">
            <v>819.48</v>
          </cell>
          <cell r="H89">
            <v>5372.16</v>
          </cell>
          <cell r="I89">
            <v>273.15999999999997</v>
          </cell>
        </row>
        <row r="90">
          <cell r="B90">
            <v>5199</v>
          </cell>
          <cell r="C90">
            <v>0.12</v>
          </cell>
          <cell r="D90">
            <v>557.04</v>
          </cell>
          <cell r="E90">
            <v>4641.96</v>
          </cell>
          <cell r="F90">
            <v>0.18</v>
          </cell>
          <cell r="G90">
            <v>835.55</v>
          </cell>
          <cell r="H90">
            <v>5477.52</v>
          </cell>
          <cell r="I90">
            <v>278.51</v>
          </cell>
        </row>
        <row r="91">
          <cell r="B91">
            <v>5200</v>
          </cell>
          <cell r="C91">
            <v>0.12</v>
          </cell>
          <cell r="D91">
            <v>557.14</v>
          </cell>
          <cell r="E91">
            <v>4642.8599999999997</v>
          </cell>
          <cell r="F91">
            <v>0.18</v>
          </cell>
          <cell r="G91">
            <v>835.71</v>
          </cell>
          <cell r="H91">
            <v>5478.57</v>
          </cell>
          <cell r="I91">
            <v>278.57000000000005</v>
          </cell>
        </row>
        <row r="92">
          <cell r="B92">
            <v>5299</v>
          </cell>
          <cell r="C92">
            <v>0.12</v>
          </cell>
          <cell r="D92">
            <v>567.75</v>
          </cell>
          <cell r="E92">
            <v>4731.25</v>
          </cell>
          <cell r="F92">
            <v>0.18</v>
          </cell>
          <cell r="G92">
            <v>851.63</v>
          </cell>
          <cell r="H92">
            <v>5582.88</v>
          </cell>
          <cell r="I92">
            <v>283.88</v>
          </cell>
        </row>
        <row r="93">
          <cell r="B93">
            <v>5349</v>
          </cell>
          <cell r="C93">
            <v>0.12</v>
          </cell>
          <cell r="D93">
            <v>573.11</v>
          </cell>
          <cell r="E93">
            <v>4775.8900000000003</v>
          </cell>
          <cell r="F93">
            <v>0.18</v>
          </cell>
          <cell r="G93">
            <v>859.66</v>
          </cell>
          <cell r="H93">
            <v>5635.55</v>
          </cell>
          <cell r="I93">
            <v>286.54999999999995</v>
          </cell>
        </row>
        <row r="94">
          <cell r="B94">
            <v>5399</v>
          </cell>
          <cell r="C94">
            <v>0.12</v>
          </cell>
          <cell r="D94">
            <v>578.46</v>
          </cell>
          <cell r="E94">
            <v>4820.54</v>
          </cell>
          <cell r="F94">
            <v>0.18</v>
          </cell>
          <cell r="G94">
            <v>867.7</v>
          </cell>
          <cell r="H94">
            <v>5688.23</v>
          </cell>
          <cell r="I94">
            <v>289.24</v>
          </cell>
        </row>
        <row r="95">
          <cell r="B95">
            <v>5499</v>
          </cell>
          <cell r="C95">
            <v>0.12</v>
          </cell>
          <cell r="D95">
            <v>589.17999999999995</v>
          </cell>
          <cell r="E95">
            <v>4909.82</v>
          </cell>
          <cell r="F95">
            <v>0.18</v>
          </cell>
          <cell r="G95">
            <v>883.77</v>
          </cell>
          <cell r="H95">
            <v>5793.59</v>
          </cell>
          <cell r="I95">
            <v>294.59000000000003</v>
          </cell>
        </row>
        <row r="96">
          <cell r="B96">
            <v>5599</v>
          </cell>
          <cell r="C96">
            <v>0.12</v>
          </cell>
          <cell r="D96">
            <v>599.89</v>
          </cell>
          <cell r="E96">
            <v>4999.1099999999997</v>
          </cell>
          <cell r="F96">
            <v>0.18</v>
          </cell>
          <cell r="G96">
            <v>899.84</v>
          </cell>
          <cell r="H96">
            <v>5898.95</v>
          </cell>
          <cell r="I96">
            <v>299.95000000000005</v>
          </cell>
        </row>
        <row r="97">
          <cell r="B97">
            <v>5699</v>
          </cell>
          <cell r="C97">
            <v>0.12</v>
          </cell>
          <cell r="D97">
            <v>610.61</v>
          </cell>
          <cell r="E97">
            <v>5088.3900000000003</v>
          </cell>
          <cell r="F97">
            <v>0.18</v>
          </cell>
          <cell r="G97">
            <v>915.91</v>
          </cell>
          <cell r="H97">
            <v>6004.3</v>
          </cell>
          <cell r="I97">
            <v>305.29999999999995</v>
          </cell>
        </row>
        <row r="98">
          <cell r="B98">
            <v>5799</v>
          </cell>
          <cell r="C98">
            <v>0.12</v>
          </cell>
          <cell r="D98">
            <v>621.32000000000005</v>
          </cell>
          <cell r="E98">
            <v>5177.68</v>
          </cell>
          <cell r="F98">
            <v>0.18</v>
          </cell>
          <cell r="G98">
            <v>931.98</v>
          </cell>
          <cell r="H98">
            <v>6109.66</v>
          </cell>
          <cell r="I98">
            <v>310.65999999999997</v>
          </cell>
        </row>
        <row r="99">
          <cell r="B99">
            <v>5899</v>
          </cell>
          <cell r="C99">
            <v>0.12</v>
          </cell>
          <cell r="D99">
            <v>632.04</v>
          </cell>
          <cell r="E99">
            <v>5266.96</v>
          </cell>
          <cell r="F99">
            <v>0.18</v>
          </cell>
          <cell r="G99">
            <v>948.05</v>
          </cell>
          <cell r="H99">
            <v>6215.02</v>
          </cell>
          <cell r="I99">
            <v>316.01</v>
          </cell>
        </row>
        <row r="100">
          <cell r="B100">
            <v>5950</v>
          </cell>
          <cell r="C100">
            <v>0.12</v>
          </cell>
          <cell r="D100">
            <v>637.5</v>
          </cell>
          <cell r="E100">
            <v>5312.5</v>
          </cell>
          <cell r="F100">
            <v>0.18</v>
          </cell>
          <cell r="G100">
            <v>956.25</v>
          </cell>
          <cell r="H100">
            <v>6268.75</v>
          </cell>
          <cell r="I100">
            <v>318.75</v>
          </cell>
        </row>
        <row r="101">
          <cell r="B101">
            <v>5999</v>
          </cell>
          <cell r="C101">
            <v>0.12</v>
          </cell>
          <cell r="D101">
            <v>642.75</v>
          </cell>
          <cell r="E101">
            <v>5356.25</v>
          </cell>
          <cell r="F101">
            <v>0.18</v>
          </cell>
          <cell r="G101">
            <v>964.12</v>
          </cell>
          <cell r="H101">
            <v>6320.38</v>
          </cell>
          <cell r="I101">
            <v>321.37</v>
          </cell>
        </row>
        <row r="102">
          <cell r="B102">
            <v>6000</v>
          </cell>
          <cell r="C102">
            <v>0.12</v>
          </cell>
          <cell r="D102">
            <v>642.86</v>
          </cell>
          <cell r="E102">
            <v>5357.14</v>
          </cell>
          <cell r="F102">
            <v>0.18</v>
          </cell>
          <cell r="G102">
            <v>964.29</v>
          </cell>
          <cell r="H102">
            <v>6321.43</v>
          </cell>
          <cell r="I102">
            <v>321.42999999999995</v>
          </cell>
        </row>
        <row r="103">
          <cell r="B103">
            <v>6099</v>
          </cell>
          <cell r="C103">
            <v>0.12</v>
          </cell>
          <cell r="D103">
            <v>653.46</v>
          </cell>
          <cell r="E103">
            <v>5445.54</v>
          </cell>
          <cell r="F103">
            <v>0.18</v>
          </cell>
          <cell r="G103">
            <v>980.2</v>
          </cell>
          <cell r="H103">
            <v>6425.73</v>
          </cell>
          <cell r="I103">
            <v>326.74</v>
          </cell>
        </row>
        <row r="104">
          <cell r="B104">
            <v>6199</v>
          </cell>
          <cell r="C104">
            <v>0.12</v>
          </cell>
          <cell r="D104">
            <v>664.18</v>
          </cell>
          <cell r="E104">
            <v>5534.82</v>
          </cell>
          <cell r="F104">
            <v>0.18</v>
          </cell>
          <cell r="G104">
            <v>996.27</v>
          </cell>
          <cell r="H104">
            <v>6531.09</v>
          </cell>
          <cell r="I104">
            <v>332.09000000000003</v>
          </cell>
        </row>
        <row r="105">
          <cell r="B105">
            <v>6299</v>
          </cell>
          <cell r="C105">
            <v>0.12</v>
          </cell>
          <cell r="D105">
            <v>674.89</v>
          </cell>
          <cell r="E105">
            <v>5624.11</v>
          </cell>
          <cell r="F105">
            <v>0.18</v>
          </cell>
          <cell r="G105">
            <v>1012.34</v>
          </cell>
          <cell r="H105">
            <v>6636.45</v>
          </cell>
          <cell r="I105">
            <v>337.45000000000005</v>
          </cell>
        </row>
        <row r="106">
          <cell r="B106">
            <v>6399</v>
          </cell>
          <cell r="C106">
            <v>0.12</v>
          </cell>
          <cell r="D106">
            <v>685.61</v>
          </cell>
          <cell r="E106">
            <v>5713.39</v>
          </cell>
          <cell r="F106">
            <v>0.18</v>
          </cell>
          <cell r="G106">
            <v>1028.4100000000001</v>
          </cell>
          <cell r="H106">
            <v>6741.8</v>
          </cell>
          <cell r="I106">
            <v>342.80000000000007</v>
          </cell>
        </row>
        <row r="107">
          <cell r="B107">
            <v>6450</v>
          </cell>
          <cell r="C107">
            <v>0.12</v>
          </cell>
          <cell r="D107">
            <v>691.07</v>
          </cell>
          <cell r="E107">
            <v>5758.93</v>
          </cell>
          <cell r="F107">
            <v>0.18</v>
          </cell>
          <cell r="G107">
            <v>1036.6099999999999</v>
          </cell>
          <cell r="H107">
            <v>6795.54</v>
          </cell>
          <cell r="I107">
            <v>345.53999999999985</v>
          </cell>
        </row>
        <row r="108">
          <cell r="B108">
            <v>6499</v>
          </cell>
          <cell r="C108">
            <v>0.12</v>
          </cell>
          <cell r="D108">
            <v>696.32</v>
          </cell>
          <cell r="E108">
            <v>5802.68</v>
          </cell>
          <cell r="F108">
            <v>0.18</v>
          </cell>
          <cell r="G108">
            <v>1044.48</v>
          </cell>
          <cell r="H108">
            <v>6847.16</v>
          </cell>
          <cell r="I108">
            <v>348.15999999999997</v>
          </cell>
        </row>
        <row r="109">
          <cell r="B109">
            <v>6500</v>
          </cell>
          <cell r="C109">
            <v>0.12</v>
          </cell>
          <cell r="D109">
            <v>696.43</v>
          </cell>
          <cell r="E109">
            <v>5803.57</v>
          </cell>
          <cell r="F109">
            <v>0.18</v>
          </cell>
          <cell r="G109">
            <v>1044.6400000000001</v>
          </cell>
          <cell r="H109">
            <v>6848.21</v>
          </cell>
          <cell r="I109">
            <v>348.21000000000015</v>
          </cell>
        </row>
        <row r="110">
          <cell r="B110">
            <v>6599</v>
          </cell>
          <cell r="C110">
            <v>0.12</v>
          </cell>
          <cell r="D110">
            <v>707.04</v>
          </cell>
          <cell r="E110">
            <v>5891.96</v>
          </cell>
          <cell r="F110">
            <v>0.18</v>
          </cell>
          <cell r="G110">
            <v>1060.55</v>
          </cell>
          <cell r="H110">
            <v>6952.52</v>
          </cell>
          <cell r="I110">
            <v>353.51</v>
          </cell>
        </row>
        <row r="111">
          <cell r="B111">
            <v>6600</v>
          </cell>
          <cell r="C111">
            <v>0.12</v>
          </cell>
          <cell r="D111">
            <v>707.14</v>
          </cell>
          <cell r="E111">
            <v>5892.86</v>
          </cell>
          <cell r="F111">
            <v>0.18</v>
          </cell>
          <cell r="G111">
            <v>1060.71</v>
          </cell>
          <cell r="H111">
            <v>6953.57</v>
          </cell>
          <cell r="I111">
            <v>353.57000000000005</v>
          </cell>
        </row>
        <row r="112">
          <cell r="B112">
            <v>6699</v>
          </cell>
          <cell r="C112">
            <v>0.12</v>
          </cell>
          <cell r="D112">
            <v>717.75</v>
          </cell>
          <cell r="E112">
            <v>5981.25</v>
          </cell>
          <cell r="F112">
            <v>0.18</v>
          </cell>
          <cell r="G112">
            <v>1076.6300000000001</v>
          </cell>
          <cell r="H112">
            <v>7057.88</v>
          </cell>
          <cell r="I112">
            <v>358.88000000000011</v>
          </cell>
        </row>
        <row r="113">
          <cell r="B113">
            <v>6700</v>
          </cell>
          <cell r="C113">
            <v>0.12</v>
          </cell>
          <cell r="D113">
            <v>717.86</v>
          </cell>
          <cell r="E113">
            <v>5982.14</v>
          </cell>
          <cell r="F113">
            <v>0.18</v>
          </cell>
          <cell r="G113">
            <v>1076.79</v>
          </cell>
          <cell r="H113">
            <v>7058.93</v>
          </cell>
          <cell r="I113">
            <v>358.92999999999995</v>
          </cell>
        </row>
        <row r="114">
          <cell r="B114">
            <v>6799</v>
          </cell>
          <cell r="C114">
            <v>0.12</v>
          </cell>
          <cell r="D114">
            <v>728.46</v>
          </cell>
          <cell r="E114">
            <v>6070.54</v>
          </cell>
          <cell r="F114">
            <v>0.18</v>
          </cell>
          <cell r="G114">
            <v>1092.7</v>
          </cell>
          <cell r="H114">
            <v>7163.23</v>
          </cell>
          <cell r="I114">
            <v>364.24</v>
          </cell>
        </row>
        <row r="115">
          <cell r="B115">
            <v>6899</v>
          </cell>
          <cell r="C115">
            <v>0.12</v>
          </cell>
          <cell r="D115">
            <v>739.18</v>
          </cell>
          <cell r="E115">
            <v>6159.82</v>
          </cell>
          <cell r="F115">
            <v>0.18</v>
          </cell>
          <cell r="G115">
            <v>1108.77</v>
          </cell>
          <cell r="H115">
            <v>7268.59</v>
          </cell>
          <cell r="I115">
            <v>369.59000000000003</v>
          </cell>
        </row>
        <row r="116">
          <cell r="B116">
            <v>6900</v>
          </cell>
          <cell r="C116">
            <v>0.12</v>
          </cell>
          <cell r="D116">
            <v>739.29</v>
          </cell>
          <cell r="E116">
            <v>6160.71</v>
          </cell>
          <cell r="F116">
            <v>0.18</v>
          </cell>
          <cell r="G116">
            <v>1108.93</v>
          </cell>
          <cell r="H116">
            <v>7269.64</v>
          </cell>
          <cell r="I116">
            <v>369.6400000000001</v>
          </cell>
        </row>
        <row r="117">
          <cell r="B117">
            <v>6999</v>
          </cell>
          <cell r="C117">
            <v>0.12</v>
          </cell>
          <cell r="D117">
            <v>749.89</v>
          </cell>
          <cell r="E117">
            <v>6249.11</v>
          </cell>
          <cell r="F117">
            <v>0.18</v>
          </cell>
          <cell r="G117">
            <v>1124.8399999999999</v>
          </cell>
          <cell r="H117">
            <v>7373.95</v>
          </cell>
          <cell r="I117">
            <v>374.94999999999993</v>
          </cell>
        </row>
        <row r="118">
          <cell r="B118">
            <v>7000</v>
          </cell>
          <cell r="C118">
            <v>0.12</v>
          </cell>
          <cell r="D118">
            <v>750</v>
          </cell>
          <cell r="E118">
            <v>6250</v>
          </cell>
          <cell r="F118">
            <v>0.18</v>
          </cell>
          <cell r="G118">
            <v>1125</v>
          </cell>
          <cell r="H118">
            <v>7375</v>
          </cell>
          <cell r="I118">
            <v>375</v>
          </cell>
        </row>
        <row r="119">
          <cell r="B119">
            <v>7099</v>
          </cell>
          <cell r="C119">
            <v>0.12</v>
          </cell>
          <cell r="D119">
            <v>760.61</v>
          </cell>
          <cell r="E119">
            <v>6338.39</v>
          </cell>
          <cell r="F119">
            <v>0.18</v>
          </cell>
          <cell r="G119">
            <v>1140.9100000000001</v>
          </cell>
          <cell r="H119">
            <v>7479.3</v>
          </cell>
          <cell r="I119">
            <v>380.30000000000007</v>
          </cell>
        </row>
        <row r="120">
          <cell r="B120">
            <v>7150</v>
          </cell>
          <cell r="C120">
            <v>0.12</v>
          </cell>
          <cell r="D120">
            <v>766.07</v>
          </cell>
          <cell r="E120">
            <v>6383.93</v>
          </cell>
          <cell r="F120">
            <v>0.18</v>
          </cell>
          <cell r="G120">
            <v>1149.1099999999999</v>
          </cell>
          <cell r="H120">
            <v>7533.04</v>
          </cell>
          <cell r="I120">
            <v>383.03999999999985</v>
          </cell>
        </row>
        <row r="121">
          <cell r="B121">
            <v>7199</v>
          </cell>
          <cell r="C121">
            <v>0.12</v>
          </cell>
          <cell r="D121">
            <v>771.32</v>
          </cell>
          <cell r="E121">
            <v>6427.68</v>
          </cell>
          <cell r="F121">
            <v>0.18</v>
          </cell>
          <cell r="G121">
            <v>1156.98</v>
          </cell>
          <cell r="H121">
            <v>7584.66</v>
          </cell>
          <cell r="I121">
            <v>385.65999999999997</v>
          </cell>
        </row>
        <row r="122">
          <cell r="B122">
            <v>7299</v>
          </cell>
          <cell r="C122">
            <v>0.12</v>
          </cell>
          <cell r="D122">
            <v>782.04</v>
          </cell>
          <cell r="E122">
            <v>6516.96</v>
          </cell>
          <cell r="F122">
            <v>0.18</v>
          </cell>
          <cell r="G122">
            <v>1173.05</v>
          </cell>
          <cell r="H122">
            <v>7690.02</v>
          </cell>
          <cell r="I122">
            <v>391.01</v>
          </cell>
        </row>
        <row r="123">
          <cell r="B123">
            <v>7399</v>
          </cell>
          <cell r="C123">
            <v>0.12</v>
          </cell>
          <cell r="D123">
            <v>792.75</v>
          </cell>
          <cell r="E123">
            <v>6606.25</v>
          </cell>
          <cell r="F123">
            <v>0.18</v>
          </cell>
          <cell r="G123">
            <v>1189.1300000000001</v>
          </cell>
          <cell r="H123">
            <v>7795.38</v>
          </cell>
          <cell r="I123">
            <v>396.38000000000011</v>
          </cell>
        </row>
        <row r="124">
          <cell r="B124">
            <v>7499</v>
          </cell>
          <cell r="C124">
            <v>0.12</v>
          </cell>
          <cell r="D124">
            <v>803.46</v>
          </cell>
          <cell r="E124">
            <v>6695.54</v>
          </cell>
          <cell r="F124">
            <v>0.18</v>
          </cell>
          <cell r="G124">
            <v>1205.2</v>
          </cell>
          <cell r="H124">
            <v>7900.73</v>
          </cell>
          <cell r="I124">
            <v>401.74</v>
          </cell>
        </row>
        <row r="125">
          <cell r="B125">
            <v>7500</v>
          </cell>
          <cell r="C125">
            <v>0.12</v>
          </cell>
          <cell r="D125">
            <v>803.57</v>
          </cell>
          <cell r="E125">
            <v>6696.43</v>
          </cell>
          <cell r="F125">
            <v>0.18</v>
          </cell>
          <cell r="G125">
            <v>1205.3599999999999</v>
          </cell>
          <cell r="H125">
            <v>7901.79</v>
          </cell>
          <cell r="I125">
            <v>401.78999999999985</v>
          </cell>
        </row>
        <row r="126">
          <cell r="B126">
            <v>7599</v>
          </cell>
          <cell r="C126">
            <v>0.12</v>
          </cell>
          <cell r="D126">
            <v>814.18</v>
          </cell>
          <cell r="E126">
            <v>6784.82</v>
          </cell>
          <cell r="F126">
            <v>0.18</v>
          </cell>
          <cell r="G126">
            <v>1221.27</v>
          </cell>
          <cell r="H126">
            <v>8006.09</v>
          </cell>
          <cell r="I126">
            <v>407.09000000000003</v>
          </cell>
        </row>
        <row r="127">
          <cell r="B127">
            <v>7600</v>
          </cell>
          <cell r="C127">
            <v>0.12</v>
          </cell>
          <cell r="D127">
            <v>814.29</v>
          </cell>
          <cell r="E127">
            <v>6785.71</v>
          </cell>
          <cell r="F127">
            <v>0.18</v>
          </cell>
          <cell r="G127">
            <v>1221.43</v>
          </cell>
          <cell r="H127">
            <v>8007.14</v>
          </cell>
          <cell r="I127">
            <v>407.1400000000001</v>
          </cell>
        </row>
        <row r="128">
          <cell r="B128">
            <v>7699</v>
          </cell>
          <cell r="C128">
            <v>0.12</v>
          </cell>
          <cell r="D128">
            <v>824.89</v>
          </cell>
          <cell r="E128">
            <v>6874.11</v>
          </cell>
          <cell r="F128">
            <v>0.18</v>
          </cell>
          <cell r="G128">
            <v>1237.3399999999999</v>
          </cell>
          <cell r="H128">
            <v>8111.45</v>
          </cell>
          <cell r="I128">
            <v>412.44999999999993</v>
          </cell>
        </row>
        <row r="129">
          <cell r="B129">
            <v>7799</v>
          </cell>
          <cell r="C129">
            <v>0.12</v>
          </cell>
          <cell r="D129">
            <v>835.61</v>
          </cell>
          <cell r="E129">
            <v>6963.39</v>
          </cell>
          <cell r="F129">
            <v>0.18</v>
          </cell>
          <cell r="G129">
            <v>1253.4100000000001</v>
          </cell>
          <cell r="H129">
            <v>8216.7999999999993</v>
          </cell>
          <cell r="I129">
            <v>417.80000000000007</v>
          </cell>
        </row>
        <row r="130">
          <cell r="B130">
            <v>7899</v>
          </cell>
          <cell r="C130">
            <v>0.12</v>
          </cell>
          <cell r="D130">
            <v>846.32</v>
          </cell>
          <cell r="E130">
            <v>7052.68</v>
          </cell>
          <cell r="F130">
            <v>0.18</v>
          </cell>
          <cell r="G130">
            <v>1269.48</v>
          </cell>
          <cell r="H130">
            <v>8322.16</v>
          </cell>
          <cell r="I130">
            <v>423.15999999999997</v>
          </cell>
        </row>
        <row r="131">
          <cell r="B131">
            <v>7999</v>
          </cell>
          <cell r="C131">
            <v>0.12</v>
          </cell>
          <cell r="D131">
            <v>857.04</v>
          </cell>
          <cell r="E131">
            <v>7141.96</v>
          </cell>
          <cell r="F131">
            <v>0.18</v>
          </cell>
          <cell r="G131">
            <v>1285.55</v>
          </cell>
          <cell r="H131">
            <v>8427.52</v>
          </cell>
          <cell r="I131">
            <v>428.51</v>
          </cell>
        </row>
        <row r="132">
          <cell r="B132">
            <v>8000</v>
          </cell>
          <cell r="C132">
            <v>0.12</v>
          </cell>
          <cell r="D132">
            <v>857.14</v>
          </cell>
          <cell r="E132">
            <v>7142.86</v>
          </cell>
          <cell r="F132">
            <v>0.18</v>
          </cell>
          <cell r="G132">
            <v>1285.71</v>
          </cell>
          <cell r="H132">
            <v>8428.57</v>
          </cell>
          <cell r="I132">
            <v>428.57000000000005</v>
          </cell>
        </row>
        <row r="133">
          <cell r="B133">
            <v>8099</v>
          </cell>
          <cell r="C133">
            <v>0.12</v>
          </cell>
          <cell r="D133">
            <v>867.75</v>
          </cell>
          <cell r="E133">
            <v>7231.25</v>
          </cell>
          <cell r="F133">
            <v>0.18</v>
          </cell>
          <cell r="G133">
            <v>1301.6300000000001</v>
          </cell>
          <cell r="H133">
            <v>8532.8799999999992</v>
          </cell>
          <cell r="I133">
            <v>433.88000000000011</v>
          </cell>
        </row>
        <row r="134">
          <cell r="B134">
            <v>8199</v>
          </cell>
          <cell r="C134">
            <v>0.12</v>
          </cell>
          <cell r="D134">
            <v>878.46</v>
          </cell>
          <cell r="E134">
            <v>7320.54</v>
          </cell>
          <cell r="F134">
            <v>0.18</v>
          </cell>
          <cell r="G134">
            <v>1317.7</v>
          </cell>
          <cell r="H134">
            <v>8638.23</v>
          </cell>
          <cell r="I134">
            <v>439.24</v>
          </cell>
        </row>
        <row r="135">
          <cell r="B135">
            <v>8200</v>
          </cell>
          <cell r="C135">
            <v>0.12</v>
          </cell>
          <cell r="D135">
            <v>878.57</v>
          </cell>
          <cell r="E135">
            <v>7321.43</v>
          </cell>
          <cell r="F135">
            <v>0.18</v>
          </cell>
          <cell r="G135">
            <v>1317.86</v>
          </cell>
          <cell r="H135">
            <v>8639.2900000000009</v>
          </cell>
          <cell r="I135">
            <v>439.28999999999985</v>
          </cell>
        </row>
        <row r="136">
          <cell r="B136">
            <v>8299</v>
          </cell>
          <cell r="C136">
            <v>0.12</v>
          </cell>
          <cell r="D136">
            <v>889.18</v>
          </cell>
          <cell r="E136">
            <v>7409.82</v>
          </cell>
          <cell r="F136">
            <v>0.18</v>
          </cell>
          <cell r="G136">
            <v>1333.77</v>
          </cell>
          <cell r="H136">
            <v>8743.59</v>
          </cell>
          <cell r="I136">
            <v>444.59000000000003</v>
          </cell>
        </row>
        <row r="137">
          <cell r="B137">
            <v>8499</v>
          </cell>
          <cell r="C137">
            <v>0.12</v>
          </cell>
          <cell r="D137">
            <v>910.61</v>
          </cell>
          <cell r="E137">
            <v>7588.39</v>
          </cell>
          <cell r="F137">
            <v>0.18</v>
          </cell>
          <cell r="G137">
            <v>1365.91</v>
          </cell>
          <cell r="H137">
            <v>8954.2999999999993</v>
          </cell>
          <cell r="I137">
            <v>455.30000000000007</v>
          </cell>
        </row>
        <row r="138">
          <cell r="B138">
            <v>8599</v>
          </cell>
          <cell r="C138">
            <v>0.12</v>
          </cell>
          <cell r="D138">
            <v>921.32</v>
          </cell>
          <cell r="E138">
            <v>7677.68</v>
          </cell>
          <cell r="F138">
            <v>0.18</v>
          </cell>
          <cell r="G138">
            <v>1381.98</v>
          </cell>
          <cell r="H138">
            <v>9059.66</v>
          </cell>
          <cell r="I138">
            <v>460.65999999999997</v>
          </cell>
        </row>
        <row r="139">
          <cell r="B139">
            <v>8699</v>
          </cell>
          <cell r="C139">
            <v>0.12</v>
          </cell>
          <cell r="D139">
            <v>932.04</v>
          </cell>
          <cell r="E139">
            <v>7766.96</v>
          </cell>
          <cell r="F139">
            <v>0.18</v>
          </cell>
          <cell r="G139">
            <v>1398.05</v>
          </cell>
          <cell r="H139">
            <v>9165.02</v>
          </cell>
          <cell r="I139">
            <v>466.01</v>
          </cell>
        </row>
        <row r="140">
          <cell r="B140">
            <v>8799</v>
          </cell>
          <cell r="C140">
            <v>0.12</v>
          </cell>
          <cell r="D140">
            <v>942.75</v>
          </cell>
          <cell r="E140">
            <v>7856.25</v>
          </cell>
          <cell r="F140">
            <v>0.18</v>
          </cell>
          <cell r="G140">
            <v>1414.13</v>
          </cell>
          <cell r="H140">
            <v>9270.3799999999992</v>
          </cell>
          <cell r="I140">
            <v>471.38000000000011</v>
          </cell>
        </row>
        <row r="141">
          <cell r="B141">
            <v>8999</v>
          </cell>
          <cell r="C141">
            <v>0.12</v>
          </cell>
          <cell r="D141">
            <v>964.18</v>
          </cell>
          <cell r="E141">
            <v>8034.82</v>
          </cell>
          <cell r="F141">
            <v>0.18</v>
          </cell>
          <cell r="G141">
            <v>1446.27</v>
          </cell>
          <cell r="H141">
            <v>9481.09</v>
          </cell>
          <cell r="I141">
            <v>482.09000000000003</v>
          </cell>
        </row>
        <row r="142">
          <cell r="B142">
            <v>9000</v>
          </cell>
          <cell r="C142">
            <v>0.12</v>
          </cell>
          <cell r="D142">
            <v>964.29</v>
          </cell>
          <cell r="E142">
            <v>8035.71</v>
          </cell>
          <cell r="F142">
            <v>0.18</v>
          </cell>
          <cell r="G142">
            <v>1446.43</v>
          </cell>
          <cell r="H142">
            <v>9482.14</v>
          </cell>
          <cell r="I142">
            <v>482.1400000000001</v>
          </cell>
        </row>
        <row r="143">
          <cell r="B143">
            <v>9199</v>
          </cell>
          <cell r="C143">
            <v>0.12</v>
          </cell>
          <cell r="D143">
            <v>985.61</v>
          </cell>
          <cell r="E143">
            <v>8213.39</v>
          </cell>
          <cell r="F143">
            <v>0.18</v>
          </cell>
          <cell r="G143">
            <v>1478.41</v>
          </cell>
          <cell r="H143">
            <v>9691.7999999999993</v>
          </cell>
          <cell r="I143">
            <v>492.80000000000007</v>
          </cell>
        </row>
        <row r="144">
          <cell r="B144">
            <v>9250</v>
          </cell>
          <cell r="C144">
            <v>0.12</v>
          </cell>
          <cell r="D144">
            <v>991.07</v>
          </cell>
          <cell r="E144">
            <v>8258.93</v>
          </cell>
          <cell r="F144">
            <v>0.18</v>
          </cell>
          <cell r="G144">
            <v>1486.61</v>
          </cell>
          <cell r="H144">
            <v>9745.5400000000009</v>
          </cell>
          <cell r="I144">
            <v>495.53999999999985</v>
          </cell>
        </row>
        <row r="145">
          <cell r="B145">
            <v>9299</v>
          </cell>
          <cell r="C145">
            <v>0.12</v>
          </cell>
          <cell r="D145">
            <v>996.32</v>
          </cell>
          <cell r="E145">
            <v>8302.68</v>
          </cell>
          <cell r="F145">
            <v>0.18</v>
          </cell>
          <cell r="G145">
            <v>1494.48</v>
          </cell>
          <cell r="H145">
            <v>9797.16</v>
          </cell>
          <cell r="I145">
            <v>498.15999999999997</v>
          </cell>
        </row>
        <row r="146">
          <cell r="B146">
            <v>9499</v>
          </cell>
          <cell r="C146">
            <v>0.12</v>
          </cell>
          <cell r="D146">
            <v>1017.75</v>
          </cell>
          <cell r="E146">
            <v>8481.25</v>
          </cell>
          <cell r="F146">
            <v>0.18</v>
          </cell>
          <cell r="G146">
            <v>1526.63</v>
          </cell>
          <cell r="H146">
            <v>10007.879999999999</v>
          </cell>
          <cell r="I146">
            <v>508.88000000000011</v>
          </cell>
        </row>
        <row r="147">
          <cell r="B147">
            <v>9500</v>
          </cell>
          <cell r="C147">
            <v>0.12</v>
          </cell>
          <cell r="D147">
            <v>1017.86</v>
          </cell>
          <cell r="E147">
            <v>8482.14</v>
          </cell>
          <cell r="F147">
            <v>0.18</v>
          </cell>
          <cell r="G147">
            <v>1526.79</v>
          </cell>
          <cell r="H147">
            <v>10008.93</v>
          </cell>
          <cell r="I147">
            <v>508.92999999999995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744C4-3B3C-4F7F-B050-D465EE7DFC5D}">
  <dimension ref="A1:U405"/>
  <sheetViews>
    <sheetView tabSelected="1" workbookViewId="0">
      <pane ySplit="4" topLeftCell="A100" activePane="bottomLeft" state="frozen"/>
      <selection pane="bottomLeft" activeCell="E112" sqref="E112"/>
    </sheetView>
  </sheetViews>
  <sheetFormatPr defaultColWidth="9.109375" defaultRowHeight="14.4" x14ac:dyDescent="0.3"/>
  <cols>
    <col min="1" max="1" width="10.44140625" style="51" bestFit="1" customWidth="1"/>
    <col min="2" max="2" width="15.5546875" style="7" bestFit="1" customWidth="1"/>
    <col min="3" max="3" width="14.88671875" style="7" bestFit="1" customWidth="1"/>
    <col min="4" max="4" width="16.33203125" style="7" bestFit="1" customWidth="1"/>
    <col min="5" max="5" width="9.6640625" style="8" bestFit="1" customWidth="1"/>
    <col min="6" max="6" width="16" style="9" bestFit="1" customWidth="1"/>
    <col min="7" max="7" width="9.109375" style="7" bestFit="1" customWidth="1"/>
    <col min="8" max="8" width="15" style="7" bestFit="1" customWidth="1"/>
    <col min="9" max="9" width="16.109375" style="7" bestFit="1" customWidth="1"/>
    <col min="10" max="10" width="9.33203125" style="7" bestFit="1" customWidth="1"/>
    <col min="11" max="11" width="9.44140625" style="7" bestFit="1" customWidth="1"/>
    <col min="12" max="12" width="12.77734375" style="8" customWidth="1"/>
    <col min="13" max="13" width="15.88671875" style="8" bestFit="1" customWidth="1"/>
    <col min="14" max="14" width="10" style="8" bestFit="1" customWidth="1"/>
    <col min="15" max="15" width="14.5546875" style="7" customWidth="1"/>
    <col min="16" max="16" width="16" style="7" customWidth="1"/>
    <col min="17" max="17" width="15.6640625" style="7" customWidth="1"/>
    <col min="18" max="18" width="22.6640625" style="7" bestFit="1" customWidth="1"/>
    <col min="19" max="19" width="16.21875" style="7" bestFit="1" customWidth="1"/>
    <col min="20" max="20" width="14.44140625" style="7" bestFit="1" customWidth="1"/>
    <col min="21" max="16384" width="9.109375" style="7"/>
  </cols>
  <sheetData>
    <row r="1" spans="1:20" ht="23.4" thickBot="1" x14ac:dyDescent="0.35">
      <c r="A1" s="66" t="s">
        <v>0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43" t="s">
        <v>32</v>
      </c>
      <c r="P1" s="43" t="s">
        <v>29</v>
      </c>
      <c r="Q1" s="43" t="s">
        <v>22</v>
      </c>
      <c r="R1" s="43" t="s">
        <v>30</v>
      </c>
      <c r="S1" s="43" t="s">
        <v>31</v>
      </c>
    </row>
    <row r="2" spans="1:20" ht="18" thickBot="1" x14ac:dyDescent="0.3">
      <c r="A2" s="67" t="s">
        <v>1</v>
      </c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52" t="str">
        <f>IF(MAX(B:B)=0," ",MAX(B:B))</f>
        <v xml:space="preserve"> </v>
      </c>
      <c r="P2" s="43">
        <f>SUBTOTAL(9,J5:J1048576)</f>
        <v>0</v>
      </c>
      <c r="Q2" s="43">
        <f>SUBTOTAL(9,O5:O1048576)</f>
        <v>0</v>
      </c>
      <c r="R2" s="43">
        <f>P2-Q2</f>
        <v>0</v>
      </c>
      <c r="S2" s="45" t="str">
        <f>IFERROR(AVERAGE(S5:S403),"")</f>
        <v/>
      </c>
    </row>
    <row r="3" spans="1:20" ht="16.2" thickBot="1" x14ac:dyDescent="0.35">
      <c r="A3" s="69" t="s">
        <v>16</v>
      </c>
      <c r="B3" s="69"/>
      <c r="C3" s="69" t="s">
        <v>17</v>
      </c>
      <c r="D3" s="69"/>
      <c r="E3" s="68" t="s">
        <v>482</v>
      </c>
      <c r="F3" s="68"/>
      <c r="G3" s="68"/>
      <c r="H3" s="68"/>
      <c r="I3" s="68"/>
      <c r="J3" s="68"/>
      <c r="K3" s="68"/>
      <c r="L3" s="68"/>
      <c r="M3" s="68"/>
      <c r="N3" s="68"/>
      <c r="P3" s="43"/>
      <c r="Q3" s="46">
        <f>SUBTOTAL(9,Q5:Q1048576)</f>
        <v>0</v>
      </c>
      <c r="R3" s="46">
        <f>SUBTOTAL(9,R5:R1048576)</f>
        <v>0</v>
      </c>
      <c r="S3" s="46">
        <f>IF(Q3-R3&lt;0,"",Q3-R3)</f>
        <v>0</v>
      </c>
    </row>
    <row r="4" spans="1:20" ht="15" thickBot="1" x14ac:dyDescent="0.35">
      <c r="A4" s="50" t="s">
        <v>2</v>
      </c>
      <c r="B4" s="34" t="s">
        <v>3</v>
      </c>
      <c r="C4" s="35" t="s">
        <v>4</v>
      </c>
      <c r="D4" s="36" t="s">
        <v>5</v>
      </c>
      <c r="E4" s="37" t="s">
        <v>6</v>
      </c>
      <c r="F4" s="38" t="s">
        <v>7</v>
      </c>
      <c r="G4" s="36" t="s">
        <v>8</v>
      </c>
      <c r="H4" s="36" t="s">
        <v>9</v>
      </c>
      <c r="I4" s="39" t="s">
        <v>10</v>
      </c>
      <c r="J4" s="36" t="s">
        <v>11</v>
      </c>
      <c r="K4" s="39" t="s">
        <v>12</v>
      </c>
      <c r="L4" s="40" t="s">
        <v>13</v>
      </c>
      <c r="M4" s="41" t="s">
        <v>14</v>
      </c>
      <c r="N4" s="42" t="s">
        <v>15</v>
      </c>
      <c r="O4" s="47" t="s">
        <v>26</v>
      </c>
      <c r="P4" s="47" t="s">
        <v>18</v>
      </c>
      <c r="Q4" s="47" t="s">
        <v>19</v>
      </c>
      <c r="R4" s="47" t="s">
        <v>23</v>
      </c>
      <c r="S4" s="47" t="s">
        <v>27</v>
      </c>
      <c r="T4" s="44" t="s">
        <v>28</v>
      </c>
    </row>
    <row r="5" spans="1:20" x14ac:dyDescent="0.3">
      <c r="A5" s="54"/>
      <c r="B5" s="55"/>
      <c r="C5" s="56" t="str">
        <f t="shared" ref="C5:C68" si="0">IF($B5=0," ","Cash")</f>
        <v xml:space="preserve"> </v>
      </c>
      <c r="D5" s="55"/>
      <c r="E5" s="57"/>
      <c r="F5" s="19"/>
      <c r="G5" s="56"/>
      <c r="H5" s="56"/>
      <c r="I5" s="56" t="str">
        <f t="shared" ref="I5:I68" si="1">IF(H5&gt;0,$C$3," ")</f>
        <v xml:space="preserve"> </v>
      </c>
      <c r="J5" s="56"/>
      <c r="K5" s="56" t="str">
        <f t="shared" ref="K5:K68" si="2">IF($F5=0," ","Pcs.")</f>
        <v xml:space="preserve"> </v>
      </c>
      <c r="L5" s="57" t="str">
        <f t="shared" ref="L5:L68" si="3">IF(J5*E5=0," ",J5*E5)</f>
        <v xml:space="preserve"> </v>
      </c>
      <c r="M5" s="3" t="str">
        <f>IF(E5&gt;0,IFERROR(VLOOKUP($E5,'[2]Table 1'!$B$2:$I$147,8,0),"0.00")," ")</f>
        <v xml:space="preserve"> </v>
      </c>
      <c r="N5" s="6" t="str">
        <f t="shared" ref="N5" si="4">IFERROR(L5+M5," ")</f>
        <v xml:space="preserve"> </v>
      </c>
      <c r="O5" s="7" t="str">
        <f>IF(IF(COUNTIF($B$5:B5,B5)&gt;1," ",SUMIF($B$5:$B$423,B5,$J$5:$J$423))=0," ",IF(COUNTIF($B$5:B5,B5)&gt;1," ",SUMIF($B$5:$B$423,B5,$J$5:$J$423)))</f>
        <v xml:space="preserve"> </v>
      </c>
      <c r="P5" s="8" t="str">
        <f>IF(IF(COUNTIF($B$5:B5,B5)&gt;1," ",SUMIF($B$5:$B$423,B5,$L$5:$L$423))=0," ",IF(COUNTIF($B$5:B5,B5)&gt;1," ",SUMIF($B$5:$B$423,B5,$L$5:$L$423)))</f>
        <v xml:space="preserve"> </v>
      </c>
      <c r="Q5" s="8" t="str">
        <f t="shared" ref="Q5:Q36" si="5">IF(P5=" "," ",IF(P5&gt;6999,1000,IF(P5&gt;4999,500," ")))</f>
        <v xml:space="preserve"> </v>
      </c>
      <c r="R5" s="8" t="str">
        <f>IF(B5=""," ",IF(OR(L5="",P5="",Q5=""),"",IFERROR(L5/$P$26*$Q$26,"")))</f>
        <v xml:space="preserve"> </v>
      </c>
      <c r="S5" s="48" t="str">
        <f t="shared" ref="S5:S68" si="6">IFERROR(Q5/P5," ")</f>
        <v xml:space="preserve"> </v>
      </c>
      <c r="T5" s="14" t="str">
        <f>IF(F5&gt;0,IFERROR(VLOOKUP($F5,[1]Sheet1!$C$3:$L$3445,10,0),"EOSS"),"")</f>
        <v/>
      </c>
    </row>
    <row r="6" spans="1:20" x14ac:dyDescent="0.3">
      <c r="A6" s="32"/>
      <c r="B6" s="2"/>
      <c r="C6" s="5" t="str">
        <f t="shared" si="0"/>
        <v xml:space="preserve"> </v>
      </c>
      <c r="D6" s="2"/>
      <c r="E6" s="3"/>
      <c r="F6" s="4"/>
      <c r="G6" s="5"/>
      <c r="H6" s="5"/>
      <c r="I6" s="5" t="str">
        <f t="shared" si="1"/>
        <v xml:space="preserve"> </v>
      </c>
      <c r="J6" s="33"/>
      <c r="K6" s="5" t="str">
        <f t="shared" si="2"/>
        <v xml:space="preserve"> </v>
      </c>
      <c r="L6" s="3" t="str">
        <f t="shared" si="3"/>
        <v xml:space="preserve"> </v>
      </c>
      <c r="M6" s="3" t="str">
        <f>IF(E6&gt;0,IFERROR(VLOOKUP($E6,'[2]Table 1'!$B$2:$I$147,8,0),"0.00")," ")</f>
        <v xml:space="preserve"> </v>
      </c>
      <c r="N6" s="6" t="str">
        <f t="shared" ref="N6:N69" si="7">IFERROR(L6+M6," ")</f>
        <v xml:space="preserve"> </v>
      </c>
      <c r="O6" s="7" t="str">
        <f>IF(IF(COUNTIF($B$5:B6,B6)&gt;1," ",SUMIF($B$5:$B$423,B6,$J$5:$J$423))=0," ",IF(COUNTIF($B$5:B6,B6)&gt;1," ",SUMIF($B$5:$B$423,B6,$J$5:$J$423)))</f>
        <v xml:space="preserve"> </v>
      </c>
      <c r="P6" s="8" t="str">
        <f>IF(IF(COUNTIF($B$5:B6,B6)&gt;1," ",SUMIF($B$5:$B$423,B6,$L$5:$L$423))=0," ",IF(COUNTIF($B$5:B6,B6)&gt;1," ",SUMIF($B$5:$B$423,B6,$L$5:$L$423)))</f>
        <v xml:space="preserve"> </v>
      </c>
      <c r="Q6" s="8" t="str">
        <f t="shared" si="5"/>
        <v xml:space="preserve"> </v>
      </c>
      <c r="R6" s="8" t="str">
        <f t="shared" ref="R6:R69" si="8">IF(B6=""," ",IF(OR(L6="",P6="",Q6=""),"",IFERROR(L6/$P$26*$Q$26,"")))</f>
        <v xml:space="preserve"> </v>
      </c>
      <c r="S6" s="48" t="str">
        <f t="shared" si="6"/>
        <v xml:space="preserve"> </v>
      </c>
      <c r="T6" s="14" t="str">
        <f>IF(F6&gt;0,IFERROR(VLOOKUP($F6,[1]Sheet1!$C$3:$L$3445,10,0),"EOSS"),"")</f>
        <v/>
      </c>
    </row>
    <row r="7" spans="1:20" x14ac:dyDescent="0.3">
      <c r="A7" s="32"/>
      <c r="B7" s="2"/>
      <c r="C7" s="5" t="str">
        <f t="shared" si="0"/>
        <v xml:space="preserve"> </v>
      </c>
      <c r="D7" s="2"/>
      <c r="E7" s="3"/>
      <c r="F7" s="4"/>
      <c r="G7" s="5"/>
      <c r="H7" s="5"/>
      <c r="I7" s="5" t="str">
        <f t="shared" si="1"/>
        <v xml:space="preserve"> </v>
      </c>
      <c r="J7" s="33"/>
      <c r="K7" s="5" t="str">
        <f t="shared" si="2"/>
        <v xml:space="preserve"> </v>
      </c>
      <c r="L7" s="3" t="str">
        <f t="shared" si="3"/>
        <v xml:space="preserve"> </v>
      </c>
      <c r="M7" s="3" t="str">
        <f>IF(E7&gt;0,IFERROR(VLOOKUP($E7,'[2]Table 1'!$B$2:$I$147,8,0),"0.00")," ")</f>
        <v xml:space="preserve"> </v>
      </c>
      <c r="N7" s="6" t="str">
        <f t="shared" si="7"/>
        <v xml:space="preserve"> </v>
      </c>
      <c r="O7" s="7" t="str">
        <f>IF(IF(COUNTIF($B$5:B7,B7)&gt;1," ",SUMIF($B$5:$B$423,B7,$J$5:$J$423))=0," ",IF(COUNTIF($B$5:B7,B7)&gt;1," ",SUMIF($B$5:$B$423,B7,$J$5:$J$423)))</f>
        <v xml:space="preserve"> </v>
      </c>
      <c r="P7" s="8" t="str">
        <f>IF(IF(COUNTIF($B$5:B7,B7)&gt;1," ",SUMIF($B$5:$B$423,B7,$L$5:$L$423))=0," ",IF(COUNTIF($B$5:B7,B7)&gt;1," ",SUMIF($B$5:$B$423,B7,$L$5:$L$423)))</f>
        <v xml:space="preserve"> </v>
      </c>
      <c r="Q7" s="8" t="str">
        <f t="shared" si="5"/>
        <v xml:space="preserve"> </v>
      </c>
      <c r="R7" s="8" t="str">
        <f t="shared" si="8"/>
        <v xml:space="preserve"> </v>
      </c>
      <c r="S7" s="48" t="str">
        <f t="shared" si="6"/>
        <v xml:space="preserve"> </v>
      </c>
      <c r="T7" s="14" t="str">
        <f>IF(F7&gt;0,IFERROR(VLOOKUP($F7,[1]Sheet1!$C$3:$L$3445,10,0),"EOSS"),"")</f>
        <v/>
      </c>
    </row>
    <row r="8" spans="1:20" x14ac:dyDescent="0.3">
      <c r="A8" s="32"/>
      <c r="B8" s="2"/>
      <c r="C8" s="5" t="str">
        <f t="shared" si="0"/>
        <v xml:space="preserve"> </v>
      </c>
      <c r="D8" s="2"/>
      <c r="E8" s="3"/>
      <c r="F8" s="4"/>
      <c r="G8" s="5"/>
      <c r="H8" s="5"/>
      <c r="I8" s="5" t="str">
        <f t="shared" si="1"/>
        <v xml:space="preserve"> </v>
      </c>
      <c r="J8" s="33"/>
      <c r="K8" s="5" t="str">
        <f t="shared" si="2"/>
        <v xml:space="preserve"> </v>
      </c>
      <c r="L8" s="3" t="str">
        <f t="shared" si="3"/>
        <v xml:space="preserve"> </v>
      </c>
      <c r="M8" s="3" t="str">
        <f>IF(E8&gt;0,IFERROR(VLOOKUP($E8,'[2]Table 1'!$B$2:$I$147,8,0),"0.00")," ")</f>
        <v xml:space="preserve"> </v>
      </c>
      <c r="N8" s="6" t="str">
        <f t="shared" si="7"/>
        <v xml:space="preserve"> </v>
      </c>
      <c r="O8" s="7" t="str">
        <f>IF(IF(COUNTIF($B$5:B8,B8)&gt;1," ",SUMIF($B$5:$B$423,B8,$J$5:$J$423))=0," ",IF(COUNTIF($B$5:B8,B8)&gt;1," ",SUMIF($B$5:$B$423,B8,$J$5:$J$423)))</f>
        <v xml:space="preserve"> </v>
      </c>
      <c r="P8" s="8" t="str">
        <f>IF(IF(COUNTIF($B$5:B8,B8)&gt;1," ",SUMIF($B$5:$B$423,B8,$L$5:$L$423))=0," ",IF(COUNTIF($B$5:B8,B8)&gt;1," ",SUMIF($B$5:$B$423,B8,$L$5:$L$423)))</f>
        <v xml:space="preserve"> </v>
      </c>
      <c r="Q8" s="8" t="str">
        <f t="shared" si="5"/>
        <v xml:space="preserve"> </v>
      </c>
      <c r="R8" s="8" t="str">
        <f t="shared" si="8"/>
        <v xml:space="preserve"> </v>
      </c>
      <c r="S8" s="48" t="str">
        <f t="shared" si="6"/>
        <v xml:space="preserve"> </v>
      </c>
      <c r="T8" s="14" t="str">
        <f>IF(F8&gt;0,IFERROR(VLOOKUP($F8,[1]Sheet1!$C$3:$L$3445,10,0),"EOSS"),"")</f>
        <v/>
      </c>
    </row>
    <row r="9" spans="1:20" x14ac:dyDescent="0.3">
      <c r="A9" s="32"/>
      <c r="B9" s="2"/>
      <c r="C9" s="5" t="str">
        <f t="shared" si="0"/>
        <v xml:space="preserve"> </v>
      </c>
      <c r="D9" s="2"/>
      <c r="E9" s="3"/>
      <c r="F9" s="4"/>
      <c r="G9" s="5"/>
      <c r="H9" s="5"/>
      <c r="I9" s="5" t="str">
        <f t="shared" si="1"/>
        <v xml:space="preserve"> </v>
      </c>
      <c r="J9" s="33"/>
      <c r="K9" s="5" t="str">
        <f t="shared" si="2"/>
        <v xml:space="preserve"> </v>
      </c>
      <c r="L9" s="3" t="str">
        <f t="shared" si="3"/>
        <v xml:space="preserve"> </v>
      </c>
      <c r="M9" s="3" t="str">
        <f>IF(E9&gt;0,IFERROR(VLOOKUP($E9,'[2]Table 1'!$B$2:$I$147,8,0),"0.00")," ")</f>
        <v xml:space="preserve"> </v>
      </c>
      <c r="N9" s="6" t="str">
        <f t="shared" si="7"/>
        <v xml:space="preserve"> </v>
      </c>
      <c r="O9" s="7" t="str">
        <f>IF(IF(COUNTIF($B$5:B9,B9)&gt;1," ",SUMIF($B$5:$B$423,B9,$J$5:$J$423))=0," ",IF(COUNTIF($B$5:B9,B9)&gt;1," ",SUMIF($B$5:$B$423,B9,$J$5:$J$423)))</f>
        <v xml:space="preserve"> </v>
      </c>
      <c r="P9" s="8" t="str">
        <f>IF(IF(COUNTIF($B$5:B9,B9)&gt;1," ",SUMIF($B$5:$B$423,B9,$L$5:$L$423))=0," ",IF(COUNTIF($B$5:B9,B9)&gt;1," ",SUMIF($B$5:$B$423,B9,$L$5:$L$423)))</f>
        <v xml:space="preserve"> </v>
      </c>
      <c r="Q9" s="8" t="str">
        <f t="shared" si="5"/>
        <v xml:space="preserve"> </v>
      </c>
      <c r="R9" s="8" t="str">
        <f t="shared" si="8"/>
        <v xml:space="preserve"> </v>
      </c>
      <c r="S9" s="48" t="str">
        <f t="shared" si="6"/>
        <v xml:space="preserve"> </v>
      </c>
      <c r="T9" s="14" t="str">
        <f>IF(F9&gt;0,IFERROR(VLOOKUP($F9,[1]Sheet1!$C$3:$L$3445,10,0),"EOSS"),"")</f>
        <v/>
      </c>
    </row>
    <row r="10" spans="1:20" x14ac:dyDescent="0.3">
      <c r="A10" s="32"/>
      <c r="B10" s="2"/>
      <c r="C10" s="5" t="str">
        <f t="shared" si="0"/>
        <v xml:space="preserve"> </v>
      </c>
      <c r="D10" s="2"/>
      <c r="E10" s="3"/>
      <c r="F10" s="4"/>
      <c r="G10" s="5"/>
      <c r="H10" s="5"/>
      <c r="I10" s="5" t="str">
        <f t="shared" si="1"/>
        <v xml:space="preserve"> </v>
      </c>
      <c r="J10" s="33"/>
      <c r="K10" s="5" t="str">
        <f t="shared" si="2"/>
        <v xml:space="preserve"> </v>
      </c>
      <c r="L10" s="3" t="str">
        <f t="shared" si="3"/>
        <v xml:space="preserve"> </v>
      </c>
      <c r="M10" s="3" t="str">
        <f>IF(E10&gt;0,IFERROR(VLOOKUP($E10,'[2]Table 1'!$B$2:$I$147,8,0),"0.00")," ")</f>
        <v xml:space="preserve"> </v>
      </c>
      <c r="N10" s="6" t="str">
        <f t="shared" si="7"/>
        <v xml:space="preserve"> </v>
      </c>
      <c r="O10" s="7" t="str">
        <f>IF(IF(COUNTIF($B$5:B10,B10)&gt;1," ",SUMIF($B$5:$B$423,B10,$J$5:$J$423))=0," ",IF(COUNTIF($B$5:B10,B10)&gt;1," ",SUMIF($B$5:$B$423,B10,$J$5:$J$423)))</f>
        <v xml:space="preserve"> </v>
      </c>
      <c r="P10" s="8" t="str">
        <f>IF(IF(COUNTIF($B$5:B10,B10)&gt;1," ",SUMIF($B$5:$B$423,B10,$L$5:$L$423))=0," ",IF(COUNTIF($B$5:B10,B10)&gt;1," ",SUMIF($B$5:$B$423,B10,$L$5:$L$423)))</f>
        <v xml:space="preserve"> </v>
      </c>
      <c r="Q10" s="8" t="str">
        <f t="shared" si="5"/>
        <v xml:space="preserve"> </v>
      </c>
      <c r="R10" s="8" t="str">
        <f t="shared" si="8"/>
        <v xml:space="preserve"> </v>
      </c>
      <c r="S10" s="48" t="str">
        <f t="shared" si="6"/>
        <v xml:space="preserve"> </v>
      </c>
      <c r="T10" s="14" t="str">
        <f>IF(F10&gt;0,IFERROR(VLOOKUP($F10,[1]Sheet1!$C$3:$L$3445,10,0),"EOSS"),"")</f>
        <v/>
      </c>
    </row>
    <row r="11" spans="1:20" x14ac:dyDescent="0.3">
      <c r="A11" s="32"/>
      <c r="B11" s="2"/>
      <c r="C11" s="5" t="str">
        <f t="shared" si="0"/>
        <v xml:space="preserve"> </v>
      </c>
      <c r="D11" s="2"/>
      <c r="E11" s="3"/>
      <c r="F11" s="4"/>
      <c r="G11" s="5"/>
      <c r="H11" s="5"/>
      <c r="I11" s="5" t="str">
        <f t="shared" si="1"/>
        <v xml:space="preserve"> </v>
      </c>
      <c r="J11" s="33"/>
      <c r="K11" s="5" t="str">
        <f t="shared" si="2"/>
        <v xml:space="preserve"> </v>
      </c>
      <c r="L11" s="3" t="str">
        <f t="shared" si="3"/>
        <v xml:space="preserve"> </v>
      </c>
      <c r="M11" s="3" t="str">
        <f>IF(E11&gt;0,IFERROR(VLOOKUP($E11,'[2]Table 1'!$B$2:$I$147,8,0),"0.00")," ")</f>
        <v xml:space="preserve"> </v>
      </c>
      <c r="N11" s="6" t="str">
        <f t="shared" si="7"/>
        <v xml:space="preserve"> </v>
      </c>
      <c r="O11" s="7" t="str">
        <f>IF(IF(COUNTIF($B$5:B11,B11)&gt;1," ",SUMIF($B$5:$B$423,B11,$J$5:$J$423))=0," ",IF(COUNTIF($B$5:B11,B11)&gt;1," ",SUMIF($B$5:$B$423,B11,$J$5:$J$423)))</f>
        <v xml:space="preserve"> </v>
      </c>
      <c r="P11" s="8" t="str">
        <f>IF(IF(COUNTIF($B$5:B11,B11)&gt;1," ",SUMIF($B$5:$B$423,B11,$L$5:$L$423))=0," ",IF(COUNTIF($B$5:B11,B11)&gt;1," ",SUMIF($B$5:$B$423,B11,$L$5:$L$423)))</f>
        <v xml:space="preserve"> </v>
      </c>
      <c r="Q11" s="8" t="str">
        <f t="shared" si="5"/>
        <v xml:space="preserve"> </v>
      </c>
      <c r="R11" s="8" t="str">
        <f t="shared" si="8"/>
        <v xml:space="preserve"> </v>
      </c>
      <c r="S11" s="48" t="str">
        <f t="shared" si="6"/>
        <v xml:space="preserve"> </v>
      </c>
      <c r="T11" s="14" t="str">
        <f>IF(F11&gt;0,IFERROR(VLOOKUP($F11,[1]Sheet1!$C$3:$L$3445,10,0),"EOSS"),"")</f>
        <v/>
      </c>
    </row>
    <row r="12" spans="1:20" x14ac:dyDescent="0.3">
      <c r="A12" s="32"/>
      <c r="B12" s="2"/>
      <c r="C12" s="5" t="str">
        <f t="shared" si="0"/>
        <v xml:space="preserve"> </v>
      </c>
      <c r="D12" s="2"/>
      <c r="E12" s="3"/>
      <c r="F12" s="4"/>
      <c r="G12" s="5"/>
      <c r="H12" s="5"/>
      <c r="I12" s="5" t="str">
        <f t="shared" si="1"/>
        <v xml:space="preserve"> </v>
      </c>
      <c r="J12" s="33"/>
      <c r="K12" s="5" t="str">
        <f t="shared" si="2"/>
        <v xml:space="preserve"> </v>
      </c>
      <c r="L12" s="3" t="str">
        <f t="shared" si="3"/>
        <v xml:space="preserve"> </v>
      </c>
      <c r="M12" s="3" t="str">
        <f>IF(E12&gt;0,IFERROR(VLOOKUP($E12,'[2]Table 1'!$B$2:$I$147,8,0),"0.00")," ")</f>
        <v xml:space="preserve"> </v>
      </c>
      <c r="N12" s="6" t="str">
        <f t="shared" si="7"/>
        <v xml:space="preserve"> </v>
      </c>
      <c r="O12" s="7" t="str">
        <f>IF(IF(COUNTIF($B$5:B12,B12)&gt;1," ",SUMIF($B$5:$B$423,B12,$J$5:$J$423))=0," ",IF(COUNTIF($B$5:B12,B12)&gt;1," ",SUMIF($B$5:$B$423,B12,$J$5:$J$423)))</f>
        <v xml:space="preserve"> </v>
      </c>
      <c r="P12" s="8" t="str">
        <f>IF(IF(COUNTIF($B$5:B12,B12)&gt;1," ",SUMIF($B$5:$B$423,B12,$L$5:$L$423))=0," ",IF(COUNTIF($B$5:B12,B12)&gt;1," ",SUMIF($B$5:$B$423,B12,$L$5:$L$423)))</f>
        <v xml:space="preserve"> </v>
      </c>
      <c r="Q12" s="8" t="str">
        <f t="shared" si="5"/>
        <v xml:space="preserve"> </v>
      </c>
      <c r="R12" s="8" t="str">
        <f t="shared" si="8"/>
        <v xml:space="preserve"> </v>
      </c>
      <c r="S12" s="48" t="str">
        <f t="shared" si="6"/>
        <v xml:space="preserve"> </v>
      </c>
      <c r="T12" s="14" t="str">
        <f>IF(F12&gt;0,IFERROR(VLOOKUP($F12,[1]Sheet1!$C$3:$L$3445,10,0),"EOSS"),"")</f>
        <v/>
      </c>
    </row>
    <row r="13" spans="1:20" x14ac:dyDescent="0.3">
      <c r="A13" s="32"/>
      <c r="B13" s="2"/>
      <c r="C13" s="5" t="str">
        <f t="shared" si="0"/>
        <v xml:space="preserve"> </v>
      </c>
      <c r="D13" s="2"/>
      <c r="E13" s="3"/>
      <c r="F13" s="4"/>
      <c r="G13" s="5"/>
      <c r="H13" s="5"/>
      <c r="I13" s="5" t="str">
        <f t="shared" si="1"/>
        <v xml:space="preserve"> </v>
      </c>
      <c r="J13" s="33"/>
      <c r="K13" s="5" t="str">
        <f t="shared" si="2"/>
        <v xml:space="preserve"> </v>
      </c>
      <c r="L13" s="3" t="str">
        <f t="shared" si="3"/>
        <v xml:space="preserve"> </v>
      </c>
      <c r="M13" s="3" t="str">
        <f>IF(E13&gt;0,IFERROR(VLOOKUP($E13,'[2]Table 1'!$B$2:$I$147,8,0),"0.00")," ")</f>
        <v xml:space="preserve"> </v>
      </c>
      <c r="N13" s="6" t="str">
        <f t="shared" si="7"/>
        <v xml:space="preserve"> </v>
      </c>
      <c r="O13" s="7" t="str">
        <f>IF(IF(COUNTIF($B$5:B13,B13)&gt;1," ",SUMIF($B$5:$B$423,B13,$J$5:$J$423))=0," ",IF(COUNTIF($B$5:B13,B13)&gt;1," ",SUMIF($B$5:$B$423,B13,$J$5:$J$423)))</f>
        <v xml:space="preserve"> </v>
      </c>
      <c r="P13" s="8" t="str">
        <f>IF(IF(COUNTIF($B$5:B13,B13)&gt;1," ",SUMIF($B$5:$B$423,B13,$L$5:$L$423))=0," ",IF(COUNTIF($B$5:B13,B13)&gt;1," ",SUMIF($B$5:$B$423,B13,$L$5:$L$423)))</f>
        <v xml:space="preserve"> </v>
      </c>
      <c r="Q13" s="8" t="str">
        <f t="shared" si="5"/>
        <v xml:space="preserve"> </v>
      </c>
      <c r="R13" s="8" t="str">
        <f t="shared" si="8"/>
        <v xml:space="preserve"> </v>
      </c>
      <c r="S13" s="48" t="str">
        <f t="shared" si="6"/>
        <v xml:space="preserve"> </v>
      </c>
      <c r="T13" s="14" t="str">
        <f>IF(F13&gt;0,IFERROR(VLOOKUP($F13,[1]Sheet1!$C$3:$L$3445,10,0),"EOSS"),"")</f>
        <v/>
      </c>
    </row>
    <row r="14" spans="1:20" x14ac:dyDescent="0.3">
      <c r="A14" s="32"/>
      <c r="B14" s="2"/>
      <c r="C14" s="5" t="str">
        <f t="shared" si="0"/>
        <v xml:space="preserve"> </v>
      </c>
      <c r="D14" s="2"/>
      <c r="E14" s="3"/>
      <c r="F14" s="4"/>
      <c r="G14" s="5"/>
      <c r="H14" s="5"/>
      <c r="I14" s="5" t="str">
        <f t="shared" si="1"/>
        <v xml:space="preserve"> </v>
      </c>
      <c r="J14" s="33"/>
      <c r="K14" s="5" t="str">
        <f t="shared" si="2"/>
        <v xml:space="preserve"> </v>
      </c>
      <c r="L14" s="3" t="str">
        <f t="shared" si="3"/>
        <v xml:space="preserve"> </v>
      </c>
      <c r="M14" s="3" t="str">
        <f>IF(E14&gt;0,IFERROR(VLOOKUP($E14,'[2]Table 1'!$B$2:$I$147,8,0),"0.00")," ")</f>
        <v xml:space="preserve"> </v>
      </c>
      <c r="N14" s="6" t="str">
        <f t="shared" si="7"/>
        <v xml:space="preserve"> </v>
      </c>
      <c r="O14" s="7" t="str">
        <f>IF(IF(COUNTIF($B$5:B14,B14)&gt;1," ",SUMIF($B$5:$B$423,B14,$J$5:$J$423))=0," ",IF(COUNTIF($B$5:B14,B14)&gt;1," ",SUMIF($B$5:$B$423,B14,$J$5:$J$423)))</f>
        <v xml:space="preserve"> </v>
      </c>
      <c r="P14" s="8" t="str">
        <f>IF(IF(COUNTIF($B$5:B14,B14)&gt;1," ",SUMIF($B$5:$B$423,B14,$L$5:$L$423))=0," ",IF(COUNTIF($B$5:B14,B14)&gt;1," ",SUMIF($B$5:$B$423,B14,$L$5:$L$423)))</f>
        <v xml:space="preserve"> </v>
      </c>
      <c r="Q14" s="8" t="str">
        <f t="shared" si="5"/>
        <v xml:space="preserve"> </v>
      </c>
      <c r="R14" s="8" t="str">
        <f t="shared" si="8"/>
        <v xml:space="preserve"> </v>
      </c>
      <c r="S14" s="48" t="str">
        <f t="shared" si="6"/>
        <v xml:space="preserve"> </v>
      </c>
      <c r="T14" s="14" t="str">
        <f>IF(F14&gt;0,IFERROR(VLOOKUP($F14,[1]Sheet1!$C$3:$L$3445,10,0),"EOSS"),"")</f>
        <v/>
      </c>
    </row>
    <row r="15" spans="1:20" x14ac:dyDescent="0.3">
      <c r="A15" s="32"/>
      <c r="B15" s="2"/>
      <c r="C15" s="5" t="str">
        <f t="shared" si="0"/>
        <v xml:space="preserve"> </v>
      </c>
      <c r="D15" s="2"/>
      <c r="E15" s="3"/>
      <c r="F15" s="4"/>
      <c r="G15" s="5"/>
      <c r="H15" s="5"/>
      <c r="I15" s="5" t="str">
        <f t="shared" si="1"/>
        <v xml:space="preserve"> </v>
      </c>
      <c r="J15" s="33"/>
      <c r="K15" s="5" t="str">
        <f t="shared" si="2"/>
        <v xml:space="preserve"> </v>
      </c>
      <c r="L15" s="3" t="str">
        <f t="shared" si="3"/>
        <v xml:space="preserve"> </v>
      </c>
      <c r="M15" s="3" t="str">
        <f>IF(E15&gt;0,IFERROR(VLOOKUP($E15,'[2]Table 1'!$B$2:$I$147,8,0),"0.00")," ")</f>
        <v xml:space="preserve"> </v>
      </c>
      <c r="N15" s="6" t="str">
        <f t="shared" si="7"/>
        <v xml:space="preserve"> </v>
      </c>
      <c r="O15" s="7" t="str">
        <f>IF(IF(COUNTIF($B$5:B15,B15)&gt;1," ",SUMIF($B$5:$B$423,B15,$J$5:$J$423))=0," ",IF(COUNTIF($B$5:B15,B15)&gt;1," ",SUMIF($B$5:$B$423,B15,$J$5:$J$423)))</f>
        <v xml:space="preserve"> </v>
      </c>
      <c r="P15" s="8" t="str">
        <f>IF(IF(COUNTIF($B$5:B15,B15)&gt;1," ",SUMIF($B$5:$B$423,B15,$L$5:$L$423))=0," ",IF(COUNTIF($B$5:B15,B15)&gt;1," ",SUMIF($B$5:$B$423,B15,$L$5:$L$423)))</f>
        <v xml:space="preserve"> </v>
      </c>
      <c r="Q15" s="8" t="str">
        <f t="shared" si="5"/>
        <v xml:space="preserve"> </v>
      </c>
      <c r="R15" s="8" t="str">
        <f t="shared" si="8"/>
        <v xml:space="preserve"> </v>
      </c>
      <c r="S15" s="48" t="str">
        <f t="shared" si="6"/>
        <v xml:space="preserve"> </v>
      </c>
      <c r="T15" s="14" t="str">
        <f>IF(F15&gt;0,IFERROR(VLOOKUP($F15,[1]Sheet1!$C$3:$L$3445,10,0),"EOSS"),"")</f>
        <v/>
      </c>
    </row>
    <row r="16" spans="1:20" x14ac:dyDescent="0.3">
      <c r="A16" s="32"/>
      <c r="B16" s="2"/>
      <c r="C16" s="5" t="str">
        <f t="shared" si="0"/>
        <v xml:space="preserve"> </v>
      </c>
      <c r="D16" s="2"/>
      <c r="E16" s="3"/>
      <c r="F16" s="4"/>
      <c r="G16" s="5"/>
      <c r="H16" s="5"/>
      <c r="I16" s="5" t="str">
        <f t="shared" si="1"/>
        <v xml:space="preserve"> </v>
      </c>
      <c r="J16" s="33"/>
      <c r="K16" s="5" t="str">
        <f t="shared" si="2"/>
        <v xml:space="preserve"> </v>
      </c>
      <c r="L16" s="3" t="str">
        <f t="shared" si="3"/>
        <v xml:space="preserve"> </v>
      </c>
      <c r="M16" s="3" t="str">
        <f>IF(E16&gt;0,IFERROR(VLOOKUP($E16,'[2]Table 1'!$B$2:$I$147,8,0),"0.00")," ")</f>
        <v xml:space="preserve"> </v>
      </c>
      <c r="N16" s="6" t="str">
        <f t="shared" si="7"/>
        <v xml:space="preserve"> </v>
      </c>
      <c r="O16" s="7" t="str">
        <f>IF(IF(COUNTIF($B$5:B16,B16)&gt;1," ",SUMIF($B$5:$B$423,B16,$J$5:$J$423))=0," ",IF(COUNTIF($B$5:B16,B16)&gt;1," ",SUMIF($B$5:$B$423,B16,$J$5:$J$423)))</f>
        <v xml:space="preserve"> </v>
      </c>
      <c r="P16" s="8" t="str">
        <f>IF(IF(COUNTIF($B$5:B16,B16)&gt;1," ",SUMIF($B$5:$B$423,B16,$L$5:$L$423))=0," ",IF(COUNTIF($B$5:B16,B16)&gt;1," ",SUMIF($B$5:$B$423,B16,$L$5:$L$423)))</f>
        <v xml:space="preserve"> </v>
      </c>
      <c r="Q16" s="8" t="str">
        <f t="shared" si="5"/>
        <v xml:space="preserve"> </v>
      </c>
      <c r="R16" s="8" t="str">
        <f t="shared" si="8"/>
        <v xml:space="preserve"> </v>
      </c>
      <c r="S16" s="48" t="str">
        <f t="shared" si="6"/>
        <v xml:space="preserve"> </v>
      </c>
      <c r="T16" s="14" t="str">
        <f>IF(F16&gt;0,IFERROR(VLOOKUP($F16,[1]Sheet1!$C$3:$L$3445,10,0),"EOSS"),"")</f>
        <v/>
      </c>
    </row>
    <row r="17" spans="1:20" x14ac:dyDescent="0.3">
      <c r="A17" s="32"/>
      <c r="B17" s="2"/>
      <c r="C17" s="5" t="str">
        <f t="shared" si="0"/>
        <v xml:space="preserve"> </v>
      </c>
      <c r="D17" s="2"/>
      <c r="E17" s="3"/>
      <c r="F17" s="4"/>
      <c r="G17" s="5"/>
      <c r="H17" s="5"/>
      <c r="I17" s="5" t="str">
        <f t="shared" si="1"/>
        <v xml:space="preserve"> </v>
      </c>
      <c r="J17" s="33"/>
      <c r="K17" s="5" t="str">
        <f t="shared" si="2"/>
        <v xml:space="preserve"> </v>
      </c>
      <c r="L17" s="3" t="str">
        <f t="shared" si="3"/>
        <v xml:space="preserve"> </v>
      </c>
      <c r="M17" s="3" t="str">
        <f>IF(E17&gt;0,IFERROR(VLOOKUP($E17,'[2]Table 1'!$B$2:$I$147,8,0),"0.00")," ")</f>
        <v xml:space="preserve"> </v>
      </c>
      <c r="N17" s="6" t="str">
        <f t="shared" si="7"/>
        <v xml:space="preserve"> </v>
      </c>
      <c r="O17" s="7" t="str">
        <f>IF(IF(COUNTIF($B$5:B17,B17)&gt;1," ",SUMIF($B$5:$B$423,B17,$J$5:$J$423))=0," ",IF(COUNTIF($B$5:B17,B17)&gt;1," ",SUMIF($B$5:$B$423,B17,$J$5:$J$423)))</f>
        <v xml:space="preserve"> </v>
      </c>
      <c r="P17" s="8" t="str">
        <f>IF(IF(COUNTIF($B$5:B17,B17)&gt;1," ",SUMIF($B$5:$B$423,B17,$L$5:$L$423))=0," ",IF(COUNTIF($B$5:B17,B17)&gt;1," ",SUMIF($B$5:$B$423,B17,$L$5:$L$423)))</f>
        <v xml:space="preserve"> </v>
      </c>
      <c r="Q17" s="8" t="str">
        <f t="shared" si="5"/>
        <v xml:space="preserve"> </v>
      </c>
      <c r="R17" s="8" t="str">
        <f t="shared" si="8"/>
        <v xml:space="preserve"> </v>
      </c>
      <c r="S17" s="48" t="str">
        <f t="shared" si="6"/>
        <v xml:space="preserve"> </v>
      </c>
      <c r="T17" s="14" t="str">
        <f>IF(F17&gt;0,IFERROR(VLOOKUP($F17,[1]Sheet1!$C$3:$L$3445,10,0),"EOSS"),"")</f>
        <v/>
      </c>
    </row>
    <row r="18" spans="1:20" x14ac:dyDescent="0.3">
      <c r="A18" s="32"/>
      <c r="B18" s="2"/>
      <c r="C18" s="5" t="str">
        <f t="shared" si="0"/>
        <v xml:space="preserve"> </v>
      </c>
      <c r="D18" s="2"/>
      <c r="E18" s="3"/>
      <c r="F18" s="4"/>
      <c r="G18" s="5"/>
      <c r="H18" s="5"/>
      <c r="I18" s="5" t="str">
        <f t="shared" si="1"/>
        <v xml:space="preserve"> </v>
      </c>
      <c r="J18" s="33"/>
      <c r="K18" s="5" t="str">
        <f t="shared" si="2"/>
        <v xml:space="preserve"> </v>
      </c>
      <c r="L18" s="3" t="str">
        <f t="shared" si="3"/>
        <v xml:space="preserve"> </v>
      </c>
      <c r="M18" s="3" t="str">
        <f>IF(E18&gt;0,IFERROR(VLOOKUP($E18,'[2]Table 1'!$B$2:$I$147,8,0),"0.00")," ")</f>
        <v xml:space="preserve"> </v>
      </c>
      <c r="N18" s="6" t="str">
        <f t="shared" si="7"/>
        <v xml:space="preserve"> </v>
      </c>
      <c r="O18" s="7" t="str">
        <f>IF(IF(COUNTIF($B$5:B18,B18)&gt;1," ",SUMIF($B$5:$B$423,B18,$J$5:$J$423))=0," ",IF(COUNTIF($B$5:B18,B18)&gt;1," ",SUMIF($B$5:$B$423,B18,$J$5:$J$423)))</f>
        <v xml:space="preserve"> </v>
      </c>
      <c r="P18" s="8" t="str">
        <f>IF(IF(COUNTIF($B$5:B18,B18)&gt;1," ",SUMIF($B$5:$B$423,B18,$L$5:$L$423))=0," ",IF(COUNTIF($B$5:B18,B18)&gt;1," ",SUMIF($B$5:$B$423,B18,$L$5:$L$423)))</f>
        <v xml:space="preserve"> </v>
      </c>
      <c r="Q18" s="8" t="str">
        <f t="shared" si="5"/>
        <v xml:space="preserve"> </v>
      </c>
      <c r="R18" s="8" t="str">
        <f t="shared" si="8"/>
        <v xml:space="preserve"> </v>
      </c>
      <c r="S18" s="48" t="str">
        <f t="shared" si="6"/>
        <v xml:space="preserve"> </v>
      </c>
      <c r="T18" s="14" t="str">
        <f>IF(F18&gt;0,IFERROR(VLOOKUP($F18,[1]Sheet1!$C$3:$L$3445,10,0),"EOSS"),"")</f>
        <v/>
      </c>
    </row>
    <row r="19" spans="1:20" x14ac:dyDescent="0.3">
      <c r="A19" s="32"/>
      <c r="B19" s="2"/>
      <c r="C19" s="5" t="str">
        <f t="shared" si="0"/>
        <v xml:space="preserve"> </v>
      </c>
      <c r="D19" s="2"/>
      <c r="E19" s="3"/>
      <c r="F19" s="4"/>
      <c r="G19" s="5"/>
      <c r="H19" s="5"/>
      <c r="I19" s="5" t="str">
        <f t="shared" si="1"/>
        <v xml:space="preserve"> </v>
      </c>
      <c r="J19" s="33"/>
      <c r="K19" s="5" t="str">
        <f t="shared" si="2"/>
        <v xml:space="preserve"> </v>
      </c>
      <c r="L19" s="3" t="str">
        <f t="shared" si="3"/>
        <v xml:space="preserve"> </v>
      </c>
      <c r="M19" s="3" t="str">
        <f>IF(E19&gt;0,IFERROR(VLOOKUP($E19,'[2]Table 1'!$B$2:$I$147,8,0),"0.00")," ")</f>
        <v xml:space="preserve"> </v>
      </c>
      <c r="N19" s="6" t="str">
        <f t="shared" si="7"/>
        <v xml:space="preserve"> </v>
      </c>
      <c r="O19" s="7" t="str">
        <f>IF(IF(COUNTIF($B$5:B19,B19)&gt;1," ",SUMIF($B$5:$B$423,B19,$J$5:$J$423))=0," ",IF(COUNTIF($B$5:B19,B19)&gt;1," ",SUMIF($B$5:$B$423,B19,$J$5:$J$423)))</f>
        <v xml:space="preserve"> </v>
      </c>
      <c r="P19" s="8" t="str">
        <f>IF(IF(COUNTIF($B$5:B19,B19)&gt;1," ",SUMIF($B$5:$B$423,B19,$L$5:$L$423))=0," ",IF(COUNTIF($B$5:B19,B19)&gt;1," ",SUMIF($B$5:$B$423,B19,$L$5:$L$423)))</f>
        <v xml:space="preserve"> </v>
      </c>
      <c r="Q19" s="8" t="str">
        <f t="shared" si="5"/>
        <v xml:space="preserve"> </v>
      </c>
      <c r="R19" s="8" t="str">
        <f t="shared" si="8"/>
        <v xml:space="preserve"> </v>
      </c>
      <c r="S19" s="48" t="str">
        <f t="shared" si="6"/>
        <v xml:space="preserve"> </v>
      </c>
      <c r="T19" s="14" t="str">
        <f>IF(F19&gt;0,IFERROR(VLOOKUP($F19,[1]Sheet1!$C$3:$L$3445,10,0),"EOSS"),"")</f>
        <v/>
      </c>
    </row>
    <row r="20" spans="1:20" x14ac:dyDescent="0.3">
      <c r="A20" s="32"/>
      <c r="B20" s="2"/>
      <c r="C20" s="5" t="str">
        <f t="shared" si="0"/>
        <v xml:space="preserve"> </v>
      </c>
      <c r="D20" s="2"/>
      <c r="E20" s="3"/>
      <c r="F20" s="4"/>
      <c r="G20" s="5"/>
      <c r="H20" s="5"/>
      <c r="I20" s="5" t="str">
        <f t="shared" si="1"/>
        <v xml:space="preserve"> </v>
      </c>
      <c r="J20" s="33"/>
      <c r="K20" s="5" t="str">
        <f t="shared" si="2"/>
        <v xml:space="preserve"> </v>
      </c>
      <c r="L20" s="3" t="str">
        <f t="shared" si="3"/>
        <v xml:space="preserve"> </v>
      </c>
      <c r="M20" s="3" t="str">
        <f>IF(E20&gt;0,IFERROR(VLOOKUP($E20,'[2]Table 1'!$B$2:$I$147,8,0),"0.00")," ")</f>
        <v xml:space="preserve"> </v>
      </c>
      <c r="N20" s="6" t="str">
        <f t="shared" si="7"/>
        <v xml:space="preserve"> </v>
      </c>
      <c r="O20" s="7" t="str">
        <f>IF(IF(COUNTIF($B$5:B20,B20)&gt;1," ",SUMIF($B$5:$B$423,B20,$J$5:$J$423))=0," ",IF(COUNTIF($B$5:B20,B20)&gt;1," ",SUMIF($B$5:$B$423,B20,$J$5:$J$423)))</f>
        <v xml:space="preserve"> </v>
      </c>
      <c r="P20" s="8" t="str">
        <f>IF(IF(COUNTIF($B$5:B20,B20)&gt;1," ",SUMIF($B$5:$B$423,B20,$L$5:$L$423))=0," ",IF(COUNTIF($B$5:B20,B20)&gt;1," ",SUMIF($B$5:$B$423,B20,$L$5:$L$423)))</f>
        <v xml:space="preserve"> </v>
      </c>
      <c r="Q20" s="8" t="str">
        <f t="shared" si="5"/>
        <v xml:space="preserve"> </v>
      </c>
      <c r="R20" s="8" t="str">
        <f t="shared" si="8"/>
        <v xml:space="preserve"> </v>
      </c>
      <c r="S20" s="48" t="str">
        <f t="shared" si="6"/>
        <v xml:space="preserve"> </v>
      </c>
      <c r="T20" s="14" t="str">
        <f>IF(F20&gt;0,IFERROR(VLOOKUP($F20,[1]Sheet1!$C$3:$L$3445,10,0),"EOSS"),"")</f>
        <v/>
      </c>
    </row>
    <row r="21" spans="1:20" x14ac:dyDescent="0.3">
      <c r="A21" s="32"/>
      <c r="B21" s="2"/>
      <c r="C21" s="5" t="str">
        <f t="shared" si="0"/>
        <v xml:space="preserve"> </v>
      </c>
      <c r="D21" s="2"/>
      <c r="E21" s="3"/>
      <c r="F21" s="4"/>
      <c r="G21" s="5"/>
      <c r="H21" s="5"/>
      <c r="I21" s="5" t="str">
        <f t="shared" si="1"/>
        <v xml:space="preserve"> </v>
      </c>
      <c r="J21" s="33"/>
      <c r="K21" s="5" t="str">
        <f t="shared" si="2"/>
        <v xml:space="preserve"> </v>
      </c>
      <c r="L21" s="3" t="str">
        <f t="shared" si="3"/>
        <v xml:space="preserve"> </v>
      </c>
      <c r="M21" s="3" t="str">
        <f>IF(E21&gt;0,IFERROR(VLOOKUP($E21,'[2]Table 1'!$B$2:$I$147,8,0),"0.00")," ")</f>
        <v xml:space="preserve"> </v>
      </c>
      <c r="N21" s="6" t="str">
        <f t="shared" si="7"/>
        <v xml:space="preserve"> </v>
      </c>
      <c r="O21" s="7" t="str">
        <f>IF(IF(COUNTIF($B$5:B21,B21)&gt;1," ",SUMIF($B$5:$B$423,B21,$J$5:$J$423))=0," ",IF(COUNTIF($B$5:B21,B21)&gt;1," ",SUMIF($B$5:$B$423,B21,$J$5:$J$423)))</f>
        <v xml:space="preserve"> </v>
      </c>
      <c r="P21" s="8" t="str">
        <f>IF(IF(COUNTIF($B$5:B21,B21)&gt;1," ",SUMIF($B$5:$B$423,B21,$L$5:$L$423))=0," ",IF(COUNTIF($B$5:B21,B21)&gt;1," ",SUMIF($B$5:$B$423,B21,$L$5:$L$423)))</f>
        <v xml:space="preserve"> </v>
      </c>
      <c r="Q21" s="8" t="str">
        <f t="shared" si="5"/>
        <v xml:space="preserve"> </v>
      </c>
      <c r="R21" s="8" t="str">
        <f t="shared" si="8"/>
        <v xml:space="preserve"> </v>
      </c>
      <c r="S21" s="48" t="str">
        <f t="shared" si="6"/>
        <v xml:space="preserve"> </v>
      </c>
      <c r="T21" s="14" t="str">
        <f>IF(F21&gt;0,IFERROR(VLOOKUP($F21,[1]Sheet1!$C$3:$L$3445,10,0),"EOSS"),"")</f>
        <v/>
      </c>
    </row>
    <row r="22" spans="1:20" x14ac:dyDescent="0.3">
      <c r="A22" s="32"/>
      <c r="B22" s="2"/>
      <c r="C22" s="5" t="str">
        <f t="shared" si="0"/>
        <v xml:space="preserve"> </v>
      </c>
      <c r="D22" s="2"/>
      <c r="E22" s="3"/>
      <c r="F22" s="4"/>
      <c r="G22" s="5"/>
      <c r="H22" s="5"/>
      <c r="I22" s="5" t="str">
        <f t="shared" si="1"/>
        <v xml:space="preserve"> </v>
      </c>
      <c r="J22" s="33"/>
      <c r="K22" s="5" t="str">
        <f t="shared" si="2"/>
        <v xml:space="preserve"> </v>
      </c>
      <c r="L22" s="3" t="str">
        <f t="shared" si="3"/>
        <v xml:space="preserve"> </v>
      </c>
      <c r="M22" s="3" t="str">
        <f>IF(E22&gt;0,IFERROR(VLOOKUP($E22,'[2]Table 1'!$B$2:$I$147,8,0),"0.00")," ")</f>
        <v xml:space="preserve"> </v>
      </c>
      <c r="N22" s="6" t="str">
        <f t="shared" si="7"/>
        <v xml:space="preserve"> </v>
      </c>
      <c r="O22" s="7" t="str">
        <f>IF(IF(COUNTIF($B$5:B22,B22)&gt;1," ",SUMIF($B$5:$B$423,B22,$J$5:$J$423))=0," ",IF(COUNTIF($B$5:B22,B22)&gt;1," ",SUMIF($B$5:$B$423,B22,$J$5:$J$423)))</f>
        <v xml:space="preserve"> </v>
      </c>
      <c r="P22" s="8" t="str">
        <f>IF(IF(COUNTIF($B$5:B22,B22)&gt;1," ",SUMIF($B$5:$B$423,B22,$L$5:$L$423))=0," ",IF(COUNTIF($B$5:B22,B22)&gt;1," ",SUMIF($B$5:$B$423,B22,$L$5:$L$423)))</f>
        <v xml:space="preserve"> </v>
      </c>
      <c r="Q22" s="8" t="str">
        <f t="shared" si="5"/>
        <v xml:space="preserve"> </v>
      </c>
      <c r="R22" s="8" t="str">
        <f t="shared" si="8"/>
        <v xml:space="preserve"> </v>
      </c>
      <c r="S22" s="48" t="str">
        <f t="shared" si="6"/>
        <v xml:space="preserve"> </v>
      </c>
      <c r="T22" s="14" t="str">
        <f>IF(F22&gt;0,IFERROR(VLOOKUP($F22,[1]Sheet1!$C$3:$L$3445,10,0),"EOSS"),"")</f>
        <v/>
      </c>
    </row>
    <row r="23" spans="1:20" x14ac:dyDescent="0.3">
      <c r="A23" s="32"/>
      <c r="B23" s="2"/>
      <c r="C23" s="5" t="str">
        <f t="shared" si="0"/>
        <v xml:space="preserve"> </v>
      </c>
      <c r="D23" s="2"/>
      <c r="E23" s="3"/>
      <c r="F23" s="4"/>
      <c r="G23" s="5"/>
      <c r="H23" s="5"/>
      <c r="I23" s="5" t="str">
        <f t="shared" si="1"/>
        <v xml:space="preserve"> </v>
      </c>
      <c r="J23" s="33"/>
      <c r="K23" s="5" t="str">
        <f t="shared" si="2"/>
        <v xml:space="preserve"> </v>
      </c>
      <c r="L23" s="3" t="str">
        <f t="shared" si="3"/>
        <v xml:space="preserve"> </v>
      </c>
      <c r="M23" s="3" t="str">
        <f>IF(E23&gt;0,IFERROR(VLOOKUP($E23,'[2]Table 1'!$B$2:$I$147,8,0),"0.00")," ")</f>
        <v xml:space="preserve"> </v>
      </c>
      <c r="N23" s="6" t="str">
        <f t="shared" si="7"/>
        <v xml:space="preserve"> </v>
      </c>
      <c r="O23" s="7" t="str">
        <f>IF(IF(COUNTIF($B$5:B23,B23)&gt;1," ",SUMIF($B$5:$B$423,B23,$J$5:$J$423))=0," ",IF(COUNTIF($B$5:B23,B23)&gt;1," ",SUMIF($B$5:$B$423,B23,$J$5:$J$423)))</f>
        <v xml:space="preserve"> </v>
      </c>
      <c r="P23" s="8" t="str">
        <f>IF(IF(COUNTIF($B$5:B23,B23)&gt;1," ",SUMIF($B$5:$B$423,B23,$L$5:$L$423))=0," ",IF(COUNTIF($B$5:B23,B23)&gt;1," ",SUMIF($B$5:$B$423,B23,$L$5:$L$423)))</f>
        <v xml:space="preserve"> </v>
      </c>
      <c r="Q23" s="8" t="str">
        <f t="shared" si="5"/>
        <v xml:space="preserve"> </v>
      </c>
      <c r="R23" s="8" t="str">
        <f t="shared" si="8"/>
        <v xml:space="preserve"> </v>
      </c>
      <c r="S23" s="48" t="str">
        <f t="shared" si="6"/>
        <v xml:space="preserve"> </v>
      </c>
      <c r="T23" s="14" t="str">
        <f>IF(F23&gt;0,IFERROR(VLOOKUP($F23,[1]Sheet1!$C$3:$L$3445,10,0),"EOSS"),"")</f>
        <v/>
      </c>
    </row>
    <row r="24" spans="1:20" x14ac:dyDescent="0.3">
      <c r="A24" s="32"/>
      <c r="B24" s="2"/>
      <c r="C24" s="5" t="str">
        <f t="shared" si="0"/>
        <v xml:space="preserve"> </v>
      </c>
      <c r="D24" s="2"/>
      <c r="E24" s="3"/>
      <c r="F24" s="4"/>
      <c r="G24" s="5"/>
      <c r="H24" s="5"/>
      <c r="I24" s="5" t="str">
        <f t="shared" si="1"/>
        <v xml:space="preserve"> </v>
      </c>
      <c r="J24" s="33"/>
      <c r="K24" s="5" t="str">
        <f t="shared" si="2"/>
        <v xml:space="preserve"> </v>
      </c>
      <c r="L24" s="3" t="str">
        <f t="shared" si="3"/>
        <v xml:space="preserve"> </v>
      </c>
      <c r="M24" s="3" t="str">
        <f>IF(E24&gt;0,IFERROR(VLOOKUP($E24,'[2]Table 1'!$B$2:$I$147,8,0),"0.00")," ")</f>
        <v xml:space="preserve"> </v>
      </c>
      <c r="N24" s="6" t="str">
        <f t="shared" si="7"/>
        <v xml:space="preserve"> </v>
      </c>
      <c r="O24" s="7" t="str">
        <f>IF(IF(COUNTIF($B$5:B24,B24)&gt;1," ",SUMIF($B$5:$B$423,B24,$J$5:$J$423))=0," ",IF(COUNTIF($B$5:B24,B24)&gt;1," ",SUMIF($B$5:$B$423,B24,$J$5:$J$423)))</f>
        <v xml:space="preserve"> </v>
      </c>
      <c r="P24" s="8" t="str">
        <f>IF(IF(COUNTIF($B$5:B24,B24)&gt;1," ",SUMIF($B$5:$B$423,B24,$L$5:$L$423))=0," ",IF(COUNTIF($B$5:B24,B24)&gt;1," ",SUMIF($B$5:$B$423,B24,$L$5:$L$423)))</f>
        <v xml:space="preserve"> </v>
      </c>
      <c r="Q24" s="8" t="str">
        <f t="shared" si="5"/>
        <v xml:space="preserve"> </v>
      </c>
      <c r="R24" s="8" t="str">
        <f t="shared" si="8"/>
        <v xml:space="preserve"> </v>
      </c>
      <c r="S24" s="48" t="str">
        <f t="shared" si="6"/>
        <v xml:space="preserve"> </v>
      </c>
      <c r="T24" s="14" t="str">
        <f>IF(F24&gt;0,IFERROR(VLOOKUP($F24,[1]Sheet1!$C$3:$L$3445,10,0),"EOSS"),"")</f>
        <v/>
      </c>
    </row>
    <row r="25" spans="1:20" x14ac:dyDescent="0.3">
      <c r="A25" s="32"/>
      <c r="B25" s="2"/>
      <c r="C25" s="5" t="str">
        <f t="shared" si="0"/>
        <v xml:space="preserve"> </v>
      </c>
      <c r="D25" s="2"/>
      <c r="E25" s="3"/>
      <c r="F25" s="4"/>
      <c r="G25" s="5"/>
      <c r="H25" s="5"/>
      <c r="I25" s="5" t="str">
        <f t="shared" si="1"/>
        <v xml:space="preserve"> </v>
      </c>
      <c r="J25" s="33"/>
      <c r="K25" s="5" t="str">
        <f t="shared" si="2"/>
        <v xml:space="preserve"> </v>
      </c>
      <c r="L25" s="3" t="str">
        <f t="shared" si="3"/>
        <v xml:space="preserve"> </v>
      </c>
      <c r="M25" s="3" t="str">
        <f>IF(E25&gt;0,IFERROR(VLOOKUP($E25,'[2]Table 1'!$B$2:$I$147,8,0),"0.00")," ")</f>
        <v xml:space="preserve"> </v>
      </c>
      <c r="N25" s="6" t="str">
        <f t="shared" si="7"/>
        <v xml:space="preserve"> </v>
      </c>
      <c r="O25" s="7" t="str">
        <f>IF(IF(COUNTIF($B$5:B25,B25)&gt;1," ",SUMIF($B$5:$B$423,B25,$J$5:$J$423))=0," ",IF(COUNTIF($B$5:B25,B25)&gt;1," ",SUMIF($B$5:$B$423,B25,$J$5:$J$423)))</f>
        <v xml:space="preserve"> </v>
      </c>
      <c r="P25" s="8" t="str">
        <f>IF(IF(COUNTIF($B$5:B25,B25)&gt;1," ",SUMIF($B$5:$B$423,B25,$L$5:$L$423))=0," ",IF(COUNTIF($B$5:B25,B25)&gt;1," ",SUMIF($B$5:$B$423,B25,$L$5:$L$423)))</f>
        <v xml:space="preserve"> </v>
      </c>
      <c r="Q25" s="8" t="str">
        <f t="shared" si="5"/>
        <v xml:space="preserve"> </v>
      </c>
      <c r="R25" s="8" t="str">
        <f t="shared" si="8"/>
        <v xml:space="preserve"> </v>
      </c>
      <c r="S25" s="48" t="str">
        <f t="shared" si="6"/>
        <v xml:space="preserve"> </v>
      </c>
      <c r="T25" s="14" t="str">
        <f>IF(F25&gt;0,IFERROR(VLOOKUP($F25,[1]Sheet1!$C$3:$L$3445,10,0),"EOSS"),"")</f>
        <v/>
      </c>
    </row>
    <row r="26" spans="1:20" x14ac:dyDescent="0.3">
      <c r="A26" s="32"/>
      <c r="B26" s="2"/>
      <c r="C26" s="5" t="str">
        <f t="shared" si="0"/>
        <v xml:space="preserve"> </v>
      </c>
      <c r="D26" s="2"/>
      <c r="E26" s="3"/>
      <c r="F26" s="4"/>
      <c r="G26" s="5"/>
      <c r="H26" s="5"/>
      <c r="I26" s="5" t="str">
        <f t="shared" si="1"/>
        <v xml:space="preserve"> </v>
      </c>
      <c r="J26" s="33"/>
      <c r="K26" s="5" t="str">
        <f t="shared" si="2"/>
        <v xml:space="preserve"> </v>
      </c>
      <c r="L26" s="3" t="str">
        <f t="shared" si="3"/>
        <v xml:space="preserve"> </v>
      </c>
      <c r="M26" s="3" t="str">
        <f>IF(E26&gt;0,IFERROR(VLOOKUP($E26,'[2]Table 1'!$B$2:$I$147,8,0),"0.00")," ")</f>
        <v xml:space="preserve"> </v>
      </c>
      <c r="N26" s="6" t="str">
        <f t="shared" si="7"/>
        <v xml:space="preserve"> </v>
      </c>
      <c r="O26" s="7" t="str">
        <f>IF(IF(COUNTIF($B$5:B26,B26)&gt;1," ",SUMIF($B$5:$B$423,B26,$J$5:$J$423))=0," ",IF(COUNTIF($B$5:B26,B26)&gt;1," ",SUMIF($B$5:$B$423,B26,$J$5:$J$423)))</f>
        <v xml:space="preserve"> </v>
      </c>
      <c r="P26" s="8" t="str">
        <f>IF(IF(COUNTIF($B$5:B26,B26)&gt;1," ",SUMIF($B$5:$B$423,B26,$L$5:$L$423))=0," ",IF(COUNTIF($B$5:B26,B26)&gt;1," ",SUMIF($B$5:$B$423,B26,$L$5:$L$423)))</f>
        <v xml:space="preserve"> </v>
      </c>
      <c r="Q26" s="8" t="str">
        <f t="shared" si="5"/>
        <v xml:space="preserve"> </v>
      </c>
      <c r="R26" s="8" t="str">
        <f t="shared" si="8"/>
        <v xml:space="preserve"> </v>
      </c>
      <c r="S26" s="48" t="str">
        <f t="shared" si="6"/>
        <v xml:space="preserve"> </v>
      </c>
      <c r="T26" s="14" t="str">
        <f>IF(F26&gt;0,IFERROR(VLOOKUP($F26,[1]Sheet1!$C$3:$L$3445,10,0),"EOSS"),"")</f>
        <v/>
      </c>
    </row>
    <row r="27" spans="1:20" x14ac:dyDescent="0.3">
      <c r="A27" s="32"/>
      <c r="B27" s="2"/>
      <c r="C27" s="5" t="str">
        <f t="shared" si="0"/>
        <v xml:space="preserve"> </v>
      </c>
      <c r="D27" s="2"/>
      <c r="E27" s="3"/>
      <c r="F27" s="4"/>
      <c r="G27" s="5"/>
      <c r="H27" s="5"/>
      <c r="I27" s="5" t="str">
        <f t="shared" si="1"/>
        <v xml:space="preserve"> </v>
      </c>
      <c r="J27" s="33"/>
      <c r="K27" s="5" t="str">
        <f t="shared" si="2"/>
        <v xml:space="preserve"> </v>
      </c>
      <c r="L27" s="3" t="str">
        <f t="shared" si="3"/>
        <v xml:space="preserve"> </v>
      </c>
      <c r="M27" s="3" t="str">
        <f>IF(E27&gt;0,IFERROR(VLOOKUP($E27,'[2]Table 1'!$B$2:$I$147,8,0),"0.00")," ")</f>
        <v xml:space="preserve"> </v>
      </c>
      <c r="N27" s="6" t="str">
        <f t="shared" si="7"/>
        <v xml:space="preserve"> </v>
      </c>
      <c r="O27" s="7" t="str">
        <f>IF(IF(COUNTIF($B$5:B27,B27)&gt;1," ",SUMIF($B$5:$B$423,B27,$J$5:$J$423))=0," ",IF(COUNTIF($B$5:B27,B27)&gt;1," ",SUMIF($B$5:$B$423,B27,$J$5:$J$423)))</f>
        <v xml:space="preserve"> </v>
      </c>
      <c r="P27" s="8" t="str">
        <f>IF(IF(COUNTIF($B$5:B27,B27)&gt;1," ",SUMIF($B$5:$B$423,B27,$L$5:$L$423))=0," ",IF(COUNTIF($B$5:B27,B27)&gt;1," ",SUMIF($B$5:$B$423,B27,$L$5:$L$423)))</f>
        <v xml:space="preserve"> </v>
      </c>
      <c r="Q27" s="8" t="str">
        <f t="shared" si="5"/>
        <v xml:space="preserve"> </v>
      </c>
      <c r="R27" s="8" t="str">
        <f t="shared" si="8"/>
        <v xml:space="preserve"> </v>
      </c>
      <c r="S27" s="48" t="str">
        <f t="shared" si="6"/>
        <v xml:space="preserve"> </v>
      </c>
      <c r="T27" s="14" t="str">
        <f>IF(F27&gt;0,IFERROR(VLOOKUP($F27,[1]Sheet1!$C$3:$L$3445,10,0),"EOSS"),"")</f>
        <v/>
      </c>
    </row>
    <row r="28" spans="1:20" x14ac:dyDescent="0.3">
      <c r="A28" s="32"/>
      <c r="B28" s="2"/>
      <c r="C28" s="5" t="str">
        <f t="shared" si="0"/>
        <v xml:space="preserve"> </v>
      </c>
      <c r="D28" s="2"/>
      <c r="E28" s="3"/>
      <c r="F28" s="4"/>
      <c r="G28" s="5"/>
      <c r="H28" s="5"/>
      <c r="I28" s="5" t="str">
        <f t="shared" si="1"/>
        <v xml:space="preserve"> </v>
      </c>
      <c r="J28" s="33"/>
      <c r="K28" s="5" t="str">
        <f t="shared" si="2"/>
        <v xml:space="preserve"> </v>
      </c>
      <c r="L28" s="3" t="str">
        <f t="shared" si="3"/>
        <v xml:space="preserve"> </v>
      </c>
      <c r="M28" s="3" t="str">
        <f>IF(E28&gt;0,IFERROR(VLOOKUP($E28,'[2]Table 1'!$B$2:$I$147,8,0),"0.00")," ")</f>
        <v xml:space="preserve"> </v>
      </c>
      <c r="N28" s="6" t="str">
        <f t="shared" si="7"/>
        <v xml:space="preserve"> </v>
      </c>
      <c r="O28" s="7" t="str">
        <f>IF(IF(COUNTIF($B$5:B28,B28)&gt;1," ",SUMIF($B$5:$B$423,B28,$J$5:$J$423))=0," ",IF(COUNTIF($B$5:B28,B28)&gt;1," ",SUMIF($B$5:$B$423,B28,$J$5:$J$423)))</f>
        <v xml:space="preserve"> </v>
      </c>
      <c r="P28" s="8" t="str">
        <f>IF(IF(COUNTIF($B$5:B28,B28)&gt;1," ",SUMIF($B$5:$B$423,B28,$L$5:$L$423))=0," ",IF(COUNTIF($B$5:B28,B28)&gt;1," ",SUMIF($B$5:$B$423,B28,$L$5:$L$423)))</f>
        <v xml:space="preserve"> </v>
      </c>
      <c r="Q28" s="8" t="str">
        <f t="shared" si="5"/>
        <v xml:space="preserve"> </v>
      </c>
      <c r="R28" s="8" t="str">
        <f t="shared" si="8"/>
        <v xml:space="preserve"> </v>
      </c>
      <c r="S28" s="48" t="str">
        <f t="shared" si="6"/>
        <v xml:space="preserve"> </v>
      </c>
      <c r="T28" s="14" t="str">
        <f>IF(F28&gt;0,IFERROR(VLOOKUP($F28,[1]Sheet1!$C$3:$L$3445,10,0),"EOSS"),"")</f>
        <v/>
      </c>
    </row>
    <row r="29" spans="1:20" x14ac:dyDescent="0.3">
      <c r="A29" s="32"/>
      <c r="B29" s="2"/>
      <c r="C29" s="5" t="str">
        <f t="shared" si="0"/>
        <v xml:space="preserve"> </v>
      </c>
      <c r="D29" s="2"/>
      <c r="E29" s="3"/>
      <c r="F29" s="4"/>
      <c r="G29" s="5"/>
      <c r="H29" s="5"/>
      <c r="I29" s="5" t="str">
        <f t="shared" si="1"/>
        <v xml:space="preserve"> </v>
      </c>
      <c r="J29" s="33"/>
      <c r="K29" s="5" t="str">
        <f t="shared" si="2"/>
        <v xml:space="preserve"> </v>
      </c>
      <c r="L29" s="3" t="str">
        <f t="shared" si="3"/>
        <v xml:space="preserve"> </v>
      </c>
      <c r="M29" s="3" t="str">
        <f>IF(E29&gt;0,IFERROR(VLOOKUP($E29,'[2]Table 1'!$B$2:$I$147,8,0),"0.00")," ")</f>
        <v xml:space="preserve"> </v>
      </c>
      <c r="N29" s="6" t="str">
        <f t="shared" si="7"/>
        <v xml:space="preserve"> </v>
      </c>
      <c r="O29" s="7" t="str">
        <f>IF(IF(COUNTIF($B$5:B29,B29)&gt;1," ",SUMIF($B$5:$B$423,B29,$J$5:$J$423))=0," ",IF(COUNTIF($B$5:B29,B29)&gt;1," ",SUMIF($B$5:$B$423,B29,$J$5:$J$423)))</f>
        <v xml:space="preserve"> </v>
      </c>
      <c r="P29" s="8" t="str">
        <f>IF(IF(COUNTIF($B$5:B29,B29)&gt;1," ",SUMIF($B$5:$B$423,B29,$L$5:$L$423))=0," ",IF(COUNTIF($B$5:B29,B29)&gt;1," ",SUMIF($B$5:$B$423,B29,$L$5:$L$423)))</f>
        <v xml:space="preserve"> </v>
      </c>
      <c r="Q29" s="8" t="str">
        <f t="shared" si="5"/>
        <v xml:space="preserve"> </v>
      </c>
      <c r="R29" s="8" t="str">
        <f t="shared" si="8"/>
        <v xml:space="preserve"> </v>
      </c>
      <c r="S29" s="48" t="str">
        <f t="shared" si="6"/>
        <v xml:space="preserve"> </v>
      </c>
      <c r="T29" s="14" t="str">
        <f>IF(F29&gt;0,IFERROR(VLOOKUP($F29,[1]Sheet1!$C$3:$L$3445,10,0),"EOSS"),"")</f>
        <v/>
      </c>
    </row>
    <row r="30" spans="1:20" x14ac:dyDescent="0.3">
      <c r="A30" s="32"/>
      <c r="B30" s="2"/>
      <c r="C30" s="5" t="str">
        <f t="shared" si="0"/>
        <v xml:space="preserve"> </v>
      </c>
      <c r="D30" s="2"/>
      <c r="E30" s="3"/>
      <c r="F30" s="4"/>
      <c r="G30" s="5"/>
      <c r="H30" s="5"/>
      <c r="I30" s="5" t="str">
        <f t="shared" si="1"/>
        <v xml:space="preserve"> </v>
      </c>
      <c r="J30" s="33"/>
      <c r="K30" s="5" t="str">
        <f t="shared" si="2"/>
        <v xml:space="preserve"> </v>
      </c>
      <c r="L30" s="3" t="str">
        <f t="shared" si="3"/>
        <v xml:space="preserve"> </v>
      </c>
      <c r="M30" s="3" t="str">
        <f>IF(E30&gt;0,IFERROR(VLOOKUP($E30,'[2]Table 1'!$B$2:$I$147,8,0),"0.00")," ")</f>
        <v xml:space="preserve"> </v>
      </c>
      <c r="N30" s="6" t="str">
        <f t="shared" si="7"/>
        <v xml:space="preserve"> </v>
      </c>
      <c r="O30" s="7" t="str">
        <f>IF(IF(COUNTIF($B$5:B30,B30)&gt;1," ",SUMIF($B$5:$B$423,B30,$J$5:$J$423))=0," ",IF(COUNTIF($B$5:B30,B30)&gt;1," ",SUMIF($B$5:$B$423,B30,$J$5:$J$423)))</f>
        <v xml:space="preserve"> </v>
      </c>
      <c r="P30" s="8" t="str">
        <f>IF(IF(COUNTIF($B$5:B30,B30)&gt;1," ",SUMIF($B$5:$B$423,B30,$L$5:$L$423))=0," ",IF(COUNTIF($B$5:B30,B30)&gt;1," ",SUMIF($B$5:$B$423,B30,$L$5:$L$423)))</f>
        <v xml:space="preserve"> </v>
      </c>
      <c r="Q30" s="8" t="str">
        <f t="shared" si="5"/>
        <v xml:space="preserve"> </v>
      </c>
      <c r="R30" s="8" t="str">
        <f t="shared" si="8"/>
        <v xml:space="preserve"> </v>
      </c>
      <c r="S30" s="48" t="str">
        <f t="shared" si="6"/>
        <v xml:space="preserve"> </v>
      </c>
      <c r="T30" s="14" t="str">
        <f>IF(F30&gt;0,IFERROR(VLOOKUP($F30,[1]Sheet1!$C$3:$L$3445,10,0),"EOSS"),"")</f>
        <v/>
      </c>
    </row>
    <row r="31" spans="1:20" x14ac:dyDescent="0.3">
      <c r="A31" s="32"/>
      <c r="B31" s="2"/>
      <c r="C31" s="5" t="str">
        <f t="shared" si="0"/>
        <v xml:space="preserve"> </v>
      </c>
      <c r="D31" s="2"/>
      <c r="E31" s="3"/>
      <c r="F31" s="4"/>
      <c r="G31" s="5"/>
      <c r="H31" s="5"/>
      <c r="I31" s="5" t="str">
        <f t="shared" si="1"/>
        <v xml:space="preserve"> </v>
      </c>
      <c r="J31" s="33"/>
      <c r="K31" s="5" t="str">
        <f t="shared" si="2"/>
        <v xml:space="preserve"> </v>
      </c>
      <c r="L31" s="3" t="str">
        <f t="shared" si="3"/>
        <v xml:space="preserve"> </v>
      </c>
      <c r="M31" s="3" t="str">
        <f>IF(E31&gt;0,IFERROR(VLOOKUP($E31,'[2]Table 1'!$B$2:$I$147,8,0),"0.00")," ")</f>
        <v xml:space="preserve"> </v>
      </c>
      <c r="N31" s="6" t="str">
        <f t="shared" si="7"/>
        <v xml:space="preserve"> </v>
      </c>
      <c r="O31" s="7" t="str">
        <f>IF(IF(COUNTIF($B$5:B31,B31)&gt;1," ",SUMIF($B$5:$B$423,B31,$J$5:$J$423))=0," ",IF(COUNTIF($B$5:B31,B31)&gt;1," ",SUMIF($B$5:$B$423,B31,$J$5:$J$423)))</f>
        <v xml:space="preserve"> </v>
      </c>
      <c r="P31" s="8" t="str">
        <f>IF(IF(COUNTIF($B$5:B31,B31)&gt;1," ",SUMIF($B$5:$B$423,B31,$L$5:$L$423))=0," ",IF(COUNTIF($B$5:B31,B31)&gt;1," ",SUMIF($B$5:$B$423,B31,$L$5:$L$423)))</f>
        <v xml:space="preserve"> </v>
      </c>
      <c r="Q31" s="8" t="str">
        <f t="shared" si="5"/>
        <v xml:space="preserve"> </v>
      </c>
      <c r="R31" s="8" t="str">
        <f t="shared" si="8"/>
        <v xml:space="preserve"> </v>
      </c>
      <c r="S31" s="48" t="str">
        <f t="shared" si="6"/>
        <v xml:space="preserve"> </v>
      </c>
      <c r="T31" s="14" t="str">
        <f>IF(F31&gt;0,IFERROR(VLOOKUP($F31,[1]Sheet1!$C$3:$L$3445,10,0),"EOSS"),"")</f>
        <v/>
      </c>
    </row>
    <row r="32" spans="1:20" x14ac:dyDescent="0.3">
      <c r="A32" s="32"/>
      <c r="B32" s="2"/>
      <c r="C32" s="5" t="str">
        <f t="shared" si="0"/>
        <v xml:space="preserve"> </v>
      </c>
      <c r="D32" s="2"/>
      <c r="E32" s="3"/>
      <c r="F32" s="4"/>
      <c r="G32" s="5"/>
      <c r="H32" s="5"/>
      <c r="I32" s="5" t="str">
        <f t="shared" si="1"/>
        <v xml:space="preserve"> </v>
      </c>
      <c r="J32" s="33"/>
      <c r="K32" s="5" t="str">
        <f t="shared" si="2"/>
        <v xml:space="preserve"> </v>
      </c>
      <c r="L32" s="3" t="str">
        <f t="shared" si="3"/>
        <v xml:space="preserve"> </v>
      </c>
      <c r="M32" s="3" t="str">
        <f>IF(E32&gt;0,IFERROR(VLOOKUP($E32,'[2]Table 1'!$B$2:$I$147,8,0),"0.00")," ")</f>
        <v xml:space="preserve"> </v>
      </c>
      <c r="N32" s="6" t="str">
        <f t="shared" si="7"/>
        <v xml:space="preserve"> </v>
      </c>
      <c r="O32" s="7" t="str">
        <f>IF(IF(COUNTIF($B$5:B32,B32)&gt;1," ",SUMIF($B$5:$B$423,B32,$J$5:$J$423))=0," ",IF(COUNTIF($B$5:B32,B32)&gt;1," ",SUMIF($B$5:$B$423,B32,$J$5:$J$423)))</f>
        <v xml:space="preserve"> </v>
      </c>
      <c r="P32" s="8" t="str">
        <f>IF(IF(COUNTIF($B$5:B32,B32)&gt;1," ",SUMIF($B$5:$B$423,B32,$L$5:$L$423))=0," ",IF(COUNTIF($B$5:B32,B32)&gt;1," ",SUMIF($B$5:$B$423,B32,$L$5:$L$423)))</f>
        <v xml:space="preserve"> </v>
      </c>
      <c r="Q32" s="8" t="str">
        <f t="shared" si="5"/>
        <v xml:space="preserve"> </v>
      </c>
      <c r="R32" s="8" t="str">
        <f t="shared" si="8"/>
        <v xml:space="preserve"> </v>
      </c>
      <c r="S32" s="48" t="str">
        <f t="shared" si="6"/>
        <v xml:space="preserve"> </v>
      </c>
      <c r="T32" s="14" t="str">
        <f>IF(F32&gt;0,IFERROR(VLOOKUP($F32,[1]Sheet1!$C$3:$L$3445,10,0),"EOSS"),"")</f>
        <v/>
      </c>
    </row>
    <row r="33" spans="1:20" x14ac:dyDescent="0.3">
      <c r="A33" s="32"/>
      <c r="B33" s="2"/>
      <c r="C33" s="5" t="str">
        <f t="shared" si="0"/>
        <v xml:space="preserve"> </v>
      </c>
      <c r="D33" s="2"/>
      <c r="E33" s="3"/>
      <c r="F33" s="4"/>
      <c r="G33" s="5"/>
      <c r="H33" s="5"/>
      <c r="I33" s="5" t="str">
        <f t="shared" si="1"/>
        <v xml:space="preserve"> </v>
      </c>
      <c r="J33" s="33"/>
      <c r="K33" s="5" t="str">
        <f t="shared" si="2"/>
        <v xml:space="preserve"> </v>
      </c>
      <c r="L33" s="3" t="str">
        <f t="shared" si="3"/>
        <v xml:space="preserve"> </v>
      </c>
      <c r="M33" s="3" t="str">
        <f>IF(E33&gt;0,IFERROR(VLOOKUP($E33,'[2]Table 1'!$B$2:$I$147,8,0),"0.00")," ")</f>
        <v xml:space="preserve"> </v>
      </c>
      <c r="N33" s="6" t="str">
        <f t="shared" si="7"/>
        <v xml:space="preserve"> </v>
      </c>
      <c r="O33" s="7" t="str">
        <f>IF(IF(COUNTIF($B$5:B33,B33)&gt;1," ",SUMIF($B$5:$B$423,B33,$J$5:$J$423))=0," ",IF(COUNTIF($B$5:B33,B33)&gt;1," ",SUMIF($B$5:$B$423,B33,$J$5:$J$423)))</f>
        <v xml:space="preserve"> </v>
      </c>
      <c r="P33" s="8" t="str">
        <f>IF(IF(COUNTIF($B$5:B33,B33)&gt;1," ",SUMIF($B$5:$B$423,B33,$L$5:$L$423))=0," ",IF(COUNTIF($B$5:B33,B33)&gt;1," ",SUMIF($B$5:$B$423,B33,$L$5:$L$423)))</f>
        <v xml:space="preserve"> </v>
      </c>
      <c r="Q33" s="8" t="str">
        <f t="shared" si="5"/>
        <v xml:space="preserve"> </v>
      </c>
      <c r="R33" s="8" t="str">
        <f t="shared" si="8"/>
        <v xml:space="preserve"> </v>
      </c>
      <c r="S33" s="48" t="str">
        <f t="shared" si="6"/>
        <v xml:space="preserve"> </v>
      </c>
      <c r="T33" s="14" t="str">
        <f>IF(F33&gt;0,IFERROR(VLOOKUP($F33,[1]Sheet1!$C$3:$L$3445,10,0),"EOSS"),"")</f>
        <v/>
      </c>
    </row>
    <row r="34" spans="1:20" x14ac:dyDescent="0.3">
      <c r="A34" s="32"/>
      <c r="B34" s="2"/>
      <c r="C34" s="5" t="str">
        <f t="shared" si="0"/>
        <v xml:space="preserve"> </v>
      </c>
      <c r="D34" s="2"/>
      <c r="E34" s="3"/>
      <c r="F34" s="4"/>
      <c r="G34" s="5"/>
      <c r="H34" s="5"/>
      <c r="I34" s="5" t="str">
        <f t="shared" si="1"/>
        <v xml:space="preserve"> </v>
      </c>
      <c r="J34" s="33"/>
      <c r="K34" s="5" t="str">
        <f t="shared" si="2"/>
        <v xml:space="preserve"> </v>
      </c>
      <c r="L34" s="3" t="str">
        <f t="shared" si="3"/>
        <v xml:space="preserve"> </v>
      </c>
      <c r="M34" s="3" t="str">
        <f>IF(E34&gt;0,IFERROR(VLOOKUP($E34,'[2]Table 1'!$B$2:$I$147,8,0),"0.00")," ")</f>
        <v xml:space="preserve"> </v>
      </c>
      <c r="N34" s="6" t="str">
        <f t="shared" si="7"/>
        <v xml:space="preserve"> </v>
      </c>
      <c r="O34" s="7" t="str">
        <f>IF(IF(COUNTIF($B$5:B34,B34)&gt;1," ",SUMIF($B$5:$B$423,B34,$J$5:$J$423))=0," ",IF(COUNTIF($B$5:B34,B34)&gt;1," ",SUMIF($B$5:$B$423,B34,$J$5:$J$423)))</f>
        <v xml:space="preserve"> </v>
      </c>
      <c r="P34" s="8" t="str">
        <f>IF(IF(COUNTIF($B$5:B34,B34)&gt;1," ",SUMIF($B$5:$B$423,B34,$L$5:$L$423))=0," ",IF(COUNTIF($B$5:B34,B34)&gt;1," ",SUMIF($B$5:$B$423,B34,$L$5:$L$423)))</f>
        <v xml:space="preserve"> </v>
      </c>
      <c r="Q34" s="8" t="str">
        <f t="shared" si="5"/>
        <v xml:space="preserve"> </v>
      </c>
      <c r="R34" s="8" t="str">
        <f t="shared" si="8"/>
        <v xml:space="preserve"> </v>
      </c>
      <c r="S34" s="48" t="str">
        <f t="shared" si="6"/>
        <v xml:space="preserve"> </v>
      </c>
      <c r="T34" s="14" t="str">
        <f>IF(F34&gt;0,IFERROR(VLOOKUP($F34,[1]Sheet1!$C$3:$L$3445,10,0),"EOSS"),"")</f>
        <v/>
      </c>
    </row>
    <row r="35" spans="1:20" x14ac:dyDescent="0.3">
      <c r="A35" s="32"/>
      <c r="B35" s="2"/>
      <c r="C35" s="5" t="str">
        <f t="shared" si="0"/>
        <v xml:space="preserve"> </v>
      </c>
      <c r="D35" s="2"/>
      <c r="E35" s="3"/>
      <c r="F35" s="4"/>
      <c r="G35" s="5"/>
      <c r="H35" s="5"/>
      <c r="I35" s="5" t="str">
        <f t="shared" si="1"/>
        <v xml:space="preserve"> </v>
      </c>
      <c r="J35" s="33"/>
      <c r="K35" s="5" t="str">
        <f t="shared" si="2"/>
        <v xml:space="preserve"> </v>
      </c>
      <c r="L35" s="3" t="str">
        <f t="shared" si="3"/>
        <v xml:space="preserve"> </v>
      </c>
      <c r="M35" s="3" t="str">
        <f>IF(E35&gt;0,IFERROR(VLOOKUP($E35,'[2]Table 1'!$B$2:$I$147,8,0),"0.00")," ")</f>
        <v xml:space="preserve"> </v>
      </c>
      <c r="N35" s="6" t="str">
        <f t="shared" si="7"/>
        <v xml:space="preserve"> </v>
      </c>
      <c r="O35" s="7" t="str">
        <f>IF(IF(COUNTIF($B$5:B35,B35)&gt;1," ",SUMIF($B$5:$B$423,B35,$J$5:$J$423))=0," ",IF(COUNTIF($B$5:B35,B35)&gt;1," ",SUMIF($B$5:$B$423,B35,$J$5:$J$423)))</f>
        <v xml:space="preserve"> </v>
      </c>
      <c r="P35" s="8" t="str">
        <f>IF(IF(COUNTIF($B$5:B35,B35)&gt;1," ",SUMIF($B$5:$B$423,B35,$L$5:$L$423))=0," ",IF(COUNTIF($B$5:B35,B35)&gt;1," ",SUMIF($B$5:$B$423,B35,$L$5:$L$423)))</f>
        <v xml:space="preserve"> </v>
      </c>
      <c r="Q35" s="8" t="str">
        <f t="shared" si="5"/>
        <v xml:space="preserve"> </v>
      </c>
      <c r="R35" s="8" t="str">
        <f t="shared" si="8"/>
        <v xml:space="preserve"> </v>
      </c>
      <c r="S35" s="48" t="str">
        <f t="shared" si="6"/>
        <v xml:space="preserve"> </v>
      </c>
      <c r="T35" s="14" t="str">
        <f>IF(F35&gt;0,IFERROR(VLOOKUP($F35,[1]Sheet1!$C$3:$L$3445,10,0),"EOSS"),"")</f>
        <v/>
      </c>
    </row>
    <row r="36" spans="1:20" x14ac:dyDescent="0.3">
      <c r="A36" s="32"/>
      <c r="B36" s="2"/>
      <c r="C36" s="5" t="str">
        <f t="shared" si="0"/>
        <v xml:space="preserve"> </v>
      </c>
      <c r="D36" s="2"/>
      <c r="E36" s="3"/>
      <c r="F36" s="4"/>
      <c r="G36" s="5"/>
      <c r="H36" s="5"/>
      <c r="I36" s="5" t="str">
        <f t="shared" si="1"/>
        <v xml:space="preserve"> </v>
      </c>
      <c r="J36" s="33"/>
      <c r="K36" s="5" t="str">
        <f t="shared" si="2"/>
        <v xml:space="preserve"> </v>
      </c>
      <c r="L36" s="3" t="str">
        <f t="shared" si="3"/>
        <v xml:space="preserve"> </v>
      </c>
      <c r="M36" s="3" t="str">
        <f>IF(E36&gt;0,IFERROR(VLOOKUP($E36,'[2]Table 1'!$B$2:$I$147,8,0),"0.00")," ")</f>
        <v xml:space="preserve"> </v>
      </c>
      <c r="N36" s="6" t="str">
        <f t="shared" si="7"/>
        <v xml:space="preserve"> </v>
      </c>
      <c r="O36" s="7" t="str">
        <f>IF(IF(COUNTIF($B$5:B36,B36)&gt;1," ",SUMIF($B$5:$B$423,B36,$J$5:$J$423))=0," ",IF(COUNTIF($B$5:B36,B36)&gt;1," ",SUMIF($B$5:$B$423,B36,$J$5:$J$423)))</f>
        <v xml:space="preserve"> </v>
      </c>
      <c r="P36" s="8" t="str">
        <f>IF(IF(COUNTIF($B$5:B36,B36)&gt;1," ",SUMIF($B$5:$B$423,B36,$L$5:$L$423))=0," ",IF(COUNTIF($B$5:B36,B36)&gt;1," ",SUMIF($B$5:$B$423,B36,$L$5:$L$423)))</f>
        <v xml:space="preserve"> </v>
      </c>
      <c r="Q36" s="8" t="str">
        <f t="shared" si="5"/>
        <v xml:space="preserve"> </v>
      </c>
      <c r="R36" s="8" t="str">
        <f t="shared" si="8"/>
        <v xml:space="preserve"> </v>
      </c>
      <c r="S36" s="48" t="str">
        <f t="shared" si="6"/>
        <v xml:space="preserve"> </v>
      </c>
      <c r="T36" s="14" t="str">
        <f>IF(F36&gt;0,IFERROR(VLOOKUP($F36,[1]Sheet1!$C$3:$L$3445,10,0),"EOSS"),"")</f>
        <v/>
      </c>
    </row>
    <row r="37" spans="1:20" x14ac:dyDescent="0.3">
      <c r="A37" s="32"/>
      <c r="B37" s="2"/>
      <c r="C37" s="5" t="str">
        <f t="shared" si="0"/>
        <v xml:space="preserve"> </v>
      </c>
      <c r="D37" s="2"/>
      <c r="E37" s="3"/>
      <c r="F37" s="4"/>
      <c r="G37" s="5"/>
      <c r="H37" s="5"/>
      <c r="I37" s="5" t="str">
        <f t="shared" si="1"/>
        <v xml:space="preserve"> </v>
      </c>
      <c r="J37" s="33"/>
      <c r="K37" s="5" t="str">
        <f t="shared" si="2"/>
        <v xml:space="preserve"> </v>
      </c>
      <c r="L37" s="3" t="str">
        <f t="shared" si="3"/>
        <v xml:space="preserve"> </v>
      </c>
      <c r="M37" s="3" t="str">
        <f>IF(E37&gt;0,IFERROR(VLOOKUP($E37,'[2]Table 1'!$B$2:$I$147,8,0),"0.00")," ")</f>
        <v xml:space="preserve"> </v>
      </c>
      <c r="N37" s="6" t="str">
        <f t="shared" si="7"/>
        <v xml:space="preserve"> </v>
      </c>
      <c r="O37" s="7" t="str">
        <f>IF(IF(COUNTIF($B$5:B37,B37)&gt;1," ",SUMIF($B$5:$B$423,B37,$J$5:$J$423))=0," ",IF(COUNTIF($B$5:B37,B37)&gt;1," ",SUMIF($B$5:$B$423,B37,$J$5:$J$423)))</f>
        <v xml:space="preserve"> </v>
      </c>
      <c r="P37" s="8" t="str">
        <f>IF(IF(COUNTIF($B$5:B37,B37)&gt;1," ",SUMIF($B$5:$B$423,B37,$L$5:$L$423))=0," ",IF(COUNTIF($B$5:B37,B37)&gt;1," ",SUMIF($B$5:$B$423,B37,$L$5:$L$423)))</f>
        <v xml:space="preserve"> </v>
      </c>
      <c r="Q37" s="8" t="str">
        <f t="shared" ref="Q37:Q68" si="9">IF(P37=" "," ",IF(P37&gt;6999,1000,IF(P37&gt;4999,500," ")))</f>
        <v xml:space="preserve"> </v>
      </c>
      <c r="R37" s="8" t="str">
        <f t="shared" si="8"/>
        <v xml:space="preserve"> </v>
      </c>
      <c r="S37" s="48" t="str">
        <f t="shared" si="6"/>
        <v xml:space="preserve"> </v>
      </c>
      <c r="T37" s="14" t="str">
        <f>IF(F37&gt;0,IFERROR(VLOOKUP($F37,[1]Sheet1!$C$3:$L$3445,10,0),"EOSS"),"")</f>
        <v/>
      </c>
    </row>
    <row r="38" spans="1:20" x14ac:dyDescent="0.3">
      <c r="A38" s="32"/>
      <c r="B38" s="2"/>
      <c r="C38" s="5" t="str">
        <f t="shared" si="0"/>
        <v xml:space="preserve"> </v>
      </c>
      <c r="D38" s="2"/>
      <c r="E38" s="3"/>
      <c r="F38" s="4"/>
      <c r="G38" s="5"/>
      <c r="H38" s="5"/>
      <c r="I38" s="5" t="str">
        <f t="shared" si="1"/>
        <v xml:space="preserve"> </v>
      </c>
      <c r="J38" s="33"/>
      <c r="K38" s="5" t="str">
        <f t="shared" si="2"/>
        <v xml:space="preserve"> </v>
      </c>
      <c r="L38" s="3" t="str">
        <f t="shared" si="3"/>
        <v xml:space="preserve"> </v>
      </c>
      <c r="M38" s="3" t="str">
        <f>IF(E38&gt;0,IFERROR(VLOOKUP($E38,'[2]Table 1'!$B$2:$I$147,8,0),"0.00")," ")</f>
        <v xml:space="preserve"> </v>
      </c>
      <c r="N38" s="6" t="str">
        <f t="shared" si="7"/>
        <v xml:space="preserve"> </v>
      </c>
      <c r="O38" s="7" t="str">
        <f>IF(IF(COUNTIF($B$5:B38,B38)&gt;1," ",SUMIF($B$5:$B$423,B38,$J$5:$J$423))=0," ",IF(COUNTIF($B$5:B38,B38)&gt;1," ",SUMIF($B$5:$B$423,B38,$J$5:$J$423)))</f>
        <v xml:space="preserve"> </v>
      </c>
      <c r="P38" s="8" t="str">
        <f>IF(IF(COUNTIF($B$5:B38,B38)&gt;1," ",SUMIF($B$5:$B$423,B38,$L$5:$L$423))=0," ",IF(COUNTIF($B$5:B38,B38)&gt;1," ",SUMIF($B$5:$B$423,B38,$L$5:$L$423)))</f>
        <v xml:space="preserve"> </v>
      </c>
      <c r="Q38" s="8" t="str">
        <f t="shared" si="9"/>
        <v xml:space="preserve"> </v>
      </c>
      <c r="R38" s="8" t="str">
        <f t="shared" si="8"/>
        <v xml:space="preserve"> </v>
      </c>
      <c r="S38" s="48" t="str">
        <f t="shared" si="6"/>
        <v xml:space="preserve"> </v>
      </c>
      <c r="T38" s="14" t="str">
        <f>IF(F38&gt;0,IFERROR(VLOOKUP($F38,[1]Sheet1!$C$3:$L$3445,10,0),"EOSS"),"")</f>
        <v/>
      </c>
    </row>
    <row r="39" spans="1:20" x14ac:dyDescent="0.3">
      <c r="A39" s="32"/>
      <c r="B39" s="2"/>
      <c r="C39" s="5" t="str">
        <f t="shared" si="0"/>
        <v xml:space="preserve"> </v>
      </c>
      <c r="D39" s="2"/>
      <c r="E39" s="3"/>
      <c r="F39" s="4"/>
      <c r="G39" s="5"/>
      <c r="H39" s="5"/>
      <c r="I39" s="5" t="str">
        <f t="shared" si="1"/>
        <v xml:space="preserve"> </v>
      </c>
      <c r="J39" s="33"/>
      <c r="K39" s="5" t="str">
        <f t="shared" si="2"/>
        <v xml:space="preserve"> </v>
      </c>
      <c r="L39" s="3" t="str">
        <f t="shared" si="3"/>
        <v xml:space="preserve"> </v>
      </c>
      <c r="M39" s="3" t="str">
        <f>IF(E39&gt;0,IFERROR(VLOOKUP($E39,'[2]Table 1'!$B$2:$I$147,8,0),"0.00")," ")</f>
        <v xml:space="preserve"> </v>
      </c>
      <c r="N39" s="6" t="str">
        <f t="shared" si="7"/>
        <v xml:space="preserve"> </v>
      </c>
      <c r="O39" s="7" t="str">
        <f>IF(IF(COUNTIF($B$5:B39,B39)&gt;1," ",SUMIF($B$5:$B$423,B39,$J$5:$J$423))=0," ",IF(COUNTIF($B$5:B39,B39)&gt;1," ",SUMIF($B$5:$B$423,B39,$J$5:$J$423)))</f>
        <v xml:space="preserve"> </v>
      </c>
      <c r="P39" s="8" t="str">
        <f>IF(IF(COUNTIF($B$5:B39,B39)&gt;1," ",SUMIF($B$5:$B$423,B39,$L$5:$L$423))=0," ",IF(COUNTIF($B$5:B39,B39)&gt;1," ",SUMIF($B$5:$B$423,B39,$L$5:$L$423)))</f>
        <v xml:space="preserve"> </v>
      </c>
      <c r="Q39" s="8" t="str">
        <f t="shared" si="9"/>
        <v xml:space="preserve"> </v>
      </c>
      <c r="R39" s="8" t="str">
        <f t="shared" si="8"/>
        <v xml:space="preserve"> </v>
      </c>
      <c r="S39" s="48" t="str">
        <f t="shared" si="6"/>
        <v xml:space="preserve"> </v>
      </c>
      <c r="T39" s="14" t="str">
        <f>IF(F39&gt;0,IFERROR(VLOOKUP($F39,[1]Sheet1!$C$3:$L$3445,10,0),"EOSS"),"")</f>
        <v/>
      </c>
    </row>
    <row r="40" spans="1:20" x14ac:dyDescent="0.3">
      <c r="A40" s="32"/>
      <c r="B40" s="2"/>
      <c r="C40" s="5" t="str">
        <f t="shared" si="0"/>
        <v xml:space="preserve"> </v>
      </c>
      <c r="D40" s="2"/>
      <c r="E40" s="3"/>
      <c r="F40" s="4"/>
      <c r="G40" s="5"/>
      <c r="H40" s="5"/>
      <c r="I40" s="5" t="str">
        <f t="shared" si="1"/>
        <v xml:space="preserve"> </v>
      </c>
      <c r="J40" s="33"/>
      <c r="K40" s="5" t="str">
        <f t="shared" si="2"/>
        <v xml:space="preserve"> </v>
      </c>
      <c r="L40" s="3" t="str">
        <f t="shared" si="3"/>
        <v xml:space="preserve"> </v>
      </c>
      <c r="M40" s="3" t="str">
        <f>IF(E40&gt;0,IFERROR(VLOOKUP($E40,'[2]Table 1'!$B$2:$I$147,8,0),"0.00")," ")</f>
        <v xml:space="preserve"> </v>
      </c>
      <c r="N40" s="6" t="str">
        <f t="shared" si="7"/>
        <v xml:space="preserve"> </v>
      </c>
      <c r="O40" s="7" t="str">
        <f>IF(IF(COUNTIF($B$5:B40,B40)&gt;1," ",SUMIF($B$5:$B$423,B40,$J$5:$J$423))=0," ",IF(COUNTIF($B$5:B40,B40)&gt;1," ",SUMIF($B$5:$B$423,B40,$J$5:$J$423)))</f>
        <v xml:space="preserve"> </v>
      </c>
      <c r="P40" s="8" t="str">
        <f>IF(IF(COUNTIF($B$5:B40,B40)&gt;1," ",SUMIF($B$5:$B$423,B40,$L$5:$L$423))=0," ",IF(COUNTIF($B$5:B40,B40)&gt;1," ",SUMIF($B$5:$B$423,B40,$L$5:$L$423)))</f>
        <v xml:space="preserve"> </v>
      </c>
      <c r="Q40" s="8" t="str">
        <f t="shared" si="9"/>
        <v xml:space="preserve"> </v>
      </c>
      <c r="R40" s="8" t="str">
        <f t="shared" si="8"/>
        <v xml:space="preserve"> </v>
      </c>
      <c r="S40" s="48" t="str">
        <f t="shared" si="6"/>
        <v xml:space="preserve"> </v>
      </c>
      <c r="T40" s="14" t="str">
        <f>IF(F40&gt;0,IFERROR(VLOOKUP($F40,[1]Sheet1!$C$3:$L$3445,10,0),"EOSS"),"")</f>
        <v/>
      </c>
    </row>
    <row r="41" spans="1:20" x14ac:dyDescent="0.3">
      <c r="A41" s="32"/>
      <c r="B41" s="2"/>
      <c r="C41" s="5" t="str">
        <f t="shared" si="0"/>
        <v xml:space="preserve"> </v>
      </c>
      <c r="D41" s="2"/>
      <c r="E41" s="3"/>
      <c r="F41" s="4"/>
      <c r="G41" s="5"/>
      <c r="H41" s="5"/>
      <c r="I41" s="5" t="str">
        <f t="shared" si="1"/>
        <v xml:space="preserve"> </v>
      </c>
      <c r="J41" s="33"/>
      <c r="K41" s="5" t="str">
        <f t="shared" si="2"/>
        <v xml:space="preserve"> </v>
      </c>
      <c r="L41" s="3" t="str">
        <f t="shared" si="3"/>
        <v xml:space="preserve"> </v>
      </c>
      <c r="M41" s="3" t="str">
        <f>IF(E41&gt;0,IFERROR(VLOOKUP($E41,'[2]Table 1'!$B$2:$I$147,8,0),"0.00")," ")</f>
        <v xml:space="preserve"> </v>
      </c>
      <c r="N41" s="6" t="str">
        <f t="shared" si="7"/>
        <v xml:space="preserve"> </v>
      </c>
      <c r="O41" s="7" t="str">
        <f>IF(IF(COUNTIF($B$5:B41,B41)&gt;1," ",SUMIF($B$5:$B$423,B41,$J$5:$J$423))=0," ",IF(COUNTIF($B$5:B41,B41)&gt;1," ",SUMIF($B$5:$B$423,B41,$J$5:$J$423)))</f>
        <v xml:space="preserve"> </v>
      </c>
      <c r="P41" s="8" t="str">
        <f>IF(IF(COUNTIF($B$5:B41,B41)&gt;1," ",SUMIF($B$5:$B$423,B41,$L$5:$L$423))=0," ",IF(COUNTIF($B$5:B41,B41)&gt;1," ",SUMIF($B$5:$B$423,B41,$L$5:$L$423)))</f>
        <v xml:space="preserve"> </v>
      </c>
      <c r="Q41" s="8" t="str">
        <f t="shared" si="9"/>
        <v xml:space="preserve"> </v>
      </c>
      <c r="R41" s="8" t="str">
        <f t="shared" si="8"/>
        <v xml:space="preserve"> </v>
      </c>
      <c r="S41" s="48" t="str">
        <f t="shared" si="6"/>
        <v xml:space="preserve"> </v>
      </c>
      <c r="T41" s="14" t="str">
        <f>IF(F41&gt;0,IFERROR(VLOOKUP($F41,[1]Sheet1!$C$3:$L$3445,10,0),"EOSS"),"")</f>
        <v/>
      </c>
    </row>
    <row r="42" spans="1:20" x14ac:dyDescent="0.3">
      <c r="A42" s="32"/>
      <c r="B42" s="2"/>
      <c r="C42" s="5" t="str">
        <f t="shared" si="0"/>
        <v xml:space="preserve"> </v>
      </c>
      <c r="D42" s="2"/>
      <c r="E42" s="3"/>
      <c r="F42" s="4"/>
      <c r="G42" s="5"/>
      <c r="H42" s="5"/>
      <c r="I42" s="5" t="str">
        <f t="shared" si="1"/>
        <v xml:space="preserve"> </v>
      </c>
      <c r="J42" s="33"/>
      <c r="K42" s="5" t="str">
        <f t="shared" si="2"/>
        <v xml:space="preserve"> </v>
      </c>
      <c r="L42" s="3" t="str">
        <f t="shared" si="3"/>
        <v xml:space="preserve"> </v>
      </c>
      <c r="M42" s="3" t="str">
        <f>IF(E42&gt;0,IFERROR(VLOOKUP($E42,'[2]Table 1'!$B$2:$I$147,8,0),"0.00")," ")</f>
        <v xml:space="preserve"> </v>
      </c>
      <c r="N42" s="6" t="str">
        <f t="shared" si="7"/>
        <v xml:space="preserve"> </v>
      </c>
      <c r="O42" s="7" t="str">
        <f>IF(IF(COUNTIF($B$5:B42,B42)&gt;1," ",SUMIF($B$5:$B$423,B42,$J$5:$J$423))=0," ",IF(COUNTIF($B$5:B42,B42)&gt;1," ",SUMIF($B$5:$B$423,B42,$J$5:$J$423)))</f>
        <v xml:space="preserve"> </v>
      </c>
      <c r="P42" s="8" t="str">
        <f>IF(IF(COUNTIF($B$5:B42,B42)&gt;1," ",SUMIF($B$5:$B$423,B42,$L$5:$L$423))=0," ",IF(COUNTIF($B$5:B42,B42)&gt;1," ",SUMIF($B$5:$B$423,B42,$L$5:$L$423)))</f>
        <v xml:space="preserve"> </v>
      </c>
      <c r="Q42" s="8" t="str">
        <f t="shared" si="9"/>
        <v xml:space="preserve"> </v>
      </c>
      <c r="R42" s="8" t="str">
        <f t="shared" si="8"/>
        <v xml:space="preserve"> </v>
      </c>
      <c r="S42" s="48" t="str">
        <f t="shared" si="6"/>
        <v xml:space="preserve"> </v>
      </c>
      <c r="T42" s="14" t="str">
        <f>IF(F42&gt;0,IFERROR(VLOOKUP($F42,[1]Sheet1!$C$3:$L$3445,10,0),"EOSS"),"")</f>
        <v/>
      </c>
    </row>
    <row r="43" spans="1:20" x14ac:dyDescent="0.3">
      <c r="A43" s="32"/>
      <c r="B43" s="2"/>
      <c r="C43" s="5" t="str">
        <f t="shared" si="0"/>
        <v xml:space="preserve"> </v>
      </c>
      <c r="D43" s="2"/>
      <c r="E43" s="3"/>
      <c r="F43" s="4"/>
      <c r="G43" s="5"/>
      <c r="H43" s="5"/>
      <c r="I43" s="5" t="str">
        <f t="shared" si="1"/>
        <v xml:space="preserve"> </v>
      </c>
      <c r="J43" s="33"/>
      <c r="K43" s="5" t="str">
        <f t="shared" si="2"/>
        <v xml:space="preserve"> </v>
      </c>
      <c r="L43" s="3" t="str">
        <f t="shared" si="3"/>
        <v xml:space="preserve"> </v>
      </c>
      <c r="M43" s="3" t="str">
        <f>IF(E43&gt;0,IFERROR(VLOOKUP($E43,'[2]Table 1'!$B$2:$I$147,8,0),"0.00")," ")</f>
        <v xml:space="preserve"> </v>
      </c>
      <c r="N43" s="6" t="str">
        <f t="shared" si="7"/>
        <v xml:space="preserve"> </v>
      </c>
      <c r="O43" s="7" t="str">
        <f>IF(IF(COUNTIF($B$5:B43,B43)&gt;1," ",SUMIF($B$5:$B$423,B43,$J$5:$J$423))=0," ",IF(COUNTIF($B$5:B43,B43)&gt;1," ",SUMIF($B$5:$B$423,B43,$J$5:$J$423)))</f>
        <v xml:space="preserve"> </v>
      </c>
      <c r="P43" s="8" t="str">
        <f>IF(IF(COUNTIF($B$5:B43,B43)&gt;1," ",SUMIF($B$5:$B$423,B43,$L$5:$L$423))=0," ",IF(COUNTIF($B$5:B43,B43)&gt;1," ",SUMIF($B$5:$B$423,B43,$L$5:$L$423)))</f>
        <v xml:space="preserve"> </v>
      </c>
      <c r="Q43" s="8" t="str">
        <f t="shared" si="9"/>
        <v xml:space="preserve"> </v>
      </c>
      <c r="R43" s="8" t="str">
        <f t="shared" si="8"/>
        <v xml:space="preserve"> </v>
      </c>
      <c r="S43" s="48" t="str">
        <f t="shared" si="6"/>
        <v xml:space="preserve"> </v>
      </c>
      <c r="T43" s="14" t="str">
        <f>IF(F43&gt;0,IFERROR(VLOOKUP($F43,[1]Sheet1!$C$3:$L$3445,10,0),"EOSS"),"")</f>
        <v/>
      </c>
    </row>
    <row r="44" spans="1:20" x14ac:dyDescent="0.3">
      <c r="A44" s="32"/>
      <c r="B44" s="2"/>
      <c r="C44" s="5" t="str">
        <f t="shared" si="0"/>
        <v xml:space="preserve"> </v>
      </c>
      <c r="D44" s="2"/>
      <c r="E44" s="3"/>
      <c r="F44" s="4"/>
      <c r="G44" s="5"/>
      <c r="H44" s="5"/>
      <c r="I44" s="5" t="str">
        <f t="shared" si="1"/>
        <v xml:space="preserve"> </v>
      </c>
      <c r="J44" s="33"/>
      <c r="K44" s="5" t="str">
        <f t="shared" si="2"/>
        <v xml:space="preserve"> </v>
      </c>
      <c r="L44" s="3" t="str">
        <f t="shared" si="3"/>
        <v xml:space="preserve"> </v>
      </c>
      <c r="M44" s="3" t="str">
        <f>IF(E44&gt;0,IFERROR(VLOOKUP($E44,'[2]Table 1'!$B$2:$I$147,8,0),"0.00")," ")</f>
        <v xml:space="preserve"> </v>
      </c>
      <c r="N44" s="6" t="str">
        <f t="shared" si="7"/>
        <v xml:space="preserve"> </v>
      </c>
      <c r="O44" s="7" t="str">
        <f>IF(IF(COUNTIF($B$5:B44,B44)&gt;1," ",SUMIF($B$5:$B$423,B44,$J$5:$J$423))=0," ",IF(COUNTIF($B$5:B44,B44)&gt;1," ",SUMIF($B$5:$B$423,B44,$J$5:$J$423)))</f>
        <v xml:space="preserve"> </v>
      </c>
      <c r="P44" s="8" t="str">
        <f>IF(IF(COUNTIF($B$5:B44,B44)&gt;1," ",SUMIF($B$5:$B$423,B44,$L$5:$L$423))=0," ",IF(COUNTIF($B$5:B44,B44)&gt;1," ",SUMIF($B$5:$B$423,B44,$L$5:$L$423)))</f>
        <v xml:space="preserve"> </v>
      </c>
      <c r="Q44" s="8" t="str">
        <f t="shared" si="9"/>
        <v xml:space="preserve"> </v>
      </c>
      <c r="R44" s="8" t="str">
        <f t="shared" si="8"/>
        <v xml:space="preserve"> </v>
      </c>
      <c r="S44" s="48" t="str">
        <f t="shared" si="6"/>
        <v xml:space="preserve"> </v>
      </c>
      <c r="T44" s="14" t="str">
        <f>IF(F44&gt;0,IFERROR(VLOOKUP($F44,[1]Sheet1!$C$3:$L$3445,10,0),"EOSS"),"")</f>
        <v/>
      </c>
    </row>
    <row r="45" spans="1:20" x14ac:dyDescent="0.3">
      <c r="A45" s="32"/>
      <c r="B45" s="2"/>
      <c r="C45" s="5" t="str">
        <f t="shared" si="0"/>
        <v xml:space="preserve"> </v>
      </c>
      <c r="D45" s="2"/>
      <c r="E45" s="3"/>
      <c r="F45" s="4"/>
      <c r="G45" s="5"/>
      <c r="H45" s="5"/>
      <c r="I45" s="5" t="str">
        <f t="shared" si="1"/>
        <v xml:space="preserve"> </v>
      </c>
      <c r="J45" s="33"/>
      <c r="K45" s="5" t="str">
        <f t="shared" si="2"/>
        <v xml:space="preserve"> </v>
      </c>
      <c r="L45" s="3" t="str">
        <f t="shared" si="3"/>
        <v xml:space="preserve"> </v>
      </c>
      <c r="M45" s="3" t="str">
        <f>IF(E45&gt;0,IFERROR(VLOOKUP($E45,'[2]Table 1'!$B$2:$I$147,8,0),"0.00")," ")</f>
        <v xml:space="preserve"> </v>
      </c>
      <c r="N45" s="6" t="str">
        <f t="shared" si="7"/>
        <v xml:space="preserve"> </v>
      </c>
      <c r="O45" s="7" t="str">
        <f>IF(IF(COUNTIF($B$5:B45,B45)&gt;1," ",SUMIF($B$5:$B$423,B45,$J$5:$J$423))=0," ",IF(COUNTIF($B$5:B45,B45)&gt;1," ",SUMIF($B$5:$B$423,B45,$J$5:$J$423)))</f>
        <v xml:space="preserve"> </v>
      </c>
      <c r="P45" s="8" t="str">
        <f>IF(IF(COUNTIF($B$5:B45,B45)&gt;1," ",SUMIF($B$5:$B$423,B45,$L$5:$L$423))=0," ",IF(COUNTIF($B$5:B45,B45)&gt;1," ",SUMIF($B$5:$B$423,B45,$L$5:$L$423)))</f>
        <v xml:space="preserve"> </v>
      </c>
      <c r="Q45" s="8" t="str">
        <f t="shared" si="9"/>
        <v xml:space="preserve"> </v>
      </c>
      <c r="R45" s="8" t="str">
        <f t="shared" si="8"/>
        <v xml:space="preserve"> </v>
      </c>
      <c r="S45" s="48" t="str">
        <f t="shared" si="6"/>
        <v xml:space="preserve"> </v>
      </c>
      <c r="T45" s="14" t="str">
        <f>IF(F45&gt;0,IFERROR(VLOOKUP($F45,[1]Sheet1!$C$3:$L$3445,10,0),"EOSS"),"")</f>
        <v/>
      </c>
    </row>
    <row r="46" spans="1:20" x14ac:dyDescent="0.3">
      <c r="A46" s="32"/>
      <c r="B46" s="2"/>
      <c r="C46" s="5" t="str">
        <f t="shared" si="0"/>
        <v xml:space="preserve"> </v>
      </c>
      <c r="D46" s="2"/>
      <c r="E46" s="3"/>
      <c r="F46" s="4"/>
      <c r="G46" s="5"/>
      <c r="H46" s="5"/>
      <c r="I46" s="5" t="str">
        <f t="shared" si="1"/>
        <v xml:space="preserve"> </v>
      </c>
      <c r="J46" s="33"/>
      <c r="K46" s="5" t="str">
        <f t="shared" si="2"/>
        <v xml:space="preserve"> </v>
      </c>
      <c r="L46" s="3" t="str">
        <f t="shared" si="3"/>
        <v xml:space="preserve"> </v>
      </c>
      <c r="M46" s="3" t="str">
        <f>IF(E46&gt;0,IFERROR(VLOOKUP($E46,'[2]Table 1'!$B$2:$I$147,8,0),"0.00")," ")</f>
        <v xml:space="preserve"> </v>
      </c>
      <c r="N46" s="6" t="str">
        <f t="shared" si="7"/>
        <v xml:space="preserve"> </v>
      </c>
      <c r="O46" s="7" t="str">
        <f>IF(IF(COUNTIF($B$5:B46,B46)&gt;1," ",SUMIF($B$5:$B$423,B46,$J$5:$J$423))=0," ",IF(COUNTIF($B$5:B46,B46)&gt;1," ",SUMIF($B$5:$B$423,B46,$J$5:$J$423)))</f>
        <v xml:space="preserve"> </v>
      </c>
      <c r="P46" s="8" t="str">
        <f>IF(IF(COUNTIF($B$5:B46,B46)&gt;1," ",SUMIF($B$5:$B$423,B46,$L$5:$L$423))=0," ",IF(COUNTIF($B$5:B46,B46)&gt;1," ",SUMIF($B$5:$B$423,B46,$L$5:$L$423)))</f>
        <v xml:space="preserve"> </v>
      </c>
      <c r="Q46" s="8" t="str">
        <f t="shared" si="9"/>
        <v xml:space="preserve"> </v>
      </c>
      <c r="R46" s="8" t="str">
        <f t="shared" si="8"/>
        <v xml:space="preserve"> </v>
      </c>
      <c r="S46" s="48" t="str">
        <f t="shared" si="6"/>
        <v xml:space="preserve"> </v>
      </c>
      <c r="T46" s="14" t="str">
        <f>IF(F46&gt;0,IFERROR(VLOOKUP($F46,[1]Sheet1!$C$3:$L$3445,10,0),"EOSS"),"")</f>
        <v/>
      </c>
    </row>
    <row r="47" spans="1:20" x14ac:dyDescent="0.3">
      <c r="A47" s="32"/>
      <c r="B47" s="2"/>
      <c r="C47" s="5" t="str">
        <f t="shared" si="0"/>
        <v xml:space="preserve"> </v>
      </c>
      <c r="D47" s="2"/>
      <c r="E47" s="3"/>
      <c r="F47" s="4"/>
      <c r="G47" s="5"/>
      <c r="H47" s="5"/>
      <c r="I47" s="5" t="str">
        <f t="shared" si="1"/>
        <v xml:space="preserve"> </v>
      </c>
      <c r="J47" s="33"/>
      <c r="K47" s="5" t="str">
        <f t="shared" si="2"/>
        <v xml:space="preserve"> </v>
      </c>
      <c r="L47" s="3" t="str">
        <f t="shared" si="3"/>
        <v xml:space="preserve"> </v>
      </c>
      <c r="M47" s="3" t="str">
        <f>IF(E47&gt;0,IFERROR(VLOOKUP($E47,'[2]Table 1'!$B$2:$I$147,8,0),"0.00")," ")</f>
        <v xml:space="preserve"> </v>
      </c>
      <c r="N47" s="6" t="str">
        <f t="shared" si="7"/>
        <v xml:space="preserve"> </v>
      </c>
      <c r="O47" s="7" t="str">
        <f>IF(IF(COUNTIF($B$5:B47,B47)&gt;1," ",SUMIF($B$5:$B$423,B47,$J$5:$J$423))=0," ",IF(COUNTIF($B$5:B47,B47)&gt;1," ",SUMIF($B$5:$B$423,B47,$J$5:$J$423)))</f>
        <v xml:space="preserve"> </v>
      </c>
      <c r="P47" s="8" t="str">
        <f>IF(IF(COUNTIF($B$5:B47,B47)&gt;1," ",SUMIF($B$5:$B$423,B47,$L$5:$L$423))=0," ",IF(COUNTIF($B$5:B47,B47)&gt;1," ",SUMIF($B$5:$B$423,B47,$L$5:$L$423)))</f>
        <v xml:space="preserve"> </v>
      </c>
      <c r="Q47" s="8" t="str">
        <f t="shared" si="9"/>
        <v xml:space="preserve"> </v>
      </c>
      <c r="R47" s="8" t="str">
        <f t="shared" si="8"/>
        <v xml:space="preserve"> </v>
      </c>
      <c r="S47" s="48" t="str">
        <f t="shared" si="6"/>
        <v xml:space="preserve"> </v>
      </c>
      <c r="T47" s="14" t="str">
        <f>IF(F47&gt;0,IFERROR(VLOOKUP($F47,[1]Sheet1!$C$3:$L$3445,10,0),"EOSS"),"")</f>
        <v/>
      </c>
    </row>
    <row r="48" spans="1:20" x14ac:dyDescent="0.3">
      <c r="A48" s="32"/>
      <c r="B48" s="2"/>
      <c r="C48" s="5" t="str">
        <f t="shared" si="0"/>
        <v xml:space="preserve"> </v>
      </c>
      <c r="D48" s="2"/>
      <c r="E48" s="3"/>
      <c r="F48" s="4"/>
      <c r="G48" s="5"/>
      <c r="H48" s="5"/>
      <c r="I48" s="5" t="str">
        <f t="shared" si="1"/>
        <v xml:space="preserve"> </v>
      </c>
      <c r="J48" s="33"/>
      <c r="K48" s="5" t="str">
        <f t="shared" si="2"/>
        <v xml:space="preserve"> </v>
      </c>
      <c r="L48" s="3" t="str">
        <f t="shared" si="3"/>
        <v xml:space="preserve"> </v>
      </c>
      <c r="M48" s="3" t="str">
        <f>IF(E48&gt;0,IFERROR(VLOOKUP($E48,'[2]Table 1'!$B$2:$I$147,8,0),"0.00")," ")</f>
        <v xml:space="preserve"> </v>
      </c>
      <c r="N48" s="6" t="str">
        <f t="shared" si="7"/>
        <v xml:space="preserve"> </v>
      </c>
      <c r="O48" s="7" t="str">
        <f>IF(IF(COUNTIF($B$5:B48,B48)&gt;1," ",SUMIF($B$5:$B$423,B48,$J$5:$J$423))=0," ",IF(COUNTIF($B$5:B48,B48)&gt;1," ",SUMIF($B$5:$B$423,B48,$J$5:$J$423)))</f>
        <v xml:space="preserve"> </v>
      </c>
      <c r="P48" s="8" t="str">
        <f>IF(IF(COUNTIF($B$5:B48,B48)&gt;1," ",SUMIF($B$5:$B$423,B48,$L$5:$L$423))=0," ",IF(COUNTIF($B$5:B48,B48)&gt;1," ",SUMIF($B$5:$B$423,B48,$L$5:$L$423)))</f>
        <v xml:space="preserve"> </v>
      </c>
      <c r="Q48" s="8" t="str">
        <f t="shared" si="9"/>
        <v xml:space="preserve"> </v>
      </c>
      <c r="R48" s="8" t="str">
        <f t="shared" si="8"/>
        <v xml:space="preserve"> </v>
      </c>
      <c r="S48" s="48" t="str">
        <f t="shared" si="6"/>
        <v xml:space="preserve"> </v>
      </c>
      <c r="T48" s="14" t="str">
        <f>IF(F48&gt;0,IFERROR(VLOOKUP($F48,[1]Sheet1!$C$3:$L$3445,10,0),"EOSS"),"")</f>
        <v/>
      </c>
    </row>
    <row r="49" spans="1:20" x14ac:dyDescent="0.3">
      <c r="A49" s="32"/>
      <c r="B49" s="2"/>
      <c r="C49" s="5" t="str">
        <f t="shared" si="0"/>
        <v xml:space="preserve"> </v>
      </c>
      <c r="D49" s="2"/>
      <c r="E49" s="3"/>
      <c r="F49" s="4"/>
      <c r="G49" s="5"/>
      <c r="H49" s="5"/>
      <c r="I49" s="5" t="str">
        <f t="shared" si="1"/>
        <v xml:space="preserve"> </v>
      </c>
      <c r="J49" s="33"/>
      <c r="K49" s="5" t="str">
        <f t="shared" si="2"/>
        <v xml:space="preserve"> </v>
      </c>
      <c r="L49" s="3" t="str">
        <f t="shared" si="3"/>
        <v xml:space="preserve"> </v>
      </c>
      <c r="M49" s="3" t="str">
        <f>IF(E49&gt;0,IFERROR(VLOOKUP($E49,'[2]Table 1'!$B$2:$I$147,8,0),"0.00")," ")</f>
        <v xml:space="preserve"> </v>
      </c>
      <c r="N49" s="6" t="str">
        <f t="shared" si="7"/>
        <v xml:space="preserve"> </v>
      </c>
      <c r="O49" s="7" t="str">
        <f>IF(IF(COUNTIF($B$5:B49,B49)&gt;1," ",SUMIF($B$5:$B$423,B49,$J$5:$J$423))=0," ",IF(COUNTIF($B$5:B49,B49)&gt;1," ",SUMIF($B$5:$B$423,B49,$J$5:$J$423)))</f>
        <v xml:space="preserve"> </v>
      </c>
      <c r="P49" s="8" t="str">
        <f>IF(IF(COUNTIF($B$5:B49,B49)&gt;1," ",SUMIF($B$5:$B$423,B49,$L$5:$L$423))=0," ",IF(COUNTIF($B$5:B49,B49)&gt;1," ",SUMIF($B$5:$B$423,B49,$L$5:$L$423)))</f>
        <v xml:space="preserve"> </v>
      </c>
      <c r="Q49" s="8" t="str">
        <f t="shared" si="9"/>
        <v xml:space="preserve"> </v>
      </c>
      <c r="R49" s="8" t="str">
        <f t="shared" si="8"/>
        <v xml:space="preserve"> </v>
      </c>
      <c r="S49" s="48" t="str">
        <f t="shared" si="6"/>
        <v xml:space="preserve"> </v>
      </c>
      <c r="T49" s="14" t="str">
        <f>IF(F49&gt;0,IFERROR(VLOOKUP($F49,[1]Sheet1!$C$3:$L$3445,10,0),"EOSS"),"")</f>
        <v/>
      </c>
    </row>
    <row r="50" spans="1:20" x14ac:dyDescent="0.3">
      <c r="A50" s="32"/>
      <c r="B50" s="2"/>
      <c r="C50" s="5" t="str">
        <f t="shared" si="0"/>
        <v xml:space="preserve"> </v>
      </c>
      <c r="D50" s="2"/>
      <c r="E50" s="3"/>
      <c r="F50" s="4"/>
      <c r="G50" s="5"/>
      <c r="H50" s="5"/>
      <c r="I50" s="5" t="str">
        <f t="shared" si="1"/>
        <v xml:space="preserve"> </v>
      </c>
      <c r="J50" s="33"/>
      <c r="K50" s="5" t="str">
        <f t="shared" si="2"/>
        <v xml:space="preserve"> </v>
      </c>
      <c r="L50" s="3" t="str">
        <f t="shared" si="3"/>
        <v xml:space="preserve"> </v>
      </c>
      <c r="M50" s="3" t="str">
        <f>IF(E50&gt;0,IFERROR(VLOOKUP($E50,'[2]Table 1'!$B$2:$I$147,8,0),"0.00")," ")</f>
        <v xml:space="preserve"> </v>
      </c>
      <c r="N50" s="6" t="str">
        <f t="shared" si="7"/>
        <v xml:space="preserve"> </v>
      </c>
      <c r="O50" s="7" t="str">
        <f>IF(IF(COUNTIF($B$5:B50,B50)&gt;1," ",SUMIF($B$5:$B$423,B50,$J$5:$J$423))=0," ",IF(COUNTIF($B$5:B50,B50)&gt;1," ",SUMIF($B$5:$B$423,B50,$J$5:$J$423)))</f>
        <v xml:space="preserve"> </v>
      </c>
      <c r="P50" s="8" t="str">
        <f>IF(IF(COUNTIF($B$5:B50,B50)&gt;1," ",SUMIF($B$5:$B$423,B50,$L$5:$L$423))=0," ",IF(COUNTIF($B$5:B50,B50)&gt;1," ",SUMIF($B$5:$B$423,B50,$L$5:$L$423)))</f>
        <v xml:space="preserve"> </v>
      </c>
      <c r="Q50" s="8" t="str">
        <f t="shared" si="9"/>
        <v xml:space="preserve"> </v>
      </c>
      <c r="R50" s="8" t="str">
        <f t="shared" si="8"/>
        <v xml:space="preserve"> </v>
      </c>
      <c r="S50" s="48" t="str">
        <f t="shared" si="6"/>
        <v xml:space="preserve"> </v>
      </c>
      <c r="T50" s="14" t="str">
        <f>IF(F50&gt;0,IFERROR(VLOOKUP($F50,[1]Sheet1!$C$3:$L$3445,10,0),"EOSS"),"")</f>
        <v/>
      </c>
    </row>
    <row r="51" spans="1:20" x14ac:dyDescent="0.3">
      <c r="A51" s="32"/>
      <c r="B51" s="2"/>
      <c r="C51" s="5" t="str">
        <f t="shared" si="0"/>
        <v xml:space="preserve"> </v>
      </c>
      <c r="D51" s="2"/>
      <c r="E51" s="3"/>
      <c r="F51" s="4"/>
      <c r="G51" s="5"/>
      <c r="H51" s="5"/>
      <c r="I51" s="5" t="str">
        <f t="shared" si="1"/>
        <v xml:space="preserve"> </v>
      </c>
      <c r="J51" s="33"/>
      <c r="K51" s="5" t="str">
        <f t="shared" si="2"/>
        <v xml:space="preserve"> </v>
      </c>
      <c r="L51" s="3" t="str">
        <f t="shared" si="3"/>
        <v xml:space="preserve"> </v>
      </c>
      <c r="M51" s="3" t="str">
        <f>IF(E51&gt;0,IFERROR(VLOOKUP($E51,'[2]Table 1'!$B$2:$I$147,8,0),"0.00")," ")</f>
        <v xml:space="preserve"> </v>
      </c>
      <c r="N51" s="6" t="str">
        <f t="shared" si="7"/>
        <v xml:space="preserve"> </v>
      </c>
      <c r="O51" s="7" t="str">
        <f>IF(IF(COUNTIF($B$5:B51,B51)&gt;1," ",SUMIF($B$5:$B$423,B51,$J$5:$J$423))=0," ",IF(COUNTIF($B$5:B51,B51)&gt;1," ",SUMIF($B$5:$B$423,B51,$J$5:$J$423)))</f>
        <v xml:space="preserve"> </v>
      </c>
      <c r="P51" s="8" t="str">
        <f>IF(IF(COUNTIF($B$5:B51,B51)&gt;1," ",SUMIF($B$5:$B$423,B51,$L$5:$L$423))=0," ",IF(COUNTIF($B$5:B51,B51)&gt;1," ",SUMIF($B$5:$B$423,B51,$L$5:$L$423)))</f>
        <v xml:space="preserve"> </v>
      </c>
      <c r="Q51" s="8" t="str">
        <f t="shared" si="9"/>
        <v xml:space="preserve"> </v>
      </c>
      <c r="R51" s="8" t="str">
        <f t="shared" si="8"/>
        <v xml:space="preserve"> </v>
      </c>
      <c r="S51" s="48" t="str">
        <f t="shared" si="6"/>
        <v xml:space="preserve"> </v>
      </c>
      <c r="T51" s="14" t="str">
        <f>IF(F51&gt;0,IFERROR(VLOOKUP($F51,[1]Sheet1!$C$3:$L$3445,10,0),"EOSS"),"")</f>
        <v/>
      </c>
    </row>
    <row r="52" spans="1:20" x14ac:dyDescent="0.3">
      <c r="A52" s="32"/>
      <c r="B52" s="2"/>
      <c r="C52" s="5" t="str">
        <f t="shared" si="0"/>
        <v xml:space="preserve"> </v>
      </c>
      <c r="D52" s="2"/>
      <c r="E52" s="3"/>
      <c r="F52" s="4"/>
      <c r="G52" s="5"/>
      <c r="H52" s="5"/>
      <c r="I52" s="5" t="str">
        <f t="shared" si="1"/>
        <v xml:space="preserve"> </v>
      </c>
      <c r="J52" s="33"/>
      <c r="K52" s="5" t="str">
        <f t="shared" si="2"/>
        <v xml:space="preserve"> </v>
      </c>
      <c r="L52" s="3" t="str">
        <f t="shared" si="3"/>
        <v xml:space="preserve"> </v>
      </c>
      <c r="M52" s="3" t="str">
        <f>IF(E52&gt;0,IFERROR(VLOOKUP($E52,'[2]Table 1'!$B$2:$I$147,8,0),"0.00")," ")</f>
        <v xml:space="preserve"> </v>
      </c>
      <c r="N52" s="6" t="str">
        <f t="shared" si="7"/>
        <v xml:space="preserve"> </v>
      </c>
      <c r="O52" s="7" t="str">
        <f>IF(IF(COUNTIF($B$5:B52,B52)&gt;1," ",SUMIF($B$5:$B$423,B52,$J$5:$J$423))=0," ",IF(COUNTIF($B$5:B52,B52)&gt;1," ",SUMIF($B$5:$B$423,B52,$J$5:$J$423)))</f>
        <v xml:space="preserve"> </v>
      </c>
      <c r="P52" s="8" t="str">
        <f>IF(IF(COUNTIF($B$5:B52,B52)&gt;1," ",SUMIF($B$5:$B$423,B52,$L$5:$L$423))=0," ",IF(COUNTIF($B$5:B52,B52)&gt;1," ",SUMIF($B$5:$B$423,B52,$L$5:$L$423)))</f>
        <v xml:space="preserve"> </v>
      </c>
      <c r="Q52" s="8" t="str">
        <f t="shared" si="9"/>
        <v xml:space="preserve"> </v>
      </c>
      <c r="R52" s="8" t="str">
        <f t="shared" si="8"/>
        <v xml:space="preserve"> </v>
      </c>
      <c r="S52" s="48" t="str">
        <f t="shared" si="6"/>
        <v xml:space="preserve"> </v>
      </c>
      <c r="T52" s="14" t="str">
        <f>IF(F52&gt;0,IFERROR(VLOOKUP($F52,[1]Sheet1!$C$3:$L$3445,10,0),"EOSS"),"")</f>
        <v/>
      </c>
    </row>
    <row r="53" spans="1:20" x14ac:dyDescent="0.3">
      <c r="A53" s="32"/>
      <c r="B53" s="2"/>
      <c r="C53" s="5" t="str">
        <f t="shared" si="0"/>
        <v xml:space="preserve"> </v>
      </c>
      <c r="D53" s="2"/>
      <c r="E53" s="3"/>
      <c r="F53" s="4"/>
      <c r="G53" s="5"/>
      <c r="H53" s="5"/>
      <c r="I53" s="5" t="str">
        <f t="shared" si="1"/>
        <v xml:space="preserve"> </v>
      </c>
      <c r="J53" s="33"/>
      <c r="K53" s="5" t="str">
        <f t="shared" si="2"/>
        <v xml:space="preserve"> </v>
      </c>
      <c r="L53" s="3" t="str">
        <f t="shared" si="3"/>
        <v xml:space="preserve"> </v>
      </c>
      <c r="M53" s="3" t="str">
        <f>IF(E53&gt;0,IFERROR(VLOOKUP($E53,'[2]Table 1'!$B$2:$I$147,8,0),"0.00")," ")</f>
        <v xml:space="preserve"> </v>
      </c>
      <c r="N53" s="6" t="str">
        <f t="shared" si="7"/>
        <v xml:space="preserve"> </v>
      </c>
      <c r="O53" s="7" t="str">
        <f>IF(IF(COUNTIF($B$5:B53,B53)&gt;1," ",SUMIF($B$5:$B$423,B53,$J$5:$J$423))=0," ",IF(COUNTIF($B$5:B53,B53)&gt;1," ",SUMIF($B$5:$B$423,B53,$J$5:$J$423)))</f>
        <v xml:space="preserve"> </v>
      </c>
      <c r="P53" s="8" t="str">
        <f>IF(IF(COUNTIF($B$5:B53,B53)&gt;1," ",SUMIF($B$5:$B$423,B53,$L$5:$L$423))=0," ",IF(COUNTIF($B$5:B53,B53)&gt;1," ",SUMIF($B$5:$B$423,B53,$L$5:$L$423)))</f>
        <v xml:space="preserve"> </v>
      </c>
      <c r="Q53" s="8" t="str">
        <f t="shared" si="9"/>
        <v xml:space="preserve"> </v>
      </c>
      <c r="R53" s="8" t="str">
        <f t="shared" si="8"/>
        <v xml:space="preserve"> </v>
      </c>
      <c r="S53" s="48" t="str">
        <f t="shared" si="6"/>
        <v xml:space="preserve"> </v>
      </c>
      <c r="T53" s="14" t="str">
        <f>IF(F53&gt;0,IFERROR(VLOOKUP($F53,[1]Sheet1!$C$3:$L$3445,10,0),"EOSS"),"")</f>
        <v/>
      </c>
    </row>
    <row r="54" spans="1:20" x14ac:dyDescent="0.3">
      <c r="A54" s="32"/>
      <c r="B54" s="2"/>
      <c r="C54" s="5" t="str">
        <f t="shared" si="0"/>
        <v xml:space="preserve"> </v>
      </c>
      <c r="D54" s="2"/>
      <c r="E54" s="3"/>
      <c r="F54" s="4"/>
      <c r="G54" s="5"/>
      <c r="H54" s="5"/>
      <c r="I54" s="5" t="str">
        <f t="shared" si="1"/>
        <v xml:space="preserve"> </v>
      </c>
      <c r="J54" s="33"/>
      <c r="K54" s="5" t="str">
        <f t="shared" si="2"/>
        <v xml:space="preserve"> </v>
      </c>
      <c r="L54" s="3" t="str">
        <f t="shared" si="3"/>
        <v xml:space="preserve"> </v>
      </c>
      <c r="M54" s="3" t="str">
        <f>IF(E54&gt;0,IFERROR(VLOOKUP($E54,'[2]Table 1'!$B$2:$I$147,8,0),"0.00")," ")</f>
        <v xml:space="preserve"> </v>
      </c>
      <c r="N54" s="6" t="str">
        <f t="shared" si="7"/>
        <v xml:space="preserve"> </v>
      </c>
      <c r="O54" s="7" t="str">
        <f>IF(IF(COUNTIF($B$5:B54,B54)&gt;1," ",SUMIF($B$5:$B$423,B54,$J$5:$J$423))=0," ",IF(COUNTIF($B$5:B54,B54)&gt;1," ",SUMIF($B$5:$B$423,B54,$J$5:$J$423)))</f>
        <v xml:space="preserve"> </v>
      </c>
      <c r="P54" s="8" t="str">
        <f>IF(IF(COUNTIF($B$5:B54,B54)&gt;1," ",SUMIF($B$5:$B$423,B54,$L$5:$L$423))=0," ",IF(COUNTIF($B$5:B54,B54)&gt;1," ",SUMIF($B$5:$B$423,B54,$L$5:$L$423)))</f>
        <v xml:space="preserve"> </v>
      </c>
      <c r="Q54" s="8" t="str">
        <f t="shared" si="9"/>
        <v xml:space="preserve"> </v>
      </c>
      <c r="R54" s="8" t="str">
        <f t="shared" si="8"/>
        <v xml:space="preserve"> </v>
      </c>
      <c r="S54" s="48" t="str">
        <f t="shared" si="6"/>
        <v xml:space="preserve"> </v>
      </c>
      <c r="T54" s="14" t="str">
        <f>IF(F54&gt;0,IFERROR(VLOOKUP($F54,[1]Sheet1!$C$3:$L$3445,10,0),"EOSS"),"")</f>
        <v/>
      </c>
    </row>
    <row r="55" spans="1:20" x14ac:dyDescent="0.3">
      <c r="A55" s="32"/>
      <c r="B55" s="2"/>
      <c r="C55" s="5" t="str">
        <f t="shared" si="0"/>
        <v xml:space="preserve"> </v>
      </c>
      <c r="D55" s="2"/>
      <c r="E55" s="3"/>
      <c r="F55" s="4"/>
      <c r="G55" s="5"/>
      <c r="H55" s="5"/>
      <c r="I55" s="5" t="str">
        <f t="shared" si="1"/>
        <v xml:space="preserve"> </v>
      </c>
      <c r="J55" s="33"/>
      <c r="K55" s="5" t="str">
        <f t="shared" si="2"/>
        <v xml:space="preserve"> </v>
      </c>
      <c r="L55" s="3" t="str">
        <f t="shared" si="3"/>
        <v xml:space="preserve"> </v>
      </c>
      <c r="M55" s="3" t="str">
        <f>IF(E55&gt;0,IFERROR(VLOOKUP($E55,'[2]Table 1'!$B$2:$I$147,8,0),"0.00")," ")</f>
        <v xml:space="preserve"> </v>
      </c>
      <c r="N55" s="6" t="str">
        <f t="shared" si="7"/>
        <v xml:space="preserve"> </v>
      </c>
      <c r="O55" s="7" t="str">
        <f>IF(IF(COUNTIF($B$5:B55,B55)&gt;1," ",SUMIF($B$5:$B$423,B55,$J$5:$J$423))=0," ",IF(COUNTIF($B$5:B55,B55)&gt;1," ",SUMIF($B$5:$B$423,B55,$J$5:$J$423)))</f>
        <v xml:space="preserve"> </v>
      </c>
      <c r="P55" s="8" t="str">
        <f>IF(IF(COUNTIF($B$5:B55,B55)&gt;1," ",SUMIF($B$5:$B$423,B55,$L$5:$L$423))=0," ",IF(COUNTIF($B$5:B55,B55)&gt;1," ",SUMIF($B$5:$B$423,B55,$L$5:$L$423)))</f>
        <v xml:space="preserve"> </v>
      </c>
      <c r="Q55" s="8" t="str">
        <f t="shared" si="9"/>
        <v xml:space="preserve"> </v>
      </c>
      <c r="R55" s="8" t="str">
        <f t="shared" si="8"/>
        <v xml:space="preserve"> </v>
      </c>
      <c r="S55" s="48" t="str">
        <f t="shared" si="6"/>
        <v xml:space="preserve"> </v>
      </c>
      <c r="T55" s="14" t="str">
        <f>IF(F55&gt;0,IFERROR(VLOOKUP($F55,[1]Sheet1!$C$3:$L$3445,10,0),"EOSS"),"")</f>
        <v/>
      </c>
    </row>
    <row r="56" spans="1:20" x14ac:dyDescent="0.3">
      <c r="A56" s="32"/>
      <c r="B56" s="2"/>
      <c r="C56" s="5" t="str">
        <f t="shared" si="0"/>
        <v xml:space="preserve"> </v>
      </c>
      <c r="D56" s="2"/>
      <c r="E56" s="3"/>
      <c r="F56" s="4"/>
      <c r="G56" s="5"/>
      <c r="H56" s="5"/>
      <c r="I56" s="5" t="str">
        <f t="shared" si="1"/>
        <v xml:space="preserve"> </v>
      </c>
      <c r="J56" s="33"/>
      <c r="K56" s="5" t="str">
        <f t="shared" si="2"/>
        <v xml:space="preserve"> </v>
      </c>
      <c r="L56" s="3" t="str">
        <f t="shared" si="3"/>
        <v xml:space="preserve"> </v>
      </c>
      <c r="M56" s="3" t="str">
        <f>IF(E56&gt;0,IFERROR(VLOOKUP($E56,'[2]Table 1'!$B$2:$I$147,8,0),"0.00")," ")</f>
        <v xml:space="preserve"> </v>
      </c>
      <c r="N56" s="6" t="str">
        <f t="shared" si="7"/>
        <v xml:space="preserve"> </v>
      </c>
      <c r="O56" s="7" t="str">
        <f>IF(IF(COUNTIF($B$5:B56,B56)&gt;1," ",SUMIF($B$5:$B$423,B56,$J$5:$J$423))=0," ",IF(COUNTIF($B$5:B56,B56)&gt;1," ",SUMIF($B$5:$B$423,B56,$J$5:$J$423)))</f>
        <v xml:space="preserve"> </v>
      </c>
      <c r="P56" s="8" t="str">
        <f>IF(IF(COUNTIF($B$5:B56,B56)&gt;1," ",SUMIF($B$5:$B$423,B56,$L$5:$L$423))=0," ",IF(COUNTIF($B$5:B56,B56)&gt;1," ",SUMIF($B$5:$B$423,B56,$L$5:$L$423)))</f>
        <v xml:space="preserve"> </v>
      </c>
      <c r="Q56" s="8" t="str">
        <f t="shared" si="9"/>
        <v xml:space="preserve"> </v>
      </c>
      <c r="R56" s="8" t="str">
        <f t="shared" si="8"/>
        <v xml:space="preserve"> </v>
      </c>
      <c r="S56" s="48" t="str">
        <f t="shared" si="6"/>
        <v xml:space="preserve"> </v>
      </c>
      <c r="T56" s="14" t="str">
        <f>IF(F56&gt;0,IFERROR(VLOOKUP($F56,[1]Sheet1!$C$3:$L$3445,10,0),"EOSS"),"")</f>
        <v/>
      </c>
    </row>
    <row r="57" spans="1:20" x14ac:dyDescent="0.3">
      <c r="A57" s="32"/>
      <c r="B57" s="2"/>
      <c r="C57" s="5" t="str">
        <f t="shared" si="0"/>
        <v xml:space="preserve"> </v>
      </c>
      <c r="D57" s="2"/>
      <c r="E57" s="3"/>
      <c r="F57" s="4"/>
      <c r="G57" s="5"/>
      <c r="H57" s="5"/>
      <c r="I57" s="5" t="str">
        <f t="shared" si="1"/>
        <v xml:space="preserve"> </v>
      </c>
      <c r="J57" s="33"/>
      <c r="K57" s="5" t="str">
        <f t="shared" si="2"/>
        <v xml:space="preserve"> </v>
      </c>
      <c r="L57" s="3" t="str">
        <f t="shared" si="3"/>
        <v xml:space="preserve"> </v>
      </c>
      <c r="M57" s="3" t="str">
        <f>IF(E57&gt;0,IFERROR(VLOOKUP($E57,'[2]Table 1'!$B$2:$I$147,8,0),"0.00")," ")</f>
        <v xml:space="preserve"> </v>
      </c>
      <c r="N57" s="6" t="str">
        <f t="shared" si="7"/>
        <v xml:space="preserve"> </v>
      </c>
      <c r="O57" s="7" t="str">
        <f>IF(IF(COUNTIF($B$5:B57,B57)&gt;1," ",SUMIF($B$5:$B$423,B57,$J$5:$J$423))=0," ",IF(COUNTIF($B$5:B57,B57)&gt;1," ",SUMIF($B$5:$B$423,B57,$J$5:$J$423)))</f>
        <v xml:space="preserve"> </v>
      </c>
      <c r="P57" s="8" t="str">
        <f>IF(IF(COUNTIF($B$5:B57,B57)&gt;1," ",SUMIF($B$5:$B$423,B57,$L$5:$L$423))=0," ",IF(COUNTIF($B$5:B57,B57)&gt;1," ",SUMIF($B$5:$B$423,B57,$L$5:$L$423)))</f>
        <v xml:space="preserve"> </v>
      </c>
      <c r="Q57" s="8" t="str">
        <f t="shared" si="9"/>
        <v xml:space="preserve"> </v>
      </c>
      <c r="R57" s="8" t="str">
        <f t="shared" si="8"/>
        <v xml:space="preserve"> </v>
      </c>
      <c r="S57" s="48" t="str">
        <f t="shared" si="6"/>
        <v xml:space="preserve"> </v>
      </c>
      <c r="T57" s="14" t="str">
        <f>IF(F57&gt;0,IFERROR(VLOOKUP($F57,[1]Sheet1!$C$3:$L$3445,10,0),"EOSS"),"")</f>
        <v/>
      </c>
    </row>
    <row r="58" spans="1:20" x14ac:dyDescent="0.3">
      <c r="A58" s="32"/>
      <c r="B58" s="2"/>
      <c r="C58" s="5" t="str">
        <f t="shared" si="0"/>
        <v xml:space="preserve"> </v>
      </c>
      <c r="D58" s="2"/>
      <c r="E58" s="3"/>
      <c r="F58" s="4"/>
      <c r="G58" s="5"/>
      <c r="H58" s="5"/>
      <c r="I58" s="5" t="str">
        <f t="shared" si="1"/>
        <v xml:space="preserve"> </v>
      </c>
      <c r="J58" s="33"/>
      <c r="K58" s="5" t="str">
        <f t="shared" si="2"/>
        <v xml:space="preserve"> </v>
      </c>
      <c r="L58" s="3" t="str">
        <f t="shared" si="3"/>
        <v xml:space="preserve"> </v>
      </c>
      <c r="M58" s="3" t="str">
        <f>IF(E58&gt;0,IFERROR(VLOOKUP($E58,'[2]Table 1'!$B$2:$I$147,8,0),"0.00")," ")</f>
        <v xml:space="preserve"> </v>
      </c>
      <c r="N58" s="6" t="str">
        <f t="shared" si="7"/>
        <v xml:space="preserve"> </v>
      </c>
      <c r="O58" s="7" t="str">
        <f>IF(IF(COUNTIF($B$5:B58,B58)&gt;1," ",SUMIF($B$5:$B$423,B58,$J$5:$J$423))=0," ",IF(COUNTIF($B$5:B58,B58)&gt;1," ",SUMIF($B$5:$B$423,B58,$J$5:$J$423)))</f>
        <v xml:space="preserve"> </v>
      </c>
      <c r="P58" s="8" t="str">
        <f>IF(IF(COUNTIF($B$5:B58,B58)&gt;1," ",SUMIF($B$5:$B$423,B58,$L$5:$L$423))=0," ",IF(COUNTIF($B$5:B58,B58)&gt;1," ",SUMIF($B$5:$B$423,B58,$L$5:$L$423)))</f>
        <v xml:space="preserve"> </v>
      </c>
      <c r="Q58" s="8" t="str">
        <f t="shared" si="9"/>
        <v xml:space="preserve"> </v>
      </c>
      <c r="R58" s="8" t="str">
        <f t="shared" si="8"/>
        <v xml:space="preserve"> </v>
      </c>
      <c r="S58" s="48" t="str">
        <f t="shared" si="6"/>
        <v xml:space="preserve"> </v>
      </c>
      <c r="T58" s="14" t="str">
        <f>IF(F58&gt;0,IFERROR(VLOOKUP($F58,[1]Sheet1!$C$3:$L$3445,10,0),"EOSS"),"")</f>
        <v/>
      </c>
    </row>
    <row r="59" spans="1:20" x14ac:dyDescent="0.3">
      <c r="A59" s="32"/>
      <c r="B59" s="2"/>
      <c r="C59" s="5" t="str">
        <f t="shared" si="0"/>
        <v xml:space="preserve"> </v>
      </c>
      <c r="D59" s="2"/>
      <c r="E59" s="3"/>
      <c r="F59" s="4"/>
      <c r="G59" s="5"/>
      <c r="H59" s="5"/>
      <c r="I59" s="5" t="str">
        <f t="shared" si="1"/>
        <v xml:space="preserve"> </v>
      </c>
      <c r="J59" s="33"/>
      <c r="K59" s="5" t="str">
        <f t="shared" si="2"/>
        <v xml:space="preserve"> </v>
      </c>
      <c r="L59" s="3" t="str">
        <f t="shared" si="3"/>
        <v xml:space="preserve"> </v>
      </c>
      <c r="M59" s="3" t="str">
        <f>IF(E59&gt;0,IFERROR(VLOOKUP($E59,'[2]Table 1'!$B$2:$I$147,8,0),"0.00")," ")</f>
        <v xml:space="preserve"> </v>
      </c>
      <c r="N59" s="6" t="str">
        <f t="shared" si="7"/>
        <v xml:space="preserve"> </v>
      </c>
      <c r="O59" s="7" t="str">
        <f>IF(IF(COUNTIF($B$5:B59,B59)&gt;1," ",SUMIF($B$5:$B$423,B59,$J$5:$J$423))=0," ",IF(COUNTIF($B$5:B59,B59)&gt;1," ",SUMIF($B$5:$B$423,B59,$J$5:$J$423)))</f>
        <v xml:space="preserve"> </v>
      </c>
      <c r="P59" s="8" t="str">
        <f>IF(IF(COUNTIF($B$5:B59,B59)&gt;1," ",SUMIF($B$5:$B$423,B59,$L$5:$L$423))=0," ",IF(COUNTIF($B$5:B59,B59)&gt;1," ",SUMIF($B$5:$B$423,B59,$L$5:$L$423)))</f>
        <v xml:space="preserve"> </v>
      </c>
      <c r="Q59" s="8" t="str">
        <f t="shared" si="9"/>
        <v xml:space="preserve"> </v>
      </c>
      <c r="R59" s="8" t="str">
        <f t="shared" si="8"/>
        <v xml:space="preserve"> </v>
      </c>
      <c r="S59" s="48" t="str">
        <f t="shared" si="6"/>
        <v xml:space="preserve"> </v>
      </c>
      <c r="T59" s="14" t="str">
        <f>IF(F59&gt;0,IFERROR(VLOOKUP($F59,[1]Sheet1!$C$3:$L$3445,10,0),"EOSS"),"")</f>
        <v/>
      </c>
    </row>
    <row r="60" spans="1:20" x14ac:dyDescent="0.3">
      <c r="A60" s="32"/>
      <c r="B60" s="2"/>
      <c r="C60" s="5" t="str">
        <f t="shared" si="0"/>
        <v xml:space="preserve"> </v>
      </c>
      <c r="D60" s="2"/>
      <c r="E60" s="3"/>
      <c r="F60" s="4"/>
      <c r="G60" s="5"/>
      <c r="H60" s="5"/>
      <c r="I60" s="5" t="str">
        <f t="shared" si="1"/>
        <v xml:space="preserve"> </v>
      </c>
      <c r="J60" s="33"/>
      <c r="K60" s="5" t="str">
        <f t="shared" si="2"/>
        <v xml:space="preserve"> </v>
      </c>
      <c r="L60" s="3" t="str">
        <f t="shared" si="3"/>
        <v xml:space="preserve"> </v>
      </c>
      <c r="M60" s="3" t="str">
        <f>IF(E60&gt;0,IFERROR(VLOOKUP($E60,'[2]Table 1'!$B$2:$I$147,8,0),"0.00")," ")</f>
        <v xml:space="preserve"> </v>
      </c>
      <c r="N60" s="6" t="str">
        <f t="shared" si="7"/>
        <v xml:space="preserve"> </v>
      </c>
      <c r="O60" s="7" t="str">
        <f>IF(IF(COUNTIF($B$5:B60,B60)&gt;1," ",SUMIF($B$5:$B$423,B60,$J$5:$J$423))=0," ",IF(COUNTIF($B$5:B60,B60)&gt;1," ",SUMIF($B$5:$B$423,B60,$J$5:$J$423)))</f>
        <v xml:space="preserve"> </v>
      </c>
      <c r="P60" s="8" t="str">
        <f>IF(IF(COUNTIF($B$5:B60,B60)&gt;1," ",SUMIF($B$5:$B$423,B60,$L$5:$L$423))=0," ",IF(COUNTIF($B$5:B60,B60)&gt;1," ",SUMIF($B$5:$B$423,B60,$L$5:$L$423)))</f>
        <v xml:space="preserve"> </v>
      </c>
      <c r="Q60" s="8" t="str">
        <f t="shared" si="9"/>
        <v xml:space="preserve"> </v>
      </c>
      <c r="R60" s="8" t="str">
        <f t="shared" si="8"/>
        <v xml:space="preserve"> </v>
      </c>
      <c r="S60" s="48" t="str">
        <f t="shared" si="6"/>
        <v xml:space="preserve"> </v>
      </c>
      <c r="T60" s="14" t="str">
        <f>IF(F60&gt;0,IFERROR(VLOOKUP($F60,[1]Sheet1!$C$3:$L$3445,10,0),"EOSS"),"")</f>
        <v/>
      </c>
    </row>
    <row r="61" spans="1:20" x14ac:dyDescent="0.3">
      <c r="A61" s="32"/>
      <c r="B61" s="2"/>
      <c r="C61" s="5" t="str">
        <f t="shared" si="0"/>
        <v xml:space="preserve"> </v>
      </c>
      <c r="D61" s="2"/>
      <c r="E61" s="3"/>
      <c r="F61" s="4"/>
      <c r="G61" s="5"/>
      <c r="H61" s="5"/>
      <c r="I61" s="5" t="str">
        <f t="shared" si="1"/>
        <v xml:space="preserve"> </v>
      </c>
      <c r="J61" s="33"/>
      <c r="K61" s="5" t="str">
        <f t="shared" si="2"/>
        <v xml:space="preserve"> </v>
      </c>
      <c r="L61" s="3" t="str">
        <f t="shared" si="3"/>
        <v xml:space="preserve"> </v>
      </c>
      <c r="M61" s="3" t="str">
        <f>IF(E61&gt;0,IFERROR(VLOOKUP($E61,'[2]Table 1'!$B$2:$I$147,8,0),"0.00")," ")</f>
        <v xml:space="preserve"> </v>
      </c>
      <c r="N61" s="6" t="str">
        <f t="shared" si="7"/>
        <v xml:space="preserve"> </v>
      </c>
      <c r="O61" s="7" t="str">
        <f>IF(IF(COUNTIF($B$5:B61,B61)&gt;1," ",SUMIF($B$5:$B$423,B61,$J$5:$J$423))=0," ",IF(COUNTIF($B$5:B61,B61)&gt;1," ",SUMIF($B$5:$B$423,B61,$J$5:$J$423)))</f>
        <v xml:space="preserve"> </v>
      </c>
      <c r="P61" s="8" t="str">
        <f>IF(IF(COUNTIF($B$5:B61,B61)&gt;1," ",SUMIF($B$5:$B$423,B61,$L$5:$L$423))=0," ",IF(COUNTIF($B$5:B61,B61)&gt;1," ",SUMIF($B$5:$B$423,B61,$L$5:$L$423)))</f>
        <v xml:space="preserve"> </v>
      </c>
      <c r="Q61" s="8" t="str">
        <f t="shared" si="9"/>
        <v xml:space="preserve"> </v>
      </c>
      <c r="R61" s="8" t="str">
        <f t="shared" si="8"/>
        <v xml:space="preserve"> </v>
      </c>
      <c r="S61" s="48" t="str">
        <f t="shared" si="6"/>
        <v xml:space="preserve"> </v>
      </c>
      <c r="T61" s="14" t="str">
        <f>IF(F61&gt;0,IFERROR(VLOOKUP($F61,[1]Sheet1!$C$3:$L$3445,10,0),"EOSS"),"")</f>
        <v/>
      </c>
    </row>
    <row r="62" spans="1:20" x14ac:dyDescent="0.3">
      <c r="A62" s="32"/>
      <c r="B62" s="2"/>
      <c r="C62" s="5" t="str">
        <f t="shared" si="0"/>
        <v xml:space="preserve"> </v>
      </c>
      <c r="D62" s="2"/>
      <c r="E62" s="3"/>
      <c r="F62" s="4"/>
      <c r="G62" s="5"/>
      <c r="H62" s="5"/>
      <c r="I62" s="5" t="str">
        <f t="shared" si="1"/>
        <v xml:space="preserve"> </v>
      </c>
      <c r="J62" s="33"/>
      <c r="K62" s="5" t="str">
        <f t="shared" si="2"/>
        <v xml:space="preserve"> </v>
      </c>
      <c r="L62" s="3" t="str">
        <f t="shared" si="3"/>
        <v xml:space="preserve"> </v>
      </c>
      <c r="M62" s="3" t="str">
        <f>IF(E62&gt;0,IFERROR(VLOOKUP($E62,'[2]Table 1'!$B$2:$I$147,8,0),"0.00")," ")</f>
        <v xml:space="preserve"> </v>
      </c>
      <c r="N62" s="6" t="str">
        <f t="shared" si="7"/>
        <v xml:space="preserve"> </v>
      </c>
      <c r="O62" s="7" t="str">
        <f>IF(IF(COUNTIF($B$5:B62,B62)&gt;1," ",SUMIF($B$5:$B$423,B62,$J$5:$J$423))=0," ",IF(COUNTIF($B$5:B62,B62)&gt;1," ",SUMIF($B$5:$B$423,B62,$J$5:$J$423)))</f>
        <v xml:space="preserve"> </v>
      </c>
      <c r="P62" s="8" t="str">
        <f>IF(IF(COUNTIF($B$5:B62,B62)&gt;1," ",SUMIF($B$5:$B$423,B62,$L$5:$L$423))=0," ",IF(COUNTIF($B$5:B62,B62)&gt;1," ",SUMIF($B$5:$B$423,B62,$L$5:$L$423)))</f>
        <v xml:space="preserve"> </v>
      </c>
      <c r="Q62" s="8" t="str">
        <f t="shared" si="9"/>
        <v xml:space="preserve"> </v>
      </c>
      <c r="R62" s="8" t="str">
        <f t="shared" si="8"/>
        <v xml:space="preserve"> </v>
      </c>
      <c r="S62" s="48" t="str">
        <f t="shared" si="6"/>
        <v xml:space="preserve"> </v>
      </c>
      <c r="T62" s="14" t="str">
        <f>IF(F62&gt;0,IFERROR(VLOOKUP($F62,[1]Sheet1!$C$3:$L$3445,10,0),"EOSS"),"")</f>
        <v/>
      </c>
    </row>
    <row r="63" spans="1:20" x14ac:dyDescent="0.3">
      <c r="A63" s="32"/>
      <c r="B63" s="2"/>
      <c r="C63" s="5" t="str">
        <f t="shared" si="0"/>
        <v xml:space="preserve"> </v>
      </c>
      <c r="D63" s="2"/>
      <c r="E63" s="3"/>
      <c r="F63" s="4"/>
      <c r="G63" s="5"/>
      <c r="H63" s="5"/>
      <c r="I63" s="5" t="str">
        <f t="shared" si="1"/>
        <v xml:space="preserve"> </v>
      </c>
      <c r="J63" s="33"/>
      <c r="K63" s="5" t="str">
        <f t="shared" si="2"/>
        <v xml:space="preserve"> </v>
      </c>
      <c r="L63" s="3" t="str">
        <f t="shared" si="3"/>
        <v xml:space="preserve"> </v>
      </c>
      <c r="M63" s="3" t="str">
        <f>IF(E63&gt;0,IFERROR(VLOOKUP($E63,'[2]Table 1'!$B$2:$I$147,8,0),"0.00")," ")</f>
        <v xml:space="preserve"> </v>
      </c>
      <c r="N63" s="6" t="str">
        <f t="shared" si="7"/>
        <v xml:space="preserve"> </v>
      </c>
      <c r="O63" s="7" t="str">
        <f>IF(IF(COUNTIF($B$5:B63,B63)&gt;1," ",SUMIF($B$5:$B$423,B63,$J$5:$J$423))=0," ",IF(COUNTIF($B$5:B63,B63)&gt;1," ",SUMIF($B$5:$B$423,B63,$J$5:$J$423)))</f>
        <v xml:space="preserve"> </v>
      </c>
      <c r="P63" s="8" t="str">
        <f>IF(IF(COUNTIF($B$5:B63,B63)&gt;1," ",SUMIF($B$5:$B$423,B63,$L$5:$L$423))=0," ",IF(COUNTIF($B$5:B63,B63)&gt;1," ",SUMIF($B$5:$B$423,B63,$L$5:$L$423)))</f>
        <v xml:space="preserve"> </v>
      </c>
      <c r="Q63" s="8" t="str">
        <f t="shared" si="9"/>
        <v xml:space="preserve"> </v>
      </c>
      <c r="R63" s="8" t="str">
        <f t="shared" si="8"/>
        <v xml:space="preserve"> </v>
      </c>
      <c r="S63" s="48" t="str">
        <f t="shared" si="6"/>
        <v xml:space="preserve"> </v>
      </c>
      <c r="T63" s="14" t="str">
        <f>IF(F63&gt;0,IFERROR(VLOOKUP($F63,[1]Sheet1!$C$3:$L$3445,10,0),"EOSS"),"")</f>
        <v/>
      </c>
    </row>
    <row r="64" spans="1:20" x14ac:dyDescent="0.3">
      <c r="A64" s="32"/>
      <c r="B64" s="2"/>
      <c r="C64" s="5" t="str">
        <f t="shared" si="0"/>
        <v xml:space="preserve"> </v>
      </c>
      <c r="D64" s="2"/>
      <c r="E64" s="3"/>
      <c r="F64" s="4"/>
      <c r="G64" s="5"/>
      <c r="H64" s="5"/>
      <c r="I64" s="5" t="str">
        <f t="shared" si="1"/>
        <v xml:space="preserve"> </v>
      </c>
      <c r="J64" s="33"/>
      <c r="K64" s="5" t="str">
        <f t="shared" si="2"/>
        <v xml:space="preserve"> </v>
      </c>
      <c r="L64" s="3" t="str">
        <f t="shared" si="3"/>
        <v xml:space="preserve"> </v>
      </c>
      <c r="M64" s="3" t="str">
        <f>IF(E64&gt;0,IFERROR(VLOOKUP($E64,'[2]Table 1'!$B$2:$I$147,8,0),"0.00")," ")</f>
        <v xml:space="preserve"> </v>
      </c>
      <c r="N64" s="6" t="str">
        <f t="shared" si="7"/>
        <v xml:space="preserve"> </v>
      </c>
      <c r="O64" s="7" t="str">
        <f>IF(IF(COUNTIF($B$5:B64,B64)&gt;1," ",SUMIF($B$5:$B$423,B64,$J$5:$J$423))=0," ",IF(COUNTIF($B$5:B64,B64)&gt;1," ",SUMIF($B$5:$B$423,B64,$J$5:$J$423)))</f>
        <v xml:space="preserve"> </v>
      </c>
      <c r="P64" s="8" t="str">
        <f>IF(IF(COUNTIF($B$5:B64,B64)&gt;1," ",SUMIF($B$5:$B$423,B64,$L$5:$L$423))=0," ",IF(COUNTIF($B$5:B64,B64)&gt;1," ",SUMIF($B$5:$B$423,B64,$L$5:$L$423)))</f>
        <v xml:space="preserve"> </v>
      </c>
      <c r="Q64" s="8" t="str">
        <f t="shared" si="9"/>
        <v xml:space="preserve"> </v>
      </c>
      <c r="R64" s="8" t="str">
        <f t="shared" si="8"/>
        <v xml:space="preserve"> </v>
      </c>
      <c r="S64" s="48" t="str">
        <f t="shared" si="6"/>
        <v xml:space="preserve"> </v>
      </c>
      <c r="T64" s="14" t="str">
        <f>IF(F64&gt;0,IFERROR(VLOOKUP($F64,[1]Sheet1!$C$3:$L$3445,10,0),"EOSS"),"")</f>
        <v/>
      </c>
    </row>
    <row r="65" spans="1:20" x14ac:dyDescent="0.3">
      <c r="A65" s="32"/>
      <c r="B65" s="2"/>
      <c r="C65" s="5" t="str">
        <f t="shared" si="0"/>
        <v xml:space="preserve"> </v>
      </c>
      <c r="D65" s="2"/>
      <c r="E65" s="3"/>
      <c r="F65" s="4"/>
      <c r="G65" s="5"/>
      <c r="H65" s="5"/>
      <c r="I65" s="5" t="str">
        <f t="shared" si="1"/>
        <v xml:space="preserve"> </v>
      </c>
      <c r="J65" s="33"/>
      <c r="K65" s="5" t="str">
        <f t="shared" si="2"/>
        <v xml:space="preserve"> </v>
      </c>
      <c r="L65" s="3" t="str">
        <f t="shared" si="3"/>
        <v xml:space="preserve"> </v>
      </c>
      <c r="M65" s="3" t="str">
        <f>IF(E65&gt;0,IFERROR(VLOOKUP($E65,'[2]Table 1'!$B$2:$I$147,8,0),"0.00")," ")</f>
        <v xml:space="preserve"> </v>
      </c>
      <c r="N65" s="6" t="str">
        <f t="shared" si="7"/>
        <v xml:space="preserve"> </v>
      </c>
      <c r="O65" s="7" t="str">
        <f>IF(IF(COUNTIF($B$5:B65,B65)&gt;1," ",SUMIF($B$5:$B$423,B65,$J$5:$J$423))=0," ",IF(COUNTIF($B$5:B65,B65)&gt;1," ",SUMIF($B$5:$B$423,B65,$J$5:$J$423)))</f>
        <v xml:space="preserve"> </v>
      </c>
      <c r="P65" s="8" t="str">
        <f>IF(IF(COUNTIF($B$5:B65,B65)&gt;1," ",SUMIF($B$5:$B$423,B65,$L$5:$L$423))=0," ",IF(COUNTIF($B$5:B65,B65)&gt;1," ",SUMIF($B$5:$B$423,B65,$L$5:$L$423)))</f>
        <v xml:space="preserve"> </v>
      </c>
      <c r="Q65" s="8" t="str">
        <f t="shared" si="9"/>
        <v xml:space="preserve"> </v>
      </c>
      <c r="R65" s="8" t="str">
        <f t="shared" si="8"/>
        <v xml:space="preserve"> </v>
      </c>
      <c r="S65" s="48" t="str">
        <f t="shared" si="6"/>
        <v xml:space="preserve"> </v>
      </c>
      <c r="T65" s="14" t="str">
        <f>IF(F65&gt;0,IFERROR(VLOOKUP($F65,[1]Sheet1!$C$3:$L$3445,10,0),"EOSS"),"")</f>
        <v/>
      </c>
    </row>
    <row r="66" spans="1:20" x14ac:dyDescent="0.3">
      <c r="A66" s="32"/>
      <c r="B66" s="2"/>
      <c r="C66" s="5" t="str">
        <f t="shared" si="0"/>
        <v xml:space="preserve"> </v>
      </c>
      <c r="D66" s="2"/>
      <c r="E66" s="3"/>
      <c r="F66" s="4"/>
      <c r="G66" s="5"/>
      <c r="H66" s="5"/>
      <c r="I66" s="5" t="str">
        <f t="shared" si="1"/>
        <v xml:space="preserve"> </v>
      </c>
      <c r="J66" s="33"/>
      <c r="K66" s="5" t="str">
        <f t="shared" si="2"/>
        <v xml:space="preserve"> </v>
      </c>
      <c r="L66" s="3" t="str">
        <f t="shared" si="3"/>
        <v xml:space="preserve"> </v>
      </c>
      <c r="M66" s="3" t="str">
        <f>IF(E66&gt;0,IFERROR(VLOOKUP($E66,'[2]Table 1'!$B$2:$I$147,8,0),"0.00")," ")</f>
        <v xml:space="preserve"> </v>
      </c>
      <c r="N66" s="6" t="str">
        <f t="shared" si="7"/>
        <v xml:space="preserve"> </v>
      </c>
      <c r="O66" s="7" t="str">
        <f>IF(IF(COUNTIF($B$5:B66,B66)&gt;1," ",SUMIF($B$5:$B$423,B66,$J$5:$J$423))=0," ",IF(COUNTIF($B$5:B66,B66)&gt;1," ",SUMIF($B$5:$B$423,B66,$J$5:$J$423)))</f>
        <v xml:space="preserve"> </v>
      </c>
      <c r="P66" s="8" t="str">
        <f>IF(IF(COUNTIF($B$5:B66,B66)&gt;1," ",SUMIF($B$5:$B$423,B66,$L$5:$L$423))=0," ",IF(COUNTIF($B$5:B66,B66)&gt;1," ",SUMIF($B$5:$B$423,B66,$L$5:$L$423)))</f>
        <v xml:space="preserve"> </v>
      </c>
      <c r="Q66" s="8" t="str">
        <f t="shared" si="9"/>
        <v xml:space="preserve"> </v>
      </c>
      <c r="R66" s="8" t="str">
        <f t="shared" si="8"/>
        <v xml:space="preserve"> </v>
      </c>
      <c r="S66" s="48" t="str">
        <f t="shared" si="6"/>
        <v xml:space="preserve"> </v>
      </c>
      <c r="T66" s="14" t="str">
        <f>IF(F66&gt;0,IFERROR(VLOOKUP($F66,[1]Sheet1!$C$3:$L$3445,10,0),"EOSS"),"")</f>
        <v/>
      </c>
    </row>
    <row r="67" spans="1:20" x14ac:dyDescent="0.3">
      <c r="A67" s="32"/>
      <c r="B67" s="2"/>
      <c r="C67" s="5" t="str">
        <f t="shared" si="0"/>
        <v xml:space="preserve"> </v>
      </c>
      <c r="D67" s="2"/>
      <c r="E67" s="3"/>
      <c r="F67" s="4"/>
      <c r="G67" s="5"/>
      <c r="H67" s="5"/>
      <c r="I67" s="5" t="str">
        <f t="shared" si="1"/>
        <v xml:space="preserve"> </v>
      </c>
      <c r="J67" s="33"/>
      <c r="K67" s="5" t="str">
        <f t="shared" si="2"/>
        <v xml:space="preserve"> </v>
      </c>
      <c r="L67" s="3" t="str">
        <f t="shared" si="3"/>
        <v xml:space="preserve"> </v>
      </c>
      <c r="M67" s="3" t="str">
        <f>IF(E67&gt;0,IFERROR(VLOOKUP($E67,'[2]Table 1'!$B$2:$I$147,8,0),"0.00")," ")</f>
        <v xml:space="preserve"> </v>
      </c>
      <c r="N67" s="6" t="str">
        <f t="shared" si="7"/>
        <v xml:space="preserve"> </v>
      </c>
      <c r="O67" s="7" t="str">
        <f>IF(IF(COUNTIF($B$5:B67,B67)&gt;1," ",SUMIF($B$5:$B$423,B67,$J$5:$J$423))=0," ",IF(COUNTIF($B$5:B67,B67)&gt;1," ",SUMIF($B$5:$B$423,B67,$J$5:$J$423)))</f>
        <v xml:space="preserve"> </v>
      </c>
      <c r="P67" s="8" t="str">
        <f>IF(IF(COUNTIF($B$5:B67,B67)&gt;1," ",SUMIF($B$5:$B$423,B67,$L$5:$L$423))=0," ",IF(COUNTIF($B$5:B67,B67)&gt;1," ",SUMIF($B$5:$B$423,B67,$L$5:$L$423)))</f>
        <v xml:space="preserve"> </v>
      </c>
      <c r="Q67" s="8" t="str">
        <f t="shared" si="9"/>
        <v xml:space="preserve"> </v>
      </c>
      <c r="R67" s="8" t="str">
        <f t="shared" si="8"/>
        <v xml:space="preserve"> </v>
      </c>
      <c r="S67" s="48" t="str">
        <f t="shared" si="6"/>
        <v xml:space="preserve"> </v>
      </c>
      <c r="T67" s="14" t="str">
        <f>IF(F67&gt;0,IFERROR(VLOOKUP($F67,[1]Sheet1!$C$3:$L$3445,10,0),"EOSS"),"")</f>
        <v/>
      </c>
    </row>
    <row r="68" spans="1:20" x14ac:dyDescent="0.3">
      <c r="A68" s="32"/>
      <c r="B68" s="2"/>
      <c r="C68" s="5" t="str">
        <f t="shared" si="0"/>
        <v xml:space="preserve"> </v>
      </c>
      <c r="D68" s="2"/>
      <c r="E68" s="3"/>
      <c r="F68" s="4"/>
      <c r="G68" s="5"/>
      <c r="H68" s="5"/>
      <c r="I68" s="5" t="str">
        <f t="shared" si="1"/>
        <v xml:space="preserve"> </v>
      </c>
      <c r="J68" s="33"/>
      <c r="K68" s="5" t="str">
        <f t="shared" si="2"/>
        <v xml:space="preserve"> </v>
      </c>
      <c r="L68" s="3" t="str">
        <f t="shared" si="3"/>
        <v xml:space="preserve"> </v>
      </c>
      <c r="M68" s="3" t="str">
        <f>IF(E68&gt;0,IFERROR(VLOOKUP($E68,'[2]Table 1'!$B$2:$I$147,8,0),"0.00")," ")</f>
        <v xml:space="preserve"> </v>
      </c>
      <c r="N68" s="6" t="str">
        <f t="shared" si="7"/>
        <v xml:space="preserve"> </v>
      </c>
      <c r="O68" s="7" t="str">
        <f>IF(IF(COUNTIF($B$5:B68,B68)&gt;1," ",SUMIF($B$5:$B$423,B68,$J$5:$J$423))=0," ",IF(COUNTIF($B$5:B68,B68)&gt;1," ",SUMIF($B$5:$B$423,B68,$J$5:$J$423)))</f>
        <v xml:space="preserve"> </v>
      </c>
      <c r="P68" s="8" t="str">
        <f>IF(IF(COUNTIF($B$5:B68,B68)&gt;1," ",SUMIF($B$5:$B$423,B68,$L$5:$L$423))=0," ",IF(COUNTIF($B$5:B68,B68)&gt;1," ",SUMIF($B$5:$B$423,B68,$L$5:$L$423)))</f>
        <v xml:space="preserve"> </v>
      </c>
      <c r="Q68" s="8" t="str">
        <f t="shared" si="9"/>
        <v xml:space="preserve"> </v>
      </c>
      <c r="R68" s="8" t="str">
        <f t="shared" si="8"/>
        <v xml:space="preserve"> </v>
      </c>
      <c r="S68" s="48" t="str">
        <f t="shared" si="6"/>
        <v xml:space="preserve"> </v>
      </c>
      <c r="T68" s="14" t="str">
        <f>IF(F68&gt;0,IFERROR(VLOOKUP($F68,[1]Sheet1!$C$3:$L$3445,10,0),"EOSS"),"")</f>
        <v/>
      </c>
    </row>
    <row r="69" spans="1:20" x14ac:dyDescent="0.3">
      <c r="A69" s="32"/>
      <c r="B69" s="2"/>
      <c r="C69" s="5" t="str">
        <f t="shared" ref="C69:C132" si="10">IF($B69=0," ","Cash")</f>
        <v xml:space="preserve"> </v>
      </c>
      <c r="D69" s="2"/>
      <c r="E69" s="3"/>
      <c r="F69" s="4"/>
      <c r="G69" s="5"/>
      <c r="H69" s="5"/>
      <c r="I69" s="5" t="str">
        <f t="shared" ref="I69:I132" si="11">IF(H69&gt;0,$C$3," ")</f>
        <v xml:space="preserve"> </v>
      </c>
      <c r="J69" s="33"/>
      <c r="K69" s="5" t="str">
        <f t="shared" ref="K69:K132" si="12">IF($F69=0," ","Pcs.")</f>
        <v xml:space="preserve"> </v>
      </c>
      <c r="L69" s="3" t="str">
        <f t="shared" ref="L69:L132" si="13">IF(J69*E69=0," ",J69*E69)</f>
        <v xml:space="preserve"> </v>
      </c>
      <c r="M69" s="3" t="str">
        <f>IF(E69&gt;0,IFERROR(VLOOKUP($E69,'[2]Table 1'!$B$2:$I$147,8,0),"0.00")," ")</f>
        <v xml:space="preserve"> </v>
      </c>
      <c r="N69" s="6" t="str">
        <f t="shared" si="7"/>
        <v xml:space="preserve"> </v>
      </c>
      <c r="O69" s="7" t="str">
        <f>IF(IF(COUNTIF($B$5:B69,B69)&gt;1," ",SUMIF($B$5:$B$423,B69,$J$5:$J$423))=0," ",IF(COUNTIF($B$5:B69,B69)&gt;1," ",SUMIF($B$5:$B$423,B69,$J$5:$J$423)))</f>
        <v xml:space="preserve"> </v>
      </c>
      <c r="P69" s="8" t="str">
        <f>IF(IF(COUNTIF($B$5:B69,B69)&gt;1," ",SUMIF($B$5:$B$423,B69,$L$5:$L$423))=0," ",IF(COUNTIF($B$5:B69,B69)&gt;1," ",SUMIF($B$5:$B$423,B69,$L$5:$L$423)))</f>
        <v xml:space="preserve"> </v>
      </c>
      <c r="Q69" s="8" t="str">
        <f t="shared" ref="Q69:Q100" si="14">IF(P69=" "," ",IF(P69&gt;6999,1000,IF(P69&gt;4999,500," ")))</f>
        <v xml:space="preserve"> </v>
      </c>
      <c r="R69" s="8" t="str">
        <f t="shared" si="8"/>
        <v xml:space="preserve"> </v>
      </c>
      <c r="S69" s="48" t="str">
        <f t="shared" ref="S69:S132" si="15">IFERROR(Q69/P69," ")</f>
        <v xml:space="preserve"> </v>
      </c>
      <c r="T69" s="14" t="str">
        <f>IF(F69&gt;0,IFERROR(VLOOKUP($F69,[1]Sheet1!$C$3:$L$3445,10,0),"EOSS"),"")</f>
        <v/>
      </c>
    </row>
    <row r="70" spans="1:20" x14ac:dyDescent="0.3">
      <c r="A70" s="32"/>
      <c r="B70" s="2"/>
      <c r="C70" s="5" t="str">
        <f t="shared" si="10"/>
        <v xml:space="preserve"> </v>
      </c>
      <c r="D70" s="2"/>
      <c r="E70" s="3"/>
      <c r="F70" s="4"/>
      <c r="G70" s="5"/>
      <c r="H70" s="5"/>
      <c r="I70" s="5" t="str">
        <f t="shared" si="11"/>
        <v xml:space="preserve"> </v>
      </c>
      <c r="J70" s="33"/>
      <c r="K70" s="5" t="str">
        <f t="shared" si="12"/>
        <v xml:space="preserve"> </v>
      </c>
      <c r="L70" s="3" t="str">
        <f t="shared" si="13"/>
        <v xml:space="preserve"> </v>
      </c>
      <c r="M70" s="3" t="str">
        <f>IF(E70&gt;0,IFERROR(VLOOKUP($E70,'[2]Table 1'!$B$2:$I$147,8,0),"0.00")," ")</f>
        <v xml:space="preserve"> </v>
      </c>
      <c r="N70" s="6" t="str">
        <f t="shared" ref="N70:N133" si="16">IFERROR(L70+M70," ")</f>
        <v xml:space="preserve"> </v>
      </c>
      <c r="O70" s="7" t="str">
        <f>IF(IF(COUNTIF($B$5:B70,B70)&gt;1," ",SUMIF($B$5:$B$423,B70,$J$5:$J$423))=0," ",IF(COUNTIF($B$5:B70,B70)&gt;1," ",SUMIF($B$5:$B$423,B70,$J$5:$J$423)))</f>
        <v xml:space="preserve"> </v>
      </c>
      <c r="P70" s="8" t="str">
        <f>IF(IF(COUNTIF($B$5:B70,B70)&gt;1," ",SUMIF($B$5:$B$423,B70,$L$5:$L$423))=0," ",IF(COUNTIF($B$5:B70,B70)&gt;1," ",SUMIF($B$5:$B$423,B70,$L$5:$L$423)))</f>
        <v xml:space="preserve"> </v>
      </c>
      <c r="Q70" s="8" t="str">
        <f t="shared" si="14"/>
        <v xml:space="preserve"> </v>
      </c>
      <c r="R70" s="8" t="str">
        <f t="shared" ref="R70:R133" si="17">IF(B70=""," ",IF(OR(L70="",P70="",Q70=""),"",IFERROR(L70/$P$26*$Q$26,"")))</f>
        <v xml:space="preserve"> </v>
      </c>
      <c r="S70" s="48" t="str">
        <f t="shared" si="15"/>
        <v xml:space="preserve"> </v>
      </c>
      <c r="T70" s="14" t="str">
        <f>IF(F70&gt;0,IFERROR(VLOOKUP($F70,[1]Sheet1!$C$3:$L$3445,10,0),"EOSS"),"")</f>
        <v/>
      </c>
    </row>
    <row r="71" spans="1:20" x14ac:dyDescent="0.3">
      <c r="A71" s="32"/>
      <c r="B71" s="2"/>
      <c r="C71" s="5" t="str">
        <f t="shared" si="10"/>
        <v xml:space="preserve"> </v>
      </c>
      <c r="D71" s="2"/>
      <c r="E71" s="3"/>
      <c r="F71" s="4"/>
      <c r="G71" s="5"/>
      <c r="H71" s="5"/>
      <c r="I71" s="5" t="str">
        <f t="shared" si="11"/>
        <v xml:space="preserve"> </v>
      </c>
      <c r="J71" s="33"/>
      <c r="K71" s="5" t="str">
        <f t="shared" si="12"/>
        <v xml:space="preserve"> </v>
      </c>
      <c r="L71" s="3" t="str">
        <f t="shared" si="13"/>
        <v xml:space="preserve"> </v>
      </c>
      <c r="M71" s="3" t="str">
        <f>IF(E71&gt;0,IFERROR(VLOOKUP($E71,'[2]Table 1'!$B$2:$I$147,8,0),"0.00")," ")</f>
        <v xml:space="preserve"> </v>
      </c>
      <c r="N71" s="6" t="str">
        <f t="shared" si="16"/>
        <v xml:space="preserve"> </v>
      </c>
      <c r="O71" s="7" t="str">
        <f>IF(IF(COUNTIF($B$5:B71,B71)&gt;1," ",SUMIF($B$5:$B$423,B71,$J$5:$J$423))=0," ",IF(COUNTIF($B$5:B71,B71)&gt;1," ",SUMIF($B$5:$B$423,B71,$J$5:$J$423)))</f>
        <v xml:space="preserve"> </v>
      </c>
      <c r="P71" s="8" t="str">
        <f>IF(IF(COUNTIF($B$5:B71,B71)&gt;1," ",SUMIF($B$5:$B$423,B71,$L$5:$L$423))=0," ",IF(COUNTIF($B$5:B71,B71)&gt;1," ",SUMIF($B$5:$B$423,B71,$L$5:$L$423)))</f>
        <v xml:space="preserve"> </v>
      </c>
      <c r="Q71" s="8" t="str">
        <f t="shared" si="14"/>
        <v xml:space="preserve"> </v>
      </c>
      <c r="R71" s="8" t="str">
        <f t="shared" si="17"/>
        <v xml:space="preserve"> </v>
      </c>
      <c r="S71" s="48" t="str">
        <f t="shared" si="15"/>
        <v xml:space="preserve"> </v>
      </c>
      <c r="T71" s="14" t="str">
        <f>IF(F71&gt;0,IFERROR(VLOOKUP($F71,[1]Sheet1!$C$3:$L$3445,10,0),"EOSS"),"")</f>
        <v/>
      </c>
    </row>
    <row r="72" spans="1:20" x14ac:dyDescent="0.3">
      <c r="A72" s="32"/>
      <c r="B72" s="2"/>
      <c r="C72" s="5" t="str">
        <f t="shared" si="10"/>
        <v xml:space="preserve"> </v>
      </c>
      <c r="D72" s="2"/>
      <c r="E72" s="3"/>
      <c r="F72" s="4"/>
      <c r="G72" s="5"/>
      <c r="H72" s="5"/>
      <c r="I72" s="5" t="str">
        <f t="shared" si="11"/>
        <v xml:space="preserve"> </v>
      </c>
      <c r="J72" s="33"/>
      <c r="K72" s="5" t="str">
        <f t="shared" si="12"/>
        <v xml:space="preserve"> </v>
      </c>
      <c r="L72" s="3" t="str">
        <f t="shared" si="13"/>
        <v xml:space="preserve"> </v>
      </c>
      <c r="M72" s="3" t="str">
        <f>IF(E72&gt;0,IFERROR(VLOOKUP($E72,'[2]Table 1'!$B$2:$I$147,8,0),"0.00")," ")</f>
        <v xml:space="preserve"> </v>
      </c>
      <c r="N72" s="6" t="str">
        <f t="shared" si="16"/>
        <v xml:space="preserve"> </v>
      </c>
      <c r="O72" s="7" t="str">
        <f>IF(IF(COUNTIF($B$5:B72,B72)&gt;1," ",SUMIF($B$5:$B$423,B72,$J$5:$J$423))=0," ",IF(COUNTIF($B$5:B72,B72)&gt;1," ",SUMIF($B$5:$B$423,B72,$J$5:$J$423)))</f>
        <v xml:space="preserve"> </v>
      </c>
      <c r="P72" s="8" t="str">
        <f>IF(IF(COUNTIF($B$5:B72,B72)&gt;1," ",SUMIF($B$5:$B$423,B72,$L$5:$L$423))=0," ",IF(COUNTIF($B$5:B72,B72)&gt;1," ",SUMIF($B$5:$B$423,B72,$L$5:$L$423)))</f>
        <v xml:space="preserve"> </v>
      </c>
      <c r="Q72" s="8" t="str">
        <f t="shared" si="14"/>
        <v xml:space="preserve"> </v>
      </c>
      <c r="R72" s="8" t="str">
        <f t="shared" si="17"/>
        <v xml:space="preserve"> </v>
      </c>
      <c r="S72" s="48" t="str">
        <f t="shared" si="15"/>
        <v xml:space="preserve"> </v>
      </c>
      <c r="T72" s="14" t="str">
        <f>IF(F72&gt;0,IFERROR(VLOOKUP($F72,[1]Sheet1!$C$3:$L$3445,10,0),"EOSS"),"")</f>
        <v/>
      </c>
    </row>
    <row r="73" spans="1:20" x14ac:dyDescent="0.3">
      <c r="A73" s="32"/>
      <c r="B73" s="2"/>
      <c r="C73" s="5" t="str">
        <f t="shared" si="10"/>
        <v xml:space="preserve"> </v>
      </c>
      <c r="D73" s="2"/>
      <c r="E73" s="3"/>
      <c r="F73" s="4"/>
      <c r="G73" s="5"/>
      <c r="H73" s="5"/>
      <c r="I73" s="5" t="str">
        <f t="shared" si="11"/>
        <v xml:space="preserve"> </v>
      </c>
      <c r="J73" s="33"/>
      <c r="K73" s="5" t="str">
        <f t="shared" si="12"/>
        <v xml:space="preserve"> </v>
      </c>
      <c r="L73" s="3" t="str">
        <f t="shared" si="13"/>
        <v xml:space="preserve"> </v>
      </c>
      <c r="M73" s="3" t="str">
        <f>IF(E73&gt;0,IFERROR(VLOOKUP($E73,'[2]Table 1'!$B$2:$I$147,8,0),"0.00")," ")</f>
        <v xml:space="preserve"> </v>
      </c>
      <c r="N73" s="6" t="str">
        <f t="shared" si="16"/>
        <v xml:space="preserve"> </v>
      </c>
      <c r="O73" s="7" t="str">
        <f>IF(IF(COUNTIF($B$5:B73,B73)&gt;1," ",SUMIF($B$5:$B$423,B73,$J$5:$J$423))=0," ",IF(COUNTIF($B$5:B73,B73)&gt;1," ",SUMIF($B$5:$B$423,B73,$J$5:$J$423)))</f>
        <v xml:space="preserve"> </v>
      </c>
      <c r="P73" s="8" t="str">
        <f>IF(IF(COUNTIF($B$5:B73,B73)&gt;1," ",SUMIF($B$5:$B$423,B73,$L$5:$L$423))=0," ",IF(COUNTIF($B$5:B73,B73)&gt;1," ",SUMIF($B$5:$B$423,B73,$L$5:$L$423)))</f>
        <v xml:space="preserve"> </v>
      </c>
      <c r="Q73" s="8" t="str">
        <f t="shared" si="14"/>
        <v xml:space="preserve"> </v>
      </c>
      <c r="R73" s="8" t="str">
        <f t="shared" si="17"/>
        <v xml:space="preserve"> </v>
      </c>
      <c r="S73" s="48" t="str">
        <f t="shared" si="15"/>
        <v xml:space="preserve"> </v>
      </c>
      <c r="T73" s="14" t="str">
        <f>IF(F73&gt;0,IFERROR(VLOOKUP($F73,[1]Sheet1!$C$3:$L$3445,10,0),"EOSS"),"")</f>
        <v/>
      </c>
    </row>
    <row r="74" spans="1:20" x14ac:dyDescent="0.3">
      <c r="A74" s="32"/>
      <c r="B74" s="2"/>
      <c r="C74" s="5" t="str">
        <f t="shared" si="10"/>
        <v xml:space="preserve"> </v>
      </c>
      <c r="D74" s="2"/>
      <c r="E74" s="3"/>
      <c r="F74" s="4"/>
      <c r="G74" s="5"/>
      <c r="H74" s="5"/>
      <c r="I74" s="5" t="str">
        <f t="shared" si="11"/>
        <v xml:space="preserve"> </v>
      </c>
      <c r="J74" s="33"/>
      <c r="K74" s="5" t="str">
        <f t="shared" si="12"/>
        <v xml:space="preserve"> </v>
      </c>
      <c r="L74" s="3" t="str">
        <f t="shared" si="13"/>
        <v xml:space="preserve"> </v>
      </c>
      <c r="M74" s="3" t="str">
        <f>IF(E74&gt;0,IFERROR(VLOOKUP($E74,'[2]Table 1'!$B$2:$I$147,8,0),"0.00")," ")</f>
        <v xml:space="preserve"> </v>
      </c>
      <c r="N74" s="6" t="str">
        <f t="shared" si="16"/>
        <v xml:space="preserve"> </v>
      </c>
      <c r="O74" s="7" t="str">
        <f>IF(IF(COUNTIF($B$5:B74,B74)&gt;1," ",SUMIF($B$5:$B$423,B74,$J$5:$J$423))=0," ",IF(COUNTIF($B$5:B74,B74)&gt;1," ",SUMIF($B$5:$B$423,B74,$J$5:$J$423)))</f>
        <v xml:space="preserve"> </v>
      </c>
      <c r="P74" s="8" t="str">
        <f>IF(IF(COUNTIF($B$5:B74,B74)&gt;1," ",SUMIF($B$5:$B$423,B74,$L$5:$L$423))=0," ",IF(COUNTIF($B$5:B74,B74)&gt;1," ",SUMIF($B$5:$B$423,B74,$L$5:$L$423)))</f>
        <v xml:space="preserve"> </v>
      </c>
      <c r="Q74" s="8" t="str">
        <f t="shared" si="14"/>
        <v xml:space="preserve"> </v>
      </c>
      <c r="R74" s="8" t="str">
        <f t="shared" si="17"/>
        <v xml:space="preserve"> </v>
      </c>
      <c r="S74" s="48" t="str">
        <f t="shared" si="15"/>
        <v xml:space="preserve"> </v>
      </c>
      <c r="T74" s="14" t="str">
        <f>IF(F74&gt;0,IFERROR(VLOOKUP($F74,[1]Sheet1!$C$3:$L$3445,10,0),"EOSS"),"")</f>
        <v/>
      </c>
    </row>
    <row r="75" spans="1:20" x14ac:dyDescent="0.3">
      <c r="A75" s="32"/>
      <c r="B75" s="2"/>
      <c r="C75" s="5" t="str">
        <f t="shared" si="10"/>
        <v xml:space="preserve"> </v>
      </c>
      <c r="D75" s="2"/>
      <c r="E75" s="3"/>
      <c r="F75" s="4"/>
      <c r="G75" s="5"/>
      <c r="H75" s="5"/>
      <c r="I75" s="5" t="str">
        <f t="shared" si="11"/>
        <v xml:space="preserve"> </v>
      </c>
      <c r="J75" s="33"/>
      <c r="K75" s="5" t="str">
        <f t="shared" si="12"/>
        <v xml:space="preserve"> </v>
      </c>
      <c r="L75" s="3" t="str">
        <f t="shared" si="13"/>
        <v xml:space="preserve"> </v>
      </c>
      <c r="M75" s="3" t="str">
        <f>IF(E75&gt;0,IFERROR(VLOOKUP($E75,'[2]Table 1'!$B$2:$I$147,8,0),"0.00")," ")</f>
        <v xml:space="preserve"> </v>
      </c>
      <c r="N75" s="6" t="str">
        <f t="shared" si="16"/>
        <v xml:space="preserve"> </v>
      </c>
      <c r="O75" s="7" t="str">
        <f>IF(IF(COUNTIF($B$5:B75,B75)&gt;1," ",SUMIF($B$5:$B$423,B75,$J$5:$J$423))=0," ",IF(COUNTIF($B$5:B75,B75)&gt;1," ",SUMIF($B$5:$B$423,B75,$J$5:$J$423)))</f>
        <v xml:space="preserve"> </v>
      </c>
      <c r="P75" s="8" t="str">
        <f>IF(IF(COUNTIF($B$5:B75,B75)&gt;1," ",SUMIF($B$5:$B$423,B75,$L$5:$L$423))=0," ",IF(COUNTIF($B$5:B75,B75)&gt;1," ",SUMIF($B$5:$B$423,B75,$L$5:$L$423)))</f>
        <v xml:space="preserve"> </v>
      </c>
      <c r="Q75" s="8" t="str">
        <f t="shared" si="14"/>
        <v xml:space="preserve"> </v>
      </c>
      <c r="R75" s="8" t="str">
        <f t="shared" si="17"/>
        <v xml:space="preserve"> </v>
      </c>
      <c r="S75" s="48" t="str">
        <f t="shared" si="15"/>
        <v xml:space="preserve"> </v>
      </c>
      <c r="T75" s="14" t="str">
        <f>IF(F75&gt;0,IFERROR(VLOOKUP($F75,[1]Sheet1!$C$3:$L$3445,10,0),"EOSS"),"")</f>
        <v/>
      </c>
    </row>
    <row r="76" spans="1:20" x14ac:dyDescent="0.3">
      <c r="A76" s="32"/>
      <c r="B76" s="2"/>
      <c r="C76" s="5" t="str">
        <f t="shared" si="10"/>
        <v xml:space="preserve"> </v>
      </c>
      <c r="D76" s="2"/>
      <c r="E76" s="3"/>
      <c r="F76" s="4"/>
      <c r="G76" s="5"/>
      <c r="H76" s="5"/>
      <c r="I76" s="5" t="str">
        <f t="shared" si="11"/>
        <v xml:space="preserve"> </v>
      </c>
      <c r="J76" s="33"/>
      <c r="K76" s="5" t="str">
        <f t="shared" si="12"/>
        <v xml:space="preserve"> </v>
      </c>
      <c r="L76" s="3" t="str">
        <f t="shared" si="13"/>
        <v xml:space="preserve"> </v>
      </c>
      <c r="M76" s="3" t="str">
        <f>IF(E76&gt;0,IFERROR(VLOOKUP($E76,'[2]Table 1'!$B$2:$I$147,8,0),"0.00")," ")</f>
        <v xml:space="preserve"> </v>
      </c>
      <c r="N76" s="6" t="str">
        <f t="shared" si="16"/>
        <v xml:space="preserve"> </v>
      </c>
      <c r="O76" s="7" t="str">
        <f>IF(IF(COUNTIF($B$5:B76,B76)&gt;1," ",SUMIF($B$5:$B$423,B76,$J$5:$J$423))=0," ",IF(COUNTIF($B$5:B76,B76)&gt;1," ",SUMIF($B$5:$B$423,B76,$J$5:$J$423)))</f>
        <v xml:space="preserve"> </v>
      </c>
      <c r="P76" s="8" t="str">
        <f>IF(IF(COUNTIF($B$5:B76,B76)&gt;1," ",SUMIF($B$5:$B$423,B76,$L$5:$L$423))=0," ",IF(COUNTIF($B$5:B76,B76)&gt;1," ",SUMIF($B$5:$B$423,B76,$L$5:$L$423)))</f>
        <v xml:space="preserve"> </v>
      </c>
      <c r="Q76" s="8" t="str">
        <f t="shared" si="14"/>
        <v xml:space="preserve"> </v>
      </c>
      <c r="R76" s="8" t="str">
        <f t="shared" si="17"/>
        <v xml:space="preserve"> </v>
      </c>
      <c r="S76" s="48" t="str">
        <f t="shared" si="15"/>
        <v xml:space="preserve"> </v>
      </c>
      <c r="T76" s="14" t="str">
        <f>IF(F76&gt;0,IFERROR(VLOOKUP($F76,[1]Sheet1!$C$3:$L$3445,10,0),"EOSS"),"")</f>
        <v/>
      </c>
    </row>
    <row r="77" spans="1:20" x14ac:dyDescent="0.3">
      <c r="A77" s="32"/>
      <c r="B77" s="2"/>
      <c r="C77" s="5" t="str">
        <f t="shared" si="10"/>
        <v xml:space="preserve"> </v>
      </c>
      <c r="D77" s="2"/>
      <c r="E77" s="3"/>
      <c r="F77" s="4"/>
      <c r="G77" s="5"/>
      <c r="H77" s="5"/>
      <c r="I77" s="5" t="str">
        <f t="shared" si="11"/>
        <v xml:space="preserve"> </v>
      </c>
      <c r="J77" s="33"/>
      <c r="K77" s="5" t="str">
        <f t="shared" si="12"/>
        <v xml:space="preserve"> </v>
      </c>
      <c r="L77" s="3" t="str">
        <f t="shared" si="13"/>
        <v xml:space="preserve"> </v>
      </c>
      <c r="M77" s="3" t="str">
        <f>IF(E77&gt;0,IFERROR(VLOOKUP($E77,'[2]Table 1'!$B$2:$I$147,8,0),"0.00")," ")</f>
        <v xml:space="preserve"> </v>
      </c>
      <c r="N77" s="6" t="str">
        <f t="shared" si="16"/>
        <v xml:space="preserve"> </v>
      </c>
      <c r="O77" s="7" t="str">
        <f>IF(IF(COUNTIF($B$5:B77,B77)&gt;1," ",SUMIF($B$5:$B$423,B77,$J$5:$J$423))=0," ",IF(COUNTIF($B$5:B77,B77)&gt;1," ",SUMIF($B$5:$B$423,B77,$J$5:$J$423)))</f>
        <v xml:space="preserve"> </v>
      </c>
      <c r="P77" s="8" t="str">
        <f>IF(IF(COUNTIF($B$5:B77,B77)&gt;1," ",SUMIF($B$5:$B$423,B77,$L$5:$L$423))=0," ",IF(COUNTIF($B$5:B77,B77)&gt;1," ",SUMIF($B$5:$B$423,B77,$L$5:$L$423)))</f>
        <v xml:space="preserve"> </v>
      </c>
      <c r="Q77" s="8" t="str">
        <f t="shared" si="14"/>
        <v xml:space="preserve"> </v>
      </c>
      <c r="R77" s="8" t="str">
        <f t="shared" si="17"/>
        <v xml:space="preserve"> </v>
      </c>
      <c r="S77" s="48" t="str">
        <f t="shared" si="15"/>
        <v xml:space="preserve"> </v>
      </c>
      <c r="T77" s="14" t="str">
        <f>IF(F77&gt;0,IFERROR(VLOOKUP($F77,[1]Sheet1!$C$3:$L$3445,10,0),"EOSS"),"")</f>
        <v/>
      </c>
    </row>
    <row r="78" spans="1:20" x14ac:dyDescent="0.3">
      <c r="A78" s="32"/>
      <c r="B78" s="2"/>
      <c r="C78" s="5" t="str">
        <f t="shared" si="10"/>
        <v xml:space="preserve"> </v>
      </c>
      <c r="D78" s="2"/>
      <c r="E78" s="3"/>
      <c r="F78" s="4"/>
      <c r="G78" s="5"/>
      <c r="H78" s="5"/>
      <c r="I78" s="5" t="str">
        <f t="shared" si="11"/>
        <v xml:space="preserve"> </v>
      </c>
      <c r="J78" s="33"/>
      <c r="K78" s="5" t="str">
        <f t="shared" si="12"/>
        <v xml:space="preserve"> </v>
      </c>
      <c r="L78" s="3" t="str">
        <f t="shared" si="13"/>
        <v xml:space="preserve"> </v>
      </c>
      <c r="M78" s="3" t="str">
        <f>IF(E78&gt;0,IFERROR(VLOOKUP($E78,'[2]Table 1'!$B$2:$I$147,8,0),"0.00")," ")</f>
        <v xml:space="preserve"> </v>
      </c>
      <c r="N78" s="6" t="str">
        <f t="shared" si="16"/>
        <v xml:space="preserve"> </v>
      </c>
      <c r="O78" s="7" t="str">
        <f>IF(IF(COUNTIF($B$5:B78,B78)&gt;1," ",SUMIF($B$5:$B$423,B78,$J$5:$J$423))=0," ",IF(COUNTIF($B$5:B78,B78)&gt;1," ",SUMIF($B$5:$B$423,B78,$J$5:$J$423)))</f>
        <v xml:space="preserve"> </v>
      </c>
      <c r="P78" s="8" t="str">
        <f>IF(IF(COUNTIF($B$5:B78,B78)&gt;1," ",SUMIF($B$5:$B$423,B78,$L$5:$L$423))=0," ",IF(COUNTIF($B$5:B78,B78)&gt;1," ",SUMIF($B$5:$B$423,B78,$L$5:$L$423)))</f>
        <v xml:space="preserve"> </v>
      </c>
      <c r="Q78" s="8" t="str">
        <f t="shared" si="14"/>
        <v xml:space="preserve"> </v>
      </c>
      <c r="R78" s="8" t="str">
        <f t="shared" si="17"/>
        <v xml:space="preserve"> </v>
      </c>
      <c r="S78" s="48" t="str">
        <f t="shared" si="15"/>
        <v xml:space="preserve"> </v>
      </c>
      <c r="T78" s="14" t="str">
        <f>IF(F78&gt;0,IFERROR(VLOOKUP($F78,[1]Sheet1!$C$3:$L$3445,10,0),"EOSS"),"")</f>
        <v/>
      </c>
    </row>
    <row r="79" spans="1:20" x14ac:dyDescent="0.3">
      <c r="A79" s="32"/>
      <c r="B79" s="2"/>
      <c r="C79" s="5" t="str">
        <f t="shared" si="10"/>
        <v xml:space="preserve"> </v>
      </c>
      <c r="D79" s="2"/>
      <c r="E79" s="3"/>
      <c r="F79" s="4"/>
      <c r="G79" s="5"/>
      <c r="H79" s="5"/>
      <c r="I79" s="5" t="str">
        <f t="shared" si="11"/>
        <v xml:space="preserve"> </v>
      </c>
      <c r="J79" s="33"/>
      <c r="K79" s="5" t="str">
        <f t="shared" si="12"/>
        <v xml:space="preserve"> </v>
      </c>
      <c r="L79" s="3" t="str">
        <f t="shared" si="13"/>
        <v xml:space="preserve"> </v>
      </c>
      <c r="M79" s="3" t="str">
        <f>IF(E79&gt;0,IFERROR(VLOOKUP($E79,'[2]Table 1'!$B$2:$I$147,8,0),"0.00")," ")</f>
        <v xml:space="preserve"> </v>
      </c>
      <c r="N79" s="6" t="str">
        <f t="shared" si="16"/>
        <v xml:space="preserve"> </v>
      </c>
      <c r="O79" s="7" t="str">
        <f>IF(IF(COUNTIF($B$5:B79,B79)&gt;1," ",SUMIF($B$5:$B$423,B79,$J$5:$J$423))=0," ",IF(COUNTIF($B$5:B79,B79)&gt;1," ",SUMIF($B$5:$B$423,B79,$J$5:$J$423)))</f>
        <v xml:space="preserve"> </v>
      </c>
      <c r="P79" s="8" t="str">
        <f>IF(IF(COUNTIF($B$5:B79,B79)&gt;1," ",SUMIF($B$5:$B$423,B79,$L$5:$L$423))=0," ",IF(COUNTIF($B$5:B79,B79)&gt;1," ",SUMIF($B$5:$B$423,B79,$L$5:$L$423)))</f>
        <v xml:space="preserve"> </v>
      </c>
      <c r="Q79" s="8" t="str">
        <f t="shared" si="14"/>
        <v xml:space="preserve"> </v>
      </c>
      <c r="R79" s="8" t="str">
        <f t="shared" si="17"/>
        <v xml:space="preserve"> </v>
      </c>
      <c r="S79" s="48" t="str">
        <f t="shared" si="15"/>
        <v xml:space="preserve"> </v>
      </c>
      <c r="T79" s="14" t="str">
        <f>IF(F79&gt;0,IFERROR(VLOOKUP($F79,[1]Sheet1!$C$3:$L$3445,10,0),"EOSS"),"")</f>
        <v/>
      </c>
    </row>
    <row r="80" spans="1:20" x14ac:dyDescent="0.3">
      <c r="A80" s="32"/>
      <c r="B80" s="2"/>
      <c r="C80" s="5" t="str">
        <f t="shared" si="10"/>
        <v xml:space="preserve"> </v>
      </c>
      <c r="D80" s="2"/>
      <c r="E80" s="3"/>
      <c r="F80" s="4"/>
      <c r="G80" s="5"/>
      <c r="H80" s="5"/>
      <c r="I80" s="5" t="str">
        <f t="shared" si="11"/>
        <v xml:space="preserve"> </v>
      </c>
      <c r="J80" s="33"/>
      <c r="K80" s="5" t="str">
        <f t="shared" si="12"/>
        <v xml:space="preserve"> </v>
      </c>
      <c r="L80" s="3" t="str">
        <f t="shared" si="13"/>
        <v xml:space="preserve"> </v>
      </c>
      <c r="M80" s="3" t="str">
        <f>IF(E80&gt;0,IFERROR(VLOOKUP($E80,'[2]Table 1'!$B$2:$I$147,8,0),"0.00")," ")</f>
        <v xml:space="preserve"> </v>
      </c>
      <c r="N80" s="6" t="str">
        <f t="shared" si="16"/>
        <v xml:space="preserve"> </v>
      </c>
      <c r="O80" s="7" t="str">
        <f>IF(IF(COUNTIF($B$5:B80,B80)&gt;1," ",SUMIF($B$5:$B$423,B80,$J$5:$J$423))=0," ",IF(COUNTIF($B$5:B80,B80)&gt;1," ",SUMIF($B$5:$B$423,B80,$J$5:$J$423)))</f>
        <v xml:space="preserve"> </v>
      </c>
      <c r="P80" s="8" t="str">
        <f>IF(IF(COUNTIF($B$5:B80,B80)&gt;1," ",SUMIF($B$5:$B$423,B80,$L$5:$L$423))=0," ",IF(COUNTIF($B$5:B80,B80)&gt;1," ",SUMIF($B$5:$B$423,B80,$L$5:$L$423)))</f>
        <v xml:space="preserve"> </v>
      </c>
      <c r="Q80" s="8" t="str">
        <f t="shared" si="14"/>
        <v xml:space="preserve"> </v>
      </c>
      <c r="R80" s="8" t="str">
        <f t="shared" si="17"/>
        <v xml:space="preserve"> </v>
      </c>
      <c r="S80" s="48" t="str">
        <f t="shared" si="15"/>
        <v xml:space="preserve"> </v>
      </c>
      <c r="T80" s="14" t="str">
        <f>IF(F80&gt;0,IFERROR(VLOOKUP($F80,[1]Sheet1!$C$3:$L$3445,10,0),"EOSS"),"")</f>
        <v/>
      </c>
    </row>
    <row r="81" spans="1:20" x14ac:dyDescent="0.3">
      <c r="A81" s="32"/>
      <c r="B81" s="2"/>
      <c r="C81" s="5" t="str">
        <f t="shared" si="10"/>
        <v xml:space="preserve"> </v>
      </c>
      <c r="D81" s="2"/>
      <c r="E81" s="3"/>
      <c r="F81" s="4"/>
      <c r="G81" s="5"/>
      <c r="H81" s="5"/>
      <c r="I81" s="5" t="str">
        <f t="shared" si="11"/>
        <v xml:space="preserve"> </v>
      </c>
      <c r="J81" s="33"/>
      <c r="K81" s="5" t="str">
        <f t="shared" si="12"/>
        <v xml:space="preserve"> </v>
      </c>
      <c r="L81" s="3" t="str">
        <f t="shared" si="13"/>
        <v xml:space="preserve"> </v>
      </c>
      <c r="M81" s="3" t="str">
        <f>IF(E81&gt;0,IFERROR(VLOOKUP($E81,'[2]Table 1'!$B$2:$I$147,8,0),"0.00")," ")</f>
        <v xml:space="preserve"> </v>
      </c>
      <c r="N81" s="6" t="str">
        <f t="shared" si="16"/>
        <v xml:space="preserve"> </v>
      </c>
      <c r="O81" s="7" t="str">
        <f>IF(IF(COUNTIF($B$5:B81,B81)&gt;1," ",SUMIF($B$5:$B$423,B81,$J$5:$J$423))=0," ",IF(COUNTIF($B$5:B81,B81)&gt;1," ",SUMIF($B$5:$B$423,B81,$J$5:$J$423)))</f>
        <v xml:space="preserve"> </v>
      </c>
      <c r="P81" s="8" t="str">
        <f>IF(IF(COUNTIF($B$5:B81,B81)&gt;1," ",SUMIF($B$5:$B$423,B81,$L$5:$L$423))=0," ",IF(COUNTIF($B$5:B81,B81)&gt;1," ",SUMIF($B$5:$B$423,B81,$L$5:$L$423)))</f>
        <v xml:space="preserve"> </v>
      </c>
      <c r="Q81" s="8" t="str">
        <f t="shared" si="14"/>
        <v xml:space="preserve"> </v>
      </c>
      <c r="R81" s="8" t="str">
        <f t="shared" si="17"/>
        <v xml:space="preserve"> </v>
      </c>
      <c r="S81" s="48" t="str">
        <f t="shared" si="15"/>
        <v xml:space="preserve"> </v>
      </c>
      <c r="T81" s="14" t="str">
        <f>IF(F81&gt;0,IFERROR(VLOOKUP($F81,[1]Sheet1!$C$3:$L$3445,10,0),"EOSS"),"")</f>
        <v/>
      </c>
    </row>
    <row r="82" spans="1:20" x14ac:dyDescent="0.3">
      <c r="A82" s="32"/>
      <c r="B82" s="2"/>
      <c r="C82" s="5" t="str">
        <f t="shared" si="10"/>
        <v xml:space="preserve"> </v>
      </c>
      <c r="D82" s="2"/>
      <c r="E82" s="3"/>
      <c r="F82" s="4"/>
      <c r="G82" s="5"/>
      <c r="H82" s="5"/>
      <c r="I82" s="5" t="str">
        <f t="shared" si="11"/>
        <v xml:space="preserve"> </v>
      </c>
      <c r="J82" s="33"/>
      <c r="K82" s="5" t="str">
        <f t="shared" si="12"/>
        <v xml:space="preserve"> </v>
      </c>
      <c r="L82" s="3" t="str">
        <f t="shared" si="13"/>
        <v xml:space="preserve"> </v>
      </c>
      <c r="M82" s="3" t="str">
        <f>IF(E82&gt;0,IFERROR(VLOOKUP($E82,'[2]Table 1'!$B$2:$I$147,8,0),"0.00")," ")</f>
        <v xml:space="preserve"> </v>
      </c>
      <c r="N82" s="6" t="str">
        <f t="shared" si="16"/>
        <v xml:space="preserve"> </v>
      </c>
      <c r="O82" s="7" t="str">
        <f>IF(IF(COUNTIF($B$5:B82,B82)&gt;1," ",SUMIF($B$5:$B$423,B82,$J$5:$J$423))=0," ",IF(COUNTIF($B$5:B82,B82)&gt;1," ",SUMIF($B$5:$B$423,B82,$J$5:$J$423)))</f>
        <v xml:space="preserve"> </v>
      </c>
      <c r="P82" s="8" t="str">
        <f>IF(IF(COUNTIF($B$5:B82,B82)&gt;1," ",SUMIF($B$5:$B$423,B82,$L$5:$L$423))=0," ",IF(COUNTIF($B$5:B82,B82)&gt;1," ",SUMIF($B$5:$B$423,B82,$L$5:$L$423)))</f>
        <v xml:space="preserve"> </v>
      </c>
      <c r="Q82" s="8" t="str">
        <f t="shared" si="14"/>
        <v xml:space="preserve"> </v>
      </c>
      <c r="R82" s="8" t="str">
        <f t="shared" si="17"/>
        <v xml:space="preserve"> </v>
      </c>
      <c r="S82" s="48" t="str">
        <f t="shared" si="15"/>
        <v xml:space="preserve"> </v>
      </c>
      <c r="T82" s="14" t="str">
        <f>IF(F82&gt;0,IFERROR(VLOOKUP($F82,[1]Sheet1!$C$3:$L$3445,10,0),"EOSS"),"")</f>
        <v/>
      </c>
    </row>
    <row r="83" spans="1:20" x14ac:dyDescent="0.3">
      <c r="A83" s="32"/>
      <c r="B83" s="2"/>
      <c r="C83" s="5" t="str">
        <f t="shared" si="10"/>
        <v xml:space="preserve"> </v>
      </c>
      <c r="D83" s="2"/>
      <c r="E83" s="3"/>
      <c r="F83" s="4"/>
      <c r="G83" s="5"/>
      <c r="H83" s="5"/>
      <c r="I83" s="5" t="str">
        <f t="shared" si="11"/>
        <v xml:space="preserve"> </v>
      </c>
      <c r="J83" s="33"/>
      <c r="K83" s="5" t="str">
        <f t="shared" si="12"/>
        <v xml:space="preserve"> </v>
      </c>
      <c r="L83" s="3" t="str">
        <f t="shared" si="13"/>
        <v xml:space="preserve"> </v>
      </c>
      <c r="M83" s="3" t="str">
        <f>IF(E83&gt;0,IFERROR(VLOOKUP($E83,'[2]Table 1'!$B$2:$I$147,8,0),"0.00")," ")</f>
        <v xml:space="preserve"> </v>
      </c>
      <c r="N83" s="6" t="str">
        <f t="shared" si="16"/>
        <v xml:space="preserve"> </v>
      </c>
      <c r="O83" s="7" t="str">
        <f>IF(IF(COUNTIF($B$5:B83,B83)&gt;1," ",SUMIF($B$5:$B$423,B83,$J$5:$J$423))=0," ",IF(COUNTIF($B$5:B83,B83)&gt;1," ",SUMIF($B$5:$B$423,B83,$J$5:$J$423)))</f>
        <v xml:space="preserve"> </v>
      </c>
      <c r="P83" s="8" t="str">
        <f>IF(IF(COUNTIF($B$5:B83,B83)&gt;1," ",SUMIF($B$5:$B$423,B83,$L$5:$L$423))=0," ",IF(COUNTIF($B$5:B83,B83)&gt;1," ",SUMIF($B$5:$B$423,B83,$L$5:$L$423)))</f>
        <v xml:space="preserve"> </v>
      </c>
      <c r="Q83" s="8" t="str">
        <f t="shared" si="14"/>
        <v xml:space="preserve"> </v>
      </c>
      <c r="R83" s="8" t="str">
        <f t="shared" si="17"/>
        <v xml:space="preserve"> </v>
      </c>
      <c r="S83" s="48" t="str">
        <f t="shared" si="15"/>
        <v xml:space="preserve"> </v>
      </c>
      <c r="T83" s="14" t="str">
        <f>IF(F83&gt;0,IFERROR(VLOOKUP($F83,[1]Sheet1!$C$3:$L$3445,10,0),"EOSS"),"")</f>
        <v/>
      </c>
    </row>
    <row r="84" spans="1:20" x14ac:dyDescent="0.3">
      <c r="A84" s="32"/>
      <c r="B84" s="2"/>
      <c r="C84" s="5" t="str">
        <f t="shared" si="10"/>
        <v xml:space="preserve"> </v>
      </c>
      <c r="D84" s="2"/>
      <c r="E84" s="3"/>
      <c r="F84" s="4"/>
      <c r="G84" s="5"/>
      <c r="H84" s="5"/>
      <c r="I84" s="5" t="str">
        <f t="shared" si="11"/>
        <v xml:space="preserve"> </v>
      </c>
      <c r="J84" s="33"/>
      <c r="K84" s="5" t="str">
        <f t="shared" si="12"/>
        <v xml:space="preserve"> </v>
      </c>
      <c r="L84" s="3" t="str">
        <f t="shared" si="13"/>
        <v xml:space="preserve"> </v>
      </c>
      <c r="M84" s="3" t="str">
        <f>IF(E84&gt;0,IFERROR(VLOOKUP($E84,'[2]Table 1'!$B$2:$I$147,8,0),"0.00")," ")</f>
        <v xml:space="preserve"> </v>
      </c>
      <c r="N84" s="6" t="str">
        <f t="shared" si="16"/>
        <v xml:space="preserve"> </v>
      </c>
      <c r="O84" s="7" t="str">
        <f>IF(IF(COUNTIF($B$5:B84,B84)&gt;1," ",SUMIF($B$5:$B$423,B84,$J$5:$J$423))=0," ",IF(COUNTIF($B$5:B84,B84)&gt;1," ",SUMIF($B$5:$B$423,B84,$J$5:$J$423)))</f>
        <v xml:space="preserve"> </v>
      </c>
      <c r="P84" s="8" t="str">
        <f>IF(IF(COUNTIF($B$5:B84,B84)&gt;1," ",SUMIF($B$5:$B$423,B84,$L$5:$L$423))=0," ",IF(COUNTIF($B$5:B84,B84)&gt;1," ",SUMIF($B$5:$B$423,B84,$L$5:$L$423)))</f>
        <v xml:space="preserve"> </v>
      </c>
      <c r="Q84" s="8" t="str">
        <f t="shared" si="14"/>
        <v xml:space="preserve"> </v>
      </c>
      <c r="R84" s="8" t="str">
        <f t="shared" si="17"/>
        <v xml:space="preserve"> </v>
      </c>
      <c r="S84" s="48" t="str">
        <f t="shared" si="15"/>
        <v xml:space="preserve"> </v>
      </c>
      <c r="T84" s="14" t="str">
        <f>IF(F84&gt;0,IFERROR(VLOOKUP($F84,[1]Sheet1!$C$3:$L$3445,10,0),"EOSS"),"")</f>
        <v/>
      </c>
    </row>
    <row r="85" spans="1:20" x14ac:dyDescent="0.3">
      <c r="A85" s="32"/>
      <c r="B85" s="2"/>
      <c r="C85" s="5" t="str">
        <f t="shared" si="10"/>
        <v xml:space="preserve"> </v>
      </c>
      <c r="D85" s="2"/>
      <c r="E85" s="3"/>
      <c r="F85" s="4"/>
      <c r="G85" s="5"/>
      <c r="H85" s="5"/>
      <c r="I85" s="5" t="str">
        <f t="shared" si="11"/>
        <v xml:space="preserve"> </v>
      </c>
      <c r="J85" s="33"/>
      <c r="K85" s="5" t="str">
        <f t="shared" si="12"/>
        <v xml:space="preserve"> </v>
      </c>
      <c r="L85" s="3" t="str">
        <f t="shared" si="13"/>
        <v xml:space="preserve"> </v>
      </c>
      <c r="M85" s="3" t="str">
        <f>IF(E85&gt;0,IFERROR(VLOOKUP($E85,'[2]Table 1'!$B$2:$I$147,8,0),"0.00")," ")</f>
        <v xml:space="preserve"> </v>
      </c>
      <c r="N85" s="6" t="str">
        <f t="shared" si="16"/>
        <v xml:space="preserve"> </v>
      </c>
      <c r="O85" s="7" t="str">
        <f>IF(IF(COUNTIF($B$5:B85,B85)&gt;1," ",SUMIF($B$5:$B$423,B85,$J$5:$J$423))=0," ",IF(COUNTIF($B$5:B85,B85)&gt;1," ",SUMIF($B$5:$B$423,B85,$J$5:$J$423)))</f>
        <v xml:space="preserve"> </v>
      </c>
      <c r="P85" s="8" t="str">
        <f>IF(IF(COUNTIF($B$5:B85,B85)&gt;1," ",SUMIF($B$5:$B$423,B85,$L$5:$L$423))=0," ",IF(COUNTIF($B$5:B85,B85)&gt;1," ",SUMIF($B$5:$B$423,B85,$L$5:$L$423)))</f>
        <v xml:space="preserve"> </v>
      </c>
      <c r="Q85" s="8" t="str">
        <f t="shared" si="14"/>
        <v xml:space="preserve"> </v>
      </c>
      <c r="R85" s="8" t="str">
        <f t="shared" si="17"/>
        <v xml:space="preserve"> </v>
      </c>
      <c r="S85" s="48" t="str">
        <f t="shared" si="15"/>
        <v xml:space="preserve"> </v>
      </c>
      <c r="T85" s="14" t="str">
        <f>IF(F85&gt;0,IFERROR(VLOOKUP($F85,[1]Sheet1!$C$3:$L$3445,10,0),"EOSS"),"")</f>
        <v/>
      </c>
    </row>
    <row r="86" spans="1:20" x14ac:dyDescent="0.3">
      <c r="A86" s="32"/>
      <c r="B86" s="2"/>
      <c r="C86" s="5" t="str">
        <f t="shared" si="10"/>
        <v xml:space="preserve"> </v>
      </c>
      <c r="D86" s="2"/>
      <c r="E86" s="3"/>
      <c r="F86" s="4"/>
      <c r="G86" s="5"/>
      <c r="H86" s="5"/>
      <c r="I86" s="5" t="str">
        <f t="shared" si="11"/>
        <v xml:space="preserve"> </v>
      </c>
      <c r="J86" s="33"/>
      <c r="K86" s="5" t="str">
        <f t="shared" si="12"/>
        <v xml:space="preserve"> </v>
      </c>
      <c r="L86" s="3" t="str">
        <f t="shared" si="13"/>
        <v xml:space="preserve"> </v>
      </c>
      <c r="M86" s="3" t="str">
        <f>IF(E86&gt;0,IFERROR(VLOOKUP($E86,'[2]Table 1'!$B$2:$I$147,8,0),"0.00")," ")</f>
        <v xml:space="preserve"> </v>
      </c>
      <c r="N86" s="6" t="str">
        <f t="shared" si="16"/>
        <v xml:space="preserve"> </v>
      </c>
      <c r="O86" s="7" t="str">
        <f>IF(IF(COUNTIF($B$5:B86,B86)&gt;1," ",SUMIF($B$5:$B$423,B86,$J$5:$J$423))=0," ",IF(COUNTIF($B$5:B86,B86)&gt;1," ",SUMIF($B$5:$B$423,B86,$J$5:$J$423)))</f>
        <v xml:space="preserve"> </v>
      </c>
      <c r="P86" s="8" t="str">
        <f>IF(IF(COUNTIF($B$5:B86,B86)&gt;1," ",SUMIF($B$5:$B$423,B86,$L$5:$L$423))=0," ",IF(COUNTIF($B$5:B86,B86)&gt;1," ",SUMIF($B$5:$B$423,B86,$L$5:$L$423)))</f>
        <v xml:space="preserve"> </v>
      </c>
      <c r="Q86" s="8" t="str">
        <f t="shared" si="14"/>
        <v xml:space="preserve"> </v>
      </c>
      <c r="R86" s="8" t="str">
        <f t="shared" si="17"/>
        <v xml:space="preserve"> </v>
      </c>
      <c r="S86" s="48" t="str">
        <f t="shared" si="15"/>
        <v xml:space="preserve"> </v>
      </c>
      <c r="T86" s="14" t="str">
        <f>IF(F86&gt;0,IFERROR(VLOOKUP($F86,[1]Sheet1!$C$3:$L$3445,10,0),"EOSS"),"")</f>
        <v/>
      </c>
    </row>
    <row r="87" spans="1:20" x14ac:dyDescent="0.3">
      <c r="A87" s="32"/>
      <c r="B87" s="2"/>
      <c r="C87" s="5" t="str">
        <f t="shared" si="10"/>
        <v xml:space="preserve"> </v>
      </c>
      <c r="D87" s="2"/>
      <c r="E87" s="3"/>
      <c r="F87" s="4"/>
      <c r="G87" s="5"/>
      <c r="H87" s="5"/>
      <c r="I87" s="5" t="str">
        <f t="shared" si="11"/>
        <v xml:space="preserve"> </v>
      </c>
      <c r="J87" s="33"/>
      <c r="K87" s="5" t="str">
        <f t="shared" si="12"/>
        <v xml:space="preserve"> </v>
      </c>
      <c r="L87" s="3" t="str">
        <f t="shared" si="13"/>
        <v xml:space="preserve"> </v>
      </c>
      <c r="M87" s="3" t="str">
        <f>IF(E87&gt;0,IFERROR(VLOOKUP($E87,'[2]Table 1'!$B$2:$I$147,8,0),"0.00")," ")</f>
        <v xml:space="preserve"> </v>
      </c>
      <c r="N87" s="6" t="str">
        <f t="shared" si="16"/>
        <v xml:space="preserve"> </v>
      </c>
      <c r="O87" s="7" t="str">
        <f>IF(IF(COUNTIF($B$5:B87,B87)&gt;1," ",SUMIF($B$5:$B$423,B87,$J$5:$J$423))=0," ",IF(COUNTIF($B$5:B87,B87)&gt;1," ",SUMIF($B$5:$B$423,B87,$J$5:$J$423)))</f>
        <v xml:space="preserve"> </v>
      </c>
      <c r="P87" s="8" t="str">
        <f>IF(IF(COUNTIF($B$5:B87,B87)&gt;1," ",SUMIF($B$5:$B$423,B87,$L$5:$L$423))=0," ",IF(COUNTIF($B$5:B87,B87)&gt;1," ",SUMIF($B$5:$B$423,B87,$L$5:$L$423)))</f>
        <v xml:space="preserve"> </v>
      </c>
      <c r="Q87" s="8" t="str">
        <f t="shared" si="14"/>
        <v xml:space="preserve"> </v>
      </c>
      <c r="R87" s="8" t="str">
        <f t="shared" si="17"/>
        <v xml:space="preserve"> </v>
      </c>
      <c r="S87" s="48" t="str">
        <f t="shared" si="15"/>
        <v xml:space="preserve"> </v>
      </c>
      <c r="T87" s="14" t="str">
        <f>IF(F87&gt;0,IFERROR(VLOOKUP($F87,[1]Sheet1!$C$3:$L$3445,10,0),"EOSS"),"")</f>
        <v/>
      </c>
    </row>
    <row r="88" spans="1:20" x14ac:dyDescent="0.3">
      <c r="A88" s="32"/>
      <c r="B88" s="2"/>
      <c r="C88" s="5" t="str">
        <f t="shared" si="10"/>
        <v xml:space="preserve"> </v>
      </c>
      <c r="D88" s="2"/>
      <c r="E88" s="3"/>
      <c r="F88" s="4"/>
      <c r="G88" s="5"/>
      <c r="H88" s="5"/>
      <c r="I88" s="5" t="str">
        <f t="shared" si="11"/>
        <v xml:space="preserve"> </v>
      </c>
      <c r="J88" s="33"/>
      <c r="K88" s="5" t="str">
        <f t="shared" si="12"/>
        <v xml:space="preserve"> </v>
      </c>
      <c r="L88" s="3" t="str">
        <f t="shared" si="13"/>
        <v xml:space="preserve"> </v>
      </c>
      <c r="M88" s="3" t="str">
        <f>IF(E88&gt;0,IFERROR(VLOOKUP($E88,'[2]Table 1'!$B$2:$I$147,8,0),"0.00")," ")</f>
        <v xml:space="preserve"> </v>
      </c>
      <c r="N88" s="6" t="str">
        <f t="shared" si="16"/>
        <v xml:space="preserve"> </v>
      </c>
      <c r="O88" s="7" t="str">
        <f>IF(IF(COUNTIF($B$5:B88,B88)&gt;1," ",SUMIF($B$5:$B$423,B88,$J$5:$J$423))=0," ",IF(COUNTIF($B$5:B88,B88)&gt;1," ",SUMIF($B$5:$B$423,B88,$J$5:$J$423)))</f>
        <v xml:space="preserve"> </v>
      </c>
      <c r="P88" s="8" t="str">
        <f>IF(IF(COUNTIF($B$5:B88,B88)&gt;1," ",SUMIF($B$5:$B$423,B88,$L$5:$L$423))=0," ",IF(COUNTIF($B$5:B88,B88)&gt;1," ",SUMIF($B$5:$B$423,B88,$L$5:$L$423)))</f>
        <v xml:space="preserve"> </v>
      </c>
      <c r="Q88" s="8" t="str">
        <f t="shared" si="14"/>
        <v xml:space="preserve"> </v>
      </c>
      <c r="R88" s="8" t="str">
        <f t="shared" si="17"/>
        <v xml:space="preserve"> </v>
      </c>
      <c r="S88" s="48" t="str">
        <f t="shared" si="15"/>
        <v xml:space="preserve"> </v>
      </c>
      <c r="T88" s="14" t="str">
        <f>IF(F88&gt;0,IFERROR(VLOOKUP($F88,[1]Sheet1!$C$3:$L$3445,10,0),"EOSS"),"")</f>
        <v/>
      </c>
    </row>
    <row r="89" spans="1:20" x14ac:dyDescent="0.3">
      <c r="A89" s="32"/>
      <c r="B89" s="2"/>
      <c r="C89" s="5" t="str">
        <f t="shared" si="10"/>
        <v xml:space="preserve"> </v>
      </c>
      <c r="D89" s="2"/>
      <c r="E89" s="3"/>
      <c r="F89" s="4"/>
      <c r="G89" s="5"/>
      <c r="H89" s="5"/>
      <c r="I89" s="5" t="str">
        <f t="shared" si="11"/>
        <v xml:space="preserve"> </v>
      </c>
      <c r="J89" s="33"/>
      <c r="K89" s="5" t="str">
        <f t="shared" si="12"/>
        <v xml:space="preserve"> </v>
      </c>
      <c r="L89" s="3" t="str">
        <f t="shared" si="13"/>
        <v xml:space="preserve"> </v>
      </c>
      <c r="M89" s="3" t="str">
        <f>IF(E89&gt;0,IFERROR(VLOOKUP($E89,'[2]Table 1'!$B$2:$I$147,8,0),"0.00")," ")</f>
        <v xml:space="preserve"> </v>
      </c>
      <c r="N89" s="6" t="str">
        <f t="shared" si="16"/>
        <v xml:space="preserve"> </v>
      </c>
      <c r="O89" s="7" t="str">
        <f>IF(IF(COUNTIF($B$5:B89,B89)&gt;1," ",SUMIF($B$5:$B$423,B89,$J$5:$J$423))=0," ",IF(COUNTIF($B$5:B89,B89)&gt;1," ",SUMIF($B$5:$B$423,B89,$J$5:$J$423)))</f>
        <v xml:space="preserve"> </v>
      </c>
      <c r="P89" s="8" t="str">
        <f>IF(IF(COUNTIF($B$5:B89,B89)&gt;1," ",SUMIF($B$5:$B$423,B89,$L$5:$L$423))=0," ",IF(COUNTIF($B$5:B89,B89)&gt;1," ",SUMIF($B$5:$B$423,B89,$L$5:$L$423)))</f>
        <v xml:space="preserve"> </v>
      </c>
      <c r="Q89" s="8" t="str">
        <f t="shared" si="14"/>
        <v xml:space="preserve"> </v>
      </c>
      <c r="R89" s="8" t="str">
        <f t="shared" si="17"/>
        <v xml:space="preserve"> </v>
      </c>
      <c r="S89" s="48" t="str">
        <f t="shared" si="15"/>
        <v xml:space="preserve"> </v>
      </c>
      <c r="T89" s="14" t="str">
        <f>IF(F89&gt;0,IFERROR(VLOOKUP($F89,[1]Sheet1!$C$3:$L$3445,10,0),"EOSS"),"")</f>
        <v/>
      </c>
    </row>
    <row r="90" spans="1:20" x14ac:dyDescent="0.3">
      <c r="A90" s="32"/>
      <c r="B90" s="2"/>
      <c r="C90" s="5" t="str">
        <f t="shared" si="10"/>
        <v xml:space="preserve"> </v>
      </c>
      <c r="D90" s="2"/>
      <c r="E90" s="3"/>
      <c r="F90" s="4"/>
      <c r="G90" s="5"/>
      <c r="H90" s="5"/>
      <c r="I90" s="5" t="str">
        <f t="shared" si="11"/>
        <v xml:space="preserve"> </v>
      </c>
      <c r="J90" s="33"/>
      <c r="K90" s="5" t="str">
        <f t="shared" si="12"/>
        <v xml:space="preserve"> </v>
      </c>
      <c r="L90" s="3" t="str">
        <f t="shared" si="13"/>
        <v xml:space="preserve"> </v>
      </c>
      <c r="M90" s="3" t="str">
        <f>IF(E90&gt;0,IFERROR(VLOOKUP($E90,'[2]Table 1'!$B$2:$I$147,8,0),"0.00")," ")</f>
        <v xml:space="preserve"> </v>
      </c>
      <c r="N90" s="6" t="str">
        <f t="shared" si="16"/>
        <v xml:space="preserve"> </v>
      </c>
      <c r="O90" s="7" t="str">
        <f>IF(IF(COUNTIF($B$5:B90,B90)&gt;1," ",SUMIF($B$5:$B$423,B90,$J$5:$J$423))=0," ",IF(COUNTIF($B$5:B90,B90)&gt;1," ",SUMIF($B$5:$B$423,B90,$J$5:$J$423)))</f>
        <v xml:space="preserve"> </v>
      </c>
      <c r="P90" s="8" t="str">
        <f>IF(IF(COUNTIF($B$5:B90,B90)&gt;1," ",SUMIF($B$5:$B$423,B90,$L$5:$L$423))=0," ",IF(COUNTIF($B$5:B90,B90)&gt;1," ",SUMIF($B$5:$B$423,B90,$L$5:$L$423)))</f>
        <v xml:space="preserve"> </v>
      </c>
      <c r="Q90" s="8" t="str">
        <f t="shared" si="14"/>
        <v xml:space="preserve"> </v>
      </c>
      <c r="R90" s="8" t="str">
        <f t="shared" si="17"/>
        <v xml:space="preserve"> </v>
      </c>
      <c r="S90" s="48" t="str">
        <f t="shared" si="15"/>
        <v xml:space="preserve"> </v>
      </c>
      <c r="T90" s="14" t="str">
        <f>IF(F90&gt;0,IFERROR(VLOOKUP($F90,[1]Sheet1!$C$3:$L$3445,10,0),"EOSS"),"")</f>
        <v/>
      </c>
    </row>
    <row r="91" spans="1:20" x14ac:dyDescent="0.3">
      <c r="A91" s="32"/>
      <c r="B91" s="2"/>
      <c r="C91" s="5" t="str">
        <f t="shared" si="10"/>
        <v xml:space="preserve"> </v>
      </c>
      <c r="D91" s="2"/>
      <c r="E91" s="3"/>
      <c r="F91" s="4"/>
      <c r="G91" s="5"/>
      <c r="H91" s="5"/>
      <c r="I91" s="5" t="str">
        <f t="shared" si="11"/>
        <v xml:space="preserve"> </v>
      </c>
      <c r="J91" s="33"/>
      <c r="K91" s="5" t="str">
        <f t="shared" si="12"/>
        <v xml:space="preserve"> </v>
      </c>
      <c r="L91" s="3" t="str">
        <f t="shared" si="13"/>
        <v xml:space="preserve"> </v>
      </c>
      <c r="M91" s="3" t="str">
        <f>IF(E91&gt;0,IFERROR(VLOOKUP($E91,'[2]Table 1'!$B$2:$I$147,8,0),"0.00")," ")</f>
        <v xml:space="preserve"> </v>
      </c>
      <c r="N91" s="6" t="str">
        <f t="shared" si="16"/>
        <v xml:space="preserve"> </v>
      </c>
      <c r="O91" s="7" t="str">
        <f>IF(IF(COUNTIF($B$5:B91,B91)&gt;1," ",SUMIF($B$5:$B$423,B91,$J$5:$J$423))=0," ",IF(COUNTIF($B$5:B91,B91)&gt;1," ",SUMIF($B$5:$B$423,B91,$J$5:$J$423)))</f>
        <v xml:space="preserve"> </v>
      </c>
      <c r="P91" s="8" t="str">
        <f>IF(IF(COUNTIF($B$5:B91,B91)&gt;1," ",SUMIF($B$5:$B$423,B91,$L$5:$L$423))=0," ",IF(COUNTIF($B$5:B91,B91)&gt;1," ",SUMIF($B$5:$B$423,B91,$L$5:$L$423)))</f>
        <v xml:space="preserve"> </v>
      </c>
      <c r="Q91" s="8" t="str">
        <f t="shared" si="14"/>
        <v xml:space="preserve"> </v>
      </c>
      <c r="R91" s="8" t="str">
        <f t="shared" si="17"/>
        <v xml:space="preserve"> </v>
      </c>
      <c r="S91" s="48" t="str">
        <f t="shared" si="15"/>
        <v xml:space="preserve"> </v>
      </c>
      <c r="T91" s="14" t="str">
        <f>IF(F91&gt;0,IFERROR(VLOOKUP($F91,[1]Sheet1!$C$3:$L$3445,10,0),"EOSS"),"")</f>
        <v/>
      </c>
    </row>
    <row r="92" spans="1:20" x14ac:dyDescent="0.3">
      <c r="A92" s="32"/>
      <c r="B92" s="2"/>
      <c r="C92" s="5" t="str">
        <f t="shared" si="10"/>
        <v xml:space="preserve"> </v>
      </c>
      <c r="D92" s="2"/>
      <c r="E92" s="3"/>
      <c r="F92" s="4"/>
      <c r="G92" s="5"/>
      <c r="H92" s="5"/>
      <c r="I92" s="5" t="str">
        <f t="shared" si="11"/>
        <v xml:space="preserve"> </v>
      </c>
      <c r="J92" s="33"/>
      <c r="K92" s="5" t="str">
        <f t="shared" si="12"/>
        <v xml:space="preserve"> </v>
      </c>
      <c r="L92" s="3" t="str">
        <f t="shared" si="13"/>
        <v xml:space="preserve"> </v>
      </c>
      <c r="M92" s="3" t="str">
        <f>IF(E92&gt;0,IFERROR(VLOOKUP($E92,'[2]Table 1'!$B$2:$I$147,8,0),"0.00")," ")</f>
        <v xml:space="preserve"> </v>
      </c>
      <c r="N92" s="6" t="str">
        <f t="shared" si="16"/>
        <v xml:space="preserve"> </v>
      </c>
      <c r="O92" s="7" t="str">
        <f>IF(IF(COUNTIF($B$5:B92,B92)&gt;1," ",SUMIF($B$5:$B$423,B92,$J$5:$J$423))=0," ",IF(COUNTIF($B$5:B92,B92)&gt;1," ",SUMIF($B$5:$B$423,B92,$J$5:$J$423)))</f>
        <v xml:space="preserve"> </v>
      </c>
      <c r="P92" s="8" t="str">
        <f>IF(IF(COUNTIF($B$5:B92,B92)&gt;1," ",SUMIF($B$5:$B$423,B92,$L$5:$L$423))=0," ",IF(COUNTIF($B$5:B92,B92)&gt;1," ",SUMIF($B$5:$B$423,B92,$L$5:$L$423)))</f>
        <v xml:space="preserve"> </v>
      </c>
      <c r="Q92" s="8" t="str">
        <f t="shared" si="14"/>
        <v xml:space="preserve"> </v>
      </c>
      <c r="R92" s="8" t="str">
        <f t="shared" si="17"/>
        <v xml:space="preserve"> </v>
      </c>
      <c r="S92" s="48" t="str">
        <f t="shared" si="15"/>
        <v xml:space="preserve"> </v>
      </c>
      <c r="T92" s="14" t="str">
        <f>IF(F92&gt;0,IFERROR(VLOOKUP($F92,[1]Sheet1!$C$3:$L$3445,10,0),"EOSS"),"")</f>
        <v/>
      </c>
    </row>
    <row r="93" spans="1:20" x14ac:dyDescent="0.3">
      <c r="A93" s="32"/>
      <c r="B93" s="2"/>
      <c r="C93" s="5" t="str">
        <f t="shared" si="10"/>
        <v xml:space="preserve"> </v>
      </c>
      <c r="D93" s="2"/>
      <c r="E93" s="3"/>
      <c r="F93" s="4"/>
      <c r="G93" s="5"/>
      <c r="H93" s="5"/>
      <c r="I93" s="5" t="str">
        <f t="shared" si="11"/>
        <v xml:space="preserve"> </v>
      </c>
      <c r="J93" s="33"/>
      <c r="K93" s="5" t="str">
        <f t="shared" si="12"/>
        <v xml:space="preserve"> </v>
      </c>
      <c r="L93" s="3" t="str">
        <f t="shared" si="13"/>
        <v xml:space="preserve"> </v>
      </c>
      <c r="M93" s="3" t="str">
        <f>IF(E93&gt;0,IFERROR(VLOOKUP($E93,'[2]Table 1'!$B$2:$I$147,8,0),"0.00")," ")</f>
        <v xml:space="preserve"> </v>
      </c>
      <c r="N93" s="6" t="str">
        <f t="shared" si="16"/>
        <v xml:space="preserve"> </v>
      </c>
      <c r="O93" s="7" t="str">
        <f>IF(IF(COUNTIF($B$5:B93,B93)&gt;1," ",SUMIF($B$5:$B$423,B93,$J$5:$J$423))=0," ",IF(COUNTIF($B$5:B93,B93)&gt;1," ",SUMIF($B$5:$B$423,B93,$J$5:$J$423)))</f>
        <v xml:space="preserve"> </v>
      </c>
      <c r="P93" s="8" t="str">
        <f>IF(IF(COUNTIF($B$5:B93,B93)&gt;1," ",SUMIF($B$5:$B$423,B93,$L$5:$L$423))=0," ",IF(COUNTIF($B$5:B93,B93)&gt;1," ",SUMIF($B$5:$B$423,B93,$L$5:$L$423)))</f>
        <v xml:space="preserve"> </v>
      </c>
      <c r="Q93" s="8" t="str">
        <f t="shared" si="14"/>
        <v xml:space="preserve"> </v>
      </c>
      <c r="R93" s="8" t="str">
        <f t="shared" si="17"/>
        <v xml:space="preserve"> </v>
      </c>
      <c r="S93" s="48" t="str">
        <f t="shared" si="15"/>
        <v xml:space="preserve"> </v>
      </c>
      <c r="T93" s="14" t="str">
        <f>IF(F93&gt;0,IFERROR(VLOOKUP($F93,[1]Sheet1!$C$3:$L$3445,10,0),"EOSS"),"")</f>
        <v/>
      </c>
    </row>
    <row r="94" spans="1:20" x14ac:dyDescent="0.3">
      <c r="A94" s="32"/>
      <c r="B94" s="2"/>
      <c r="C94" s="5" t="str">
        <f t="shared" si="10"/>
        <v xml:space="preserve"> </v>
      </c>
      <c r="D94" s="2"/>
      <c r="E94" s="3"/>
      <c r="F94" s="4"/>
      <c r="G94" s="5"/>
      <c r="H94" s="5"/>
      <c r="I94" s="5" t="str">
        <f t="shared" si="11"/>
        <v xml:space="preserve"> </v>
      </c>
      <c r="J94" s="33"/>
      <c r="K94" s="5" t="str">
        <f t="shared" si="12"/>
        <v xml:space="preserve"> </v>
      </c>
      <c r="L94" s="3" t="str">
        <f t="shared" si="13"/>
        <v xml:space="preserve"> </v>
      </c>
      <c r="M94" s="3" t="str">
        <f>IF(E94&gt;0,IFERROR(VLOOKUP($E94,'[2]Table 1'!$B$2:$I$147,8,0),"0.00")," ")</f>
        <v xml:space="preserve"> </v>
      </c>
      <c r="N94" s="6" t="str">
        <f t="shared" si="16"/>
        <v xml:space="preserve"> </v>
      </c>
      <c r="O94" s="7" t="str">
        <f>IF(IF(COUNTIF($B$5:B94,B94)&gt;1," ",SUMIF($B$5:$B$423,B94,$J$5:$J$423))=0," ",IF(COUNTIF($B$5:B94,B94)&gt;1," ",SUMIF($B$5:$B$423,B94,$J$5:$J$423)))</f>
        <v xml:space="preserve"> </v>
      </c>
      <c r="P94" s="8" t="str">
        <f>IF(IF(COUNTIF($B$5:B94,B94)&gt;1," ",SUMIF($B$5:$B$423,B94,$L$5:$L$423))=0," ",IF(COUNTIF($B$5:B94,B94)&gt;1," ",SUMIF($B$5:$B$423,B94,$L$5:$L$423)))</f>
        <v xml:space="preserve"> </v>
      </c>
      <c r="Q94" s="8" t="str">
        <f t="shared" si="14"/>
        <v xml:space="preserve"> </v>
      </c>
      <c r="R94" s="8" t="str">
        <f t="shared" si="17"/>
        <v xml:space="preserve"> </v>
      </c>
      <c r="S94" s="48" t="str">
        <f t="shared" si="15"/>
        <v xml:space="preserve"> </v>
      </c>
      <c r="T94" s="14" t="str">
        <f>IF(F94&gt;0,IFERROR(VLOOKUP($F94,[1]Sheet1!$C$3:$L$3445,10,0),"EOSS"),"")</f>
        <v/>
      </c>
    </row>
    <row r="95" spans="1:20" x14ac:dyDescent="0.3">
      <c r="A95" s="32"/>
      <c r="B95" s="2"/>
      <c r="C95" s="5" t="str">
        <f t="shared" si="10"/>
        <v xml:space="preserve"> </v>
      </c>
      <c r="D95" s="2"/>
      <c r="E95" s="3"/>
      <c r="F95" s="4"/>
      <c r="G95" s="5"/>
      <c r="H95" s="5"/>
      <c r="I95" s="5" t="str">
        <f t="shared" si="11"/>
        <v xml:space="preserve"> </v>
      </c>
      <c r="J95" s="33"/>
      <c r="K95" s="5" t="str">
        <f t="shared" si="12"/>
        <v xml:space="preserve"> </v>
      </c>
      <c r="L95" s="3" t="str">
        <f t="shared" si="13"/>
        <v xml:space="preserve"> </v>
      </c>
      <c r="M95" s="3" t="str">
        <f>IF(E95&gt;0,IFERROR(VLOOKUP($E95,'[2]Table 1'!$B$2:$I$147,8,0),"0.00")," ")</f>
        <v xml:space="preserve"> </v>
      </c>
      <c r="N95" s="6" t="str">
        <f t="shared" si="16"/>
        <v xml:space="preserve"> </v>
      </c>
      <c r="O95" s="7" t="str">
        <f>IF(IF(COUNTIF($B$5:B95,B95)&gt;1," ",SUMIF($B$5:$B$423,B95,$J$5:$J$423))=0," ",IF(COUNTIF($B$5:B95,B95)&gt;1," ",SUMIF($B$5:$B$423,B95,$J$5:$J$423)))</f>
        <v xml:space="preserve"> </v>
      </c>
      <c r="P95" s="8" t="str">
        <f>IF(IF(COUNTIF($B$5:B95,B95)&gt;1," ",SUMIF($B$5:$B$423,B95,$L$5:$L$423))=0," ",IF(COUNTIF($B$5:B95,B95)&gt;1," ",SUMIF($B$5:$B$423,B95,$L$5:$L$423)))</f>
        <v xml:space="preserve"> </v>
      </c>
      <c r="Q95" s="8" t="str">
        <f t="shared" si="14"/>
        <v xml:space="preserve"> </v>
      </c>
      <c r="R95" s="8" t="str">
        <f t="shared" si="17"/>
        <v xml:space="preserve"> </v>
      </c>
      <c r="S95" s="48" t="str">
        <f t="shared" si="15"/>
        <v xml:space="preserve"> </v>
      </c>
      <c r="T95" s="14" t="str">
        <f>IF(F95&gt;0,IFERROR(VLOOKUP($F95,[1]Sheet1!$C$3:$L$3445,10,0),"EOSS"),"")</f>
        <v/>
      </c>
    </row>
    <row r="96" spans="1:20" x14ac:dyDescent="0.3">
      <c r="A96" s="32"/>
      <c r="B96" s="2"/>
      <c r="C96" s="5" t="str">
        <f t="shared" si="10"/>
        <v xml:space="preserve"> </v>
      </c>
      <c r="D96" s="2"/>
      <c r="E96" s="3"/>
      <c r="F96" s="4"/>
      <c r="G96" s="5"/>
      <c r="H96" s="5"/>
      <c r="I96" s="5" t="str">
        <f t="shared" si="11"/>
        <v xml:space="preserve"> </v>
      </c>
      <c r="J96" s="33"/>
      <c r="K96" s="5" t="str">
        <f t="shared" si="12"/>
        <v xml:space="preserve"> </v>
      </c>
      <c r="L96" s="3" t="str">
        <f t="shared" si="13"/>
        <v xml:space="preserve"> </v>
      </c>
      <c r="M96" s="3" t="str">
        <f>IF(E96&gt;0,IFERROR(VLOOKUP($E96,'[2]Table 1'!$B$2:$I$147,8,0),"0.00")," ")</f>
        <v xml:space="preserve"> </v>
      </c>
      <c r="N96" s="6" t="str">
        <f t="shared" si="16"/>
        <v xml:space="preserve"> </v>
      </c>
      <c r="O96" s="7" t="str">
        <f>IF(IF(COUNTIF($B$5:B96,B96)&gt;1," ",SUMIF($B$5:$B$423,B96,$J$5:$J$423))=0," ",IF(COUNTIF($B$5:B96,B96)&gt;1," ",SUMIF($B$5:$B$423,B96,$J$5:$J$423)))</f>
        <v xml:space="preserve"> </v>
      </c>
      <c r="P96" s="8" t="str">
        <f>IF(IF(COUNTIF($B$5:B96,B96)&gt;1," ",SUMIF($B$5:$B$423,B96,$L$5:$L$423))=0," ",IF(COUNTIF($B$5:B96,B96)&gt;1," ",SUMIF($B$5:$B$423,B96,$L$5:$L$423)))</f>
        <v xml:space="preserve"> </v>
      </c>
      <c r="Q96" s="8" t="str">
        <f t="shared" si="14"/>
        <v xml:space="preserve"> </v>
      </c>
      <c r="R96" s="8" t="str">
        <f t="shared" si="17"/>
        <v xml:space="preserve"> </v>
      </c>
      <c r="S96" s="48" t="str">
        <f t="shared" si="15"/>
        <v xml:space="preserve"> </v>
      </c>
      <c r="T96" s="14" t="str">
        <f>IF(F96&gt;0,IFERROR(VLOOKUP($F96,[1]Sheet1!$C$3:$L$3445,10,0),"EOSS"),"")</f>
        <v/>
      </c>
    </row>
    <row r="97" spans="1:20" x14ac:dyDescent="0.3">
      <c r="A97" s="32"/>
      <c r="B97" s="2"/>
      <c r="C97" s="5" t="str">
        <f t="shared" si="10"/>
        <v xml:space="preserve"> </v>
      </c>
      <c r="D97" s="2"/>
      <c r="E97" s="3"/>
      <c r="F97" s="4"/>
      <c r="G97" s="5"/>
      <c r="H97" s="5"/>
      <c r="I97" s="5" t="str">
        <f t="shared" si="11"/>
        <v xml:space="preserve"> </v>
      </c>
      <c r="J97" s="33"/>
      <c r="K97" s="5" t="str">
        <f t="shared" si="12"/>
        <v xml:space="preserve"> </v>
      </c>
      <c r="L97" s="3" t="str">
        <f t="shared" si="13"/>
        <v xml:space="preserve"> </v>
      </c>
      <c r="M97" s="3" t="str">
        <f>IF(E97&gt;0,IFERROR(VLOOKUP($E97,'[2]Table 1'!$B$2:$I$147,8,0),"0.00")," ")</f>
        <v xml:space="preserve"> </v>
      </c>
      <c r="N97" s="6" t="str">
        <f t="shared" si="16"/>
        <v xml:space="preserve"> </v>
      </c>
      <c r="O97" s="7" t="str">
        <f>IF(IF(COUNTIF($B$5:B97,B97)&gt;1," ",SUMIF($B$5:$B$423,B97,$J$5:$J$423))=0," ",IF(COUNTIF($B$5:B97,B97)&gt;1," ",SUMIF($B$5:$B$423,B97,$J$5:$J$423)))</f>
        <v xml:space="preserve"> </v>
      </c>
      <c r="P97" s="8" t="str">
        <f>IF(IF(COUNTIF($B$5:B97,B97)&gt;1," ",SUMIF($B$5:$B$423,B97,$L$5:$L$423))=0," ",IF(COUNTIF($B$5:B97,B97)&gt;1," ",SUMIF($B$5:$B$423,B97,$L$5:$L$423)))</f>
        <v xml:space="preserve"> </v>
      </c>
      <c r="Q97" s="8" t="str">
        <f t="shared" si="14"/>
        <v xml:space="preserve"> </v>
      </c>
      <c r="R97" s="8" t="str">
        <f t="shared" si="17"/>
        <v xml:space="preserve"> </v>
      </c>
      <c r="S97" s="48" t="str">
        <f t="shared" si="15"/>
        <v xml:space="preserve"> </v>
      </c>
      <c r="T97" s="14" t="str">
        <f>IF(F97&gt;0,IFERROR(VLOOKUP($F97,[1]Sheet1!$C$3:$L$3445,10,0),"EOSS"),"")</f>
        <v/>
      </c>
    </row>
    <row r="98" spans="1:20" x14ac:dyDescent="0.3">
      <c r="A98" s="32"/>
      <c r="B98" s="2"/>
      <c r="C98" s="5" t="str">
        <f t="shared" si="10"/>
        <v xml:space="preserve"> </v>
      </c>
      <c r="D98" s="2"/>
      <c r="E98" s="3"/>
      <c r="F98" s="4"/>
      <c r="G98" s="5"/>
      <c r="H98" s="5"/>
      <c r="I98" s="5" t="str">
        <f t="shared" si="11"/>
        <v xml:space="preserve"> </v>
      </c>
      <c r="J98" s="33"/>
      <c r="K98" s="5" t="str">
        <f t="shared" si="12"/>
        <v xml:space="preserve"> </v>
      </c>
      <c r="L98" s="3" t="str">
        <f t="shared" si="13"/>
        <v xml:space="preserve"> </v>
      </c>
      <c r="M98" s="3" t="str">
        <f>IF(E98&gt;0,IFERROR(VLOOKUP($E98,'[2]Table 1'!$B$2:$I$147,8,0),"0.00")," ")</f>
        <v xml:space="preserve"> </v>
      </c>
      <c r="N98" s="6" t="str">
        <f t="shared" si="16"/>
        <v xml:space="preserve"> </v>
      </c>
      <c r="O98" s="7" t="str">
        <f>IF(IF(COUNTIF($B$5:B98,B98)&gt;1," ",SUMIF($B$5:$B$423,B98,$J$5:$J$423))=0," ",IF(COUNTIF($B$5:B98,B98)&gt;1," ",SUMIF($B$5:$B$423,B98,$J$5:$J$423)))</f>
        <v xml:space="preserve"> </v>
      </c>
      <c r="P98" s="8" t="str">
        <f>IF(IF(COUNTIF($B$5:B98,B98)&gt;1," ",SUMIF($B$5:$B$423,B98,$L$5:$L$423))=0," ",IF(COUNTIF($B$5:B98,B98)&gt;1," ",SUMIF($B$5:$B$423,B98,$L$5:$L$423)))</f>
        <v xml:space="preserve"> </v>
      </c>
      <c r="Q98" s="8" t="str">
        <f t="shared" si="14"/>
        <v xml:space="preserve"> </v>
      </c>
      <c r="R98" s="8" t="str">
        <f t="shared" si="17"/>
        <v xml:space="preserve"> </v>
      </c>
      <c r="S98" s="48" t="str">
        <f t="shared" si="15"/>
        <v xml:space="preserve"> </v>
      </c>
      <c r="T98" s="14" t="str">
        <f>IF(F98&gt;0,IFERROR(VLOOKUP($F98,[1]Sheet1!$C$3:$L$3445,10,0),"EOSS"),"")</f>
        <v/>
      </c>
    </row>
    <row r="99" spans="1:20" x14ac:dyDescent="0.3">
      <c r="A99" s="32"/>
      <c r="B99" s="2"/>
      <c r="C99" s="5" t="str">
        <f t="shared" si="10"/>
        <v xml:space="preserve"> </v>
      </c>
      <c r="D99" s="2"/>
      <c r="E99" s="3"/>
      <c r="F99" s="4"/>
      <c r="G99" s="5"/>
      <c r="H99" s="5"/>
      <c r="I99" s="5" t="str">
        <f t="shared" si="11"/>
        <v xml:space="preserve"> </v>
      </c>
      <c r="J99" s="33"/>
      <c r="K99" s="5" t="str">
        <f t="shared" si="12"/>
        <v xml:space="preserve"> </v>
      </c>
      <c r="L99" s="3" t="str">
        <f t="shared" si="13"/>
        <v xml:space="preserve"> </v>
      </c>
      <c r="M99" s="3" t="str">
        <f>IF(E99&gt;0,IFERROR(VLOOKUP($E99,'[2]Table 1'!$B$2:$I$147,8,0),"0.00")," ")</f>
        <v xml:space="preserve"> </v>
      </c>
      <c r="N99" s="6" t="str">
        <f t="shared" si="16"/>
        <v xml:space="preserve"> </v>
      </c>
      <c r="O99" s="7" t="str">
        <f>IF(IF(COUNTIF($B$5:B99,B99)&gt;1," ",SUMIF($B$5:$B$423,B99,$J$5:$J$423))=0," ",IF(COUNTIF($B$5:B99,B99)&gt;1," ",SUMIF($B$5:$B$423,B99,$J$5:$J$423)))</f>
        <v xml:space="preserve"> </v>
      </c>
      <c r="P99" s="8" t="str">
        <f>IF(IF(COUNTIF($B$5:B99,B99)&gt;1," ",SUMIF($B$5:$B$423,B99,$L$5:$L$423))=0," ",IF(COUNTIF($B$5:B99,B99)&gt;1," ",SUMIF($B$5:$B$423,B99,$L$5:$L$423)))</f>
        <v xml:space="preserve"> </v>
      </c>
      <c r="Q99" s="8" t="str">
        <f t="shared" si="14"/>
        <v xml:space="preserve"> </v>
      </c>
      <c r="R99" s="8" t="str">
        <f t="shared" si="17"/>
        <v xml:space="preserve"> </v>
      </c>
      <c r="S99" s="48" t="str">
        <f t="shared" si="15"/>
        <v xml:space="preserve"> </v>
      </c>
      <c r="T99" s="14" t="str">
        <f>IF(F99&gt;0,IFERROR(VLOOKUP($F99,[1]Sheet1!$C$3:$L$3445,10,0),"EOSS"),"")</f>
        <v/>
      </c>
    </row>
    <row r="100" spans="1:20" x14ac:dyDescent="0.3">
      <c r="A100" s="32"/>
      <c r="B100" s="2"/>
      <c r="C100" s="5" t="str">
        <f t="shared" si="10"/>
        <v xml:space="preserve"> </v>
      </c>
      <c r="D100" s="2"/>
      <c r="E100" s="3"/>
      <c r="F100" s="4"/>
      <c r="G100" s="5"/>
      <c r="H100" s="5"/>
      <c r="I100" s="5" t="str">
        <f t="shared" si="11"/>
        <v xml:space="preserve"> </v>
      </c>
      <c r="J100" s="33"/>
      <c r="K100" s="5" t="str">
        <f t="shared" si="12"/>
        <v xml:space="preserve"> </v>
      </c>
      <c r="L100" s="3" t="str">
        <f t="shared" si="13"/>
        <v xml:space="preserve"> </v>
      </c>
      <c r="M100" s="3" t="str">
        <f>IF(E100&gt;0,IFERROR(VLOOKUP($E100,'[2]Table 1'!$B$2:$I$147,8,0),"0.00")," ")</f>
        <v xml:space="preserve"> </v>
      </c>
      <c r="N100" s="6" t="str">
        <f t="shared" si="16"/>
        <v xml:space="preserve"> </v>
      </c>
      <c r="O100" s="7" t="str">
        <f>IF(IF(COUNTIF($B$5:B100,B100)&gt;1," ",SUMIF($B$5:$B$423,B100,$J$5:$J$423))=0," ",IF(COUNTIF($B$5:B100,B100)&gt;1," ",SUMIF($B$5:$B$423,B100,$J$5:$J$423)))</f>
        <v xml:space="preserve"> </v>
      </c>
      <c r="P100" s="8" t="str">
        <f>IF(IF(COUNTIF($B$5:B100,B100)&gt;1," ",SUMIF($B$5:$B$423,B100,$L$5:$L$423))=0," ",IF(COUNTIF($B$5:B100,B100)&gt;1," ",SUMIF($B$5:$B$423,B100,$L$5:$L$423)))</f>
        <v xml:space="preserve"> </v>
      </c>
      <c r="Q100" s="8" t="str">
        <f t="shared" si="14"/>
        <v xml:space="preserve"> </v>
      </c>
      <c r="R100" s="8" t="str">
        <f t="shared" si="17"/>
        <v xml:space="preserve"> </v>
      </c>
      <c r="S100" s="48" t="str">
        <f t="shared" si="15"/>
        <v xml:space="preserve"> </v>
      </c>
      <c r="T100" s="14" t="str">
        <f>IF(F100&gt;0,IFERROR(VLOOKUP($F100,[1]Sheet1!$C$3:$L$3445,10,0),"EOSS"),"")</f>
        <v/>
      </c>
    </row>
    <row r="101" spans="1:20" x14ac:dyDescent="0.3">
      <c r="A101" s="32"/>
      <c r="B101" s="2"/>
      <c r="C101" s="5" t="str">
        <f t="shared" si="10"/>
        <v xml:space="preserve"> </v>
      </c>
      <c r="D101" s="2"/>
      <c r="E101" s="3"/>
      <c r="F101" s="4"/>
      <c r="G101" s="5"/>
      <c r="H101" s="5"/>
      <c r="I101" s="5" t="str">
        <f t="shared" si="11"/>
        <v xml:space="preserve"> </v>
      </c>
      <c r="J101" s="33"/>
      <c r="K101" s="5" t="str">
        <f t="shared" si="12"/>
        <v xml:space="preserve"> </v>
      </c>
      <c r="L101" s="3" t="str">
        <f t="shared" si="13"/>
        <v xml:space="preserve"> </v>
      </c>
      <c r="M101" s="3" t="str">
        <f>IF(E101&gt;0,IFERROR(VLOOKUP($E101,'[2]Table 1'!$B$2:$I$147,8,0),"0.00")," ")</f>
        <v xml:space="preserve"> </v>
      </c>
      <c r="N101" s="6" t="str">
        <f t="shared" si="16"/>
        <v xml:space="preserve"> </v>
      </c>
      <c r="O101" s="7" t="str">
        <f>IF(IF(COUNTIF($B$5:B101,B101)&gt;1," ",SUMIF($B$5:$B$423,B101,$J$5:$J$423))=0," ",IF(COUNTIF($B$5:B101,B101)&gt;1," ",SUMIF($B$5:$B$423,B101,$J$5:$J$423)))</f>
        <v xml:space="preserve"> </v>
      </c>
      <c r="P101" s="8" t="str">
        <f>IF(IF(COUNTIF($B$5:B101,B101)&gt;1," ",SUMIF($B$5:$B$423,B101,$L$5:$L$423))=0," ",IF(COUNTIF($B$5:B101,B101)&gt;1," ",SUMIF($B$5:$B$423,B101,$L$5:$L$423)))</f>
        <v xml:space="preserve"> </v>
      </c>
      <c r="Q101" s="8" t="str">
        <f t="shared" ref="Q101:Q132" si="18">IF(P101=" "," ",IF(P101&gt;6999,1000,IF(P101&gt;4999,500," ")))</f>
        <v xml:space="preserve"> </v>
      </c>
      <c r="R101" s="8" t="str">
        <f t="shared" si="17"/>
        <v xml:space="preserve"> </v>
      </c>
      <c r="S101" s="48" t="str">
        <f t="shared" si="15"/>
        <v xml:space="preserve"> </v>
      </c>
      <c r="T101" s="14" t="str">
        <f>IF(F101&gt;0,IFERROR(VLOOKUP($F101,[1]Sheet1!$C$3:$L$3445,10,0),"EOSS"),"")</f>
        <v/>
      </c>
    </row>
    <row r="102" spans="1:20" x14ac:dyDescent="0.3">
      <c r="A102" s="32"/>
      <c r="B102" s="2"/>
      <c r="C102" s="5" t="str">
        <f t="shared" si="10"/>
        <v xml:space="preserve"> </v>
      </c>
      <c r="D102" s="2"/>
      <c r="E102" s="3"/>
      <c r="F102" s="4"/>
      <c r="G102" s="5"/>
      <c r="H102" s="5"/>
      <c r="I102" s="5" t="str">
        <f t="shared" si="11"/>
        <v xml:space="preserve"> </v>
      </c>
      <c r="J102" s="33"/>
      <c r="K102" s="5" t="str">
        <f t="shared" si="12"/>
        <v xml:space="preserve"> </v>
      </c>
      <c r="L102" s="3" t="str">
        <f t="shared" si="13"/>
        <v xml:space="preserve"> </v>
      </c>
      <c r="M102" s="3" t="str">
        <f>IF(E102&gt;0,IFERROR(VLOOKUP($E102,'[2]Table 1'!$B$2:$I$147,8,0),"0.00")," ")</f>
        <v xml:space="preserve"> </v>
      </c>
      <c r="N102" s="6" t="str">
        <f t="shared" si="16"/>
        <v xml:space="preserve"> </v>
      </c>
      <c r="O102" s="7" t="str">
        <f>IF(IF(COUNTIF($B$5:B102,B102)&gt;1," ",SUMIF($B$5:$B$423,B102,$J$5:$J$423))=0," ",IF(COUNTIF($B$5:B102,B102)&gt;1," ",SUMIF($B$5:$B$423,B102,$J$5:$J$423)))</f>
        <v xml:space="preserve"> </v>
      </c>
      <c r="P102" s="8" t="str">
        <f>IF(IF(COUNTIF($B$5:B102,B102)&gt;1," ",SUMIF($B$5:$B$423,B102,$L$5:$L$423))=0," ",IF(COUNTIF($B$5:B102,B102)&gt;1," ",SUMIF($B$5:$B$423,B102,$L$5:$L$423)))</f>
        <v xml:space="preserve"> </v>
      </c>
      <c r="Q102" s="8" t="str">
        <f t="shared" si="18"/>
        <v xml:space="preserve"> </v>
      </c>
      <c r="R102" s="8" t="str">
        <f t="shared" si="17"/>
        <v xml:space="preserve"> </v>
      </c>
      <c r="S102" s="48" t="str">
        <f t="shared" si="15"/>
        <v xml:space="preserve"> </v>
      </c>
      <c r="T102" s="14" t="str">
        <f>IF(F102&gt;0,IFERROR(VLOOKUP($F102,[1]Sheet1!$C$3:$L$3445,10,0),"EOSS"),"")</f>
        <v/>
      </c>
    </row>
    <row r="103" spans="1:20" x14ac:dyDescent="0.3">
      <c r="A103" s="32"/>
      <c r="B103" s="2"/>
      <c r="C103" s="5" t="str">
        <f t="shared" si="10"/>
        <v xml:space="preserve"> </v>
      </c>
      <c r="D103" s="2"/>
      <c r="E103" s="3"/>
      <c r="F103" s="4"/>
      <c r="G103" s="5"/>
      <c r="H103" s="5"/>
      <c r="I103" s="5" t="str">
        <f t="shared" si="11"/>
        <v xml:space="preserve"> </v>
      </c>
      <c r="J103" s="33"/>
      <c r="K103" s="5" t="str">
        <f t="shared" si="12"/>
        <v xml:space="preserve"> </v>
      </c>
      <c r="L103" s="3" t="str">
        <f t="shared" si="13"/>
        <v xml:space="preserve"> </v>
      </c>
      <c r="M103" s="3" t="str">
        <f>IF(E103&gt;0,IFERROR(VLOOKUP($E103,'[2]Table 1'!$B$2:$I$147,8,0),"0.00")," ")</f>
        <v xml:space="preserve"> </v>
      </c>
      <c r="N103" s="6" t="str">
        <f t="shared" si="16"/>
        <v xml:space="preserve"> </v>
      </c>
      <c r="O103" s="7" t="str">
        <f>IF(IF(COUNTIF($B$5:B103,B103)&gt;1," ",SUMIF($B$5:$B$423,B103,$J$5:$J$423))=0," ",IF(COUNTIF($B$5:B103,B103)&gt;1," ",SUMIF($B$5:$B$423,B103,$J$5:$J$423)))</f>
        <v xml:space="preserve"> </v>
      </c>
      <c r="P103" s="8" t="str">
        <f>IF(IF(COUNTIF($B$5:B103,B103)&gt;1," ",SUMIF($B$5:$B$423,B103,$L$5:$L$423))=0," ",IF(COUNTIF($B$5:B103,B103)&gt;1," ",SUMIF($B$5:$B$423,B103,$L$5:$L$423)))</f>
        <v xml:space="preserve"> </v>
      </c>
      <c r="Q103" s="8" t="str">
        <f t="shared" si="18"/>
        <v xml:space="preserve"> </v>
      </c>
      <c r="R103" s="8" t="str">
        <f t="shared" si="17"/>
        <v xml:space="preserve"> </v>
      </c>
      <c r="S103" s="48" t="str">
        <f t="shared" si="15"/>
        <v xml:space="preserve"> </v>
      </c>
      <c r="T103" s="14" t="str">
        <f>IF(F103&gt;0,IFERROR(VLOOKUP($F103,[1]Sheet1!$C$3:$L$3445,10,0),"EOSS"),"")</f>
        <v/>
      </c>
    </row>
    <row r="104" spans="1:20" x14ac:dyDescent="0.3">
      <c r="A104" s="32"/>
      <c r="B104" s="2"/>
      <c r="C104" s="5" t="str">
        <f t="shared" si="10"/>
        <v xml:space="preserve"> </v>
      </c>
      <c r="D104" s="2"/>
      <c r="E104" s="3"/>
      <c r="F104" s="4"/>
      <c r="G104" s="5"/>
      <c r="H104" s="5"/>
      <c r="I104" s="5" t="str">
        <f t="shared" si="11"/>
        <v xml:space="preserve"> </v>
      </c>
      <c r="J104" s="33"/>
      <c r="K104" s="5" t="str">
        <f t="shared" si="12"/>
        <v xml:space="preserve"> </v>
      </c>
      <c r="L104" s="3" t="str">
        <f t="shared" si="13"/>
        <v xml:space="preserve"> </v>
      </c>
      <c r="M104" s="3" t="str">
        <f>IF(E104&gt;0,IFERROR(VLOOKUP($E104,'[2]Table 1'!$B$2:$I$147,8,0),"0.00")," ")</f>
        <v xml:space="preserve"> </v>
      </c>
      <c r="N104" s="6" t="str">
        <f t="shared" si="16"/>
        <v xml:space="preserve"> </v>
      </c>
      <c r="O104" s="7" t="str">
        <f>IF(IF(COUNTIF($B$5:B104,B104)&gt;1," ",SUMIF($B$5:$B$423,B104,$J$5:$J$423))=0," ",IF(COUNTIF($B$5:B104,B104)&gt;1," ",SUMIF($B$5:$B$423,B104,$J$5:$J$423)))</f>
        <v xml:space="preserve"> </v>
      </c>
      <c r="P104" s="8" t="str">
        <f>IF(IF(COUNTIF($B$5:B104,B104)&gt;1," ",SUMIF($B$5:$B$423,B104,$L$5:$L$423))=0," ",IF(COUNTIF($B$5:B104,B104)&gt;1," ",SUMIF($B$5:$B$423,B104,$L$5:$L$423)))</f>
        <v xml:space="preserve"> </v>
      </c>
      <c r="Q104" s="8" t="str">
        <f t="shared" si="18"/>
        <v xml:space="preserve"> </v>
      </c>
      <c r="R104" s="8" t="str">
        <f t="shared" si="17"/>
        <v xml:space="preserve"> </v>
      </c>
      <c r="S104" s="48" t="str">
        <f t="shared" si="15"/>
        <v xml:space="preserve"> </v>
      </c>
      <c r="T104" s="14" t="str">
        <f>IF(F104&gt;0,IFERROR(VLOOKUP($F104,[1]Sheet1!$C$3:$L$3445,10,0),"EOSS"),"")</f>
        <v/>
      </c>
    </row>
    <row r="105" spans="1:20" x14ac:dyDescent="0.3">
      <c r="A105" s="32"/>
      <c r="B105" s="2"/>
      <c r="C105" s="5" t="str">
        <f t="shared" si="10"/>
        <v xml:space="preserve"> </v>
      </c>
      <c r="D105" s="2"/>
      <c r="E105" s="3"/>
      <c r="F105" s="4"/>
      <c r="G105" s="5"/>
      <c r="H105" s="5"/>
      <c r="I105" s="5" t="str">
        <f t="shared" si="11"/>
        <v xml:space="preserve"> </v>
      </c>
      <c r="J105" s="33"/>
      <c r="K105" s="5" t="str">
        <f t="shared" si="12"/>
        <v xml:space="preserve"> </v>
      </c>
      <c r="L105" s="3" t="str">
        <f t="shared" si="13"/>
        <v xml:space="preserve"> </v>
      </c>
      <c r="M105" s="3" t="str">
        <f>IF(E105&gt;0,IFERROR(VLOOKUP($E105,'[2]Table 1'!$B$2:$I$147,8,0),"0.00")," ")</f>
        <v xml:space="preserve"> </v>
      </c>
      <c r="N105" s="6" t="str">
        <f t="shared" si="16"/>
        <v xml:space="preserve"> </v>
      </c>
      <c r="O105" s="7" t="str">
        <f>IF(IF(COUNTIF($B$5:B105,B105)&gt;1," ",SUMIF($B$5:$B$423,B105,$J$5:$J$423))=0," ",IF(COUNTIF($B$5:B105,B105)&gt;1," ",SUMIF($B$5:$B$423,B105,$J$5:$J$423)))</f>
        <v xml:space="preserve"> </v>
      </c>
      <c r="P105" s="8" t="str">
        <f>IF(IF(COUNTIF($B$5:B105,B105)&gt;1," ",SUMIF($B$5:$B$423,B105,$L$5:$L$423))=0," ",IF(COUNTIF($B$5:B105,B105)&gt;1," ",SUMIF($B$5:$B$423,B105,$L$5:$L$423)))</f>
        <v xml:space="preserve"> </v>
      </c>
      <c r="Q105" s="8" t="str">
        <f t="shared" si="18"/>
        <v xml:space="preserve"> </v>
      </c>
      <c r="R105" s="8" t="str">
        <f t="shared" si="17"/>
        <v xml:space="preserve"> </v>
      </c>
      <c r="S105" s="48" t="str">
        <f t="shared" si="15"/>
        <v xml:space="preserve"> </v>
      </c>
      <c r="T105" s="14" t="str">
        <f>IF(F105&gt;0,IFERROR(VLOOKUP($F105,[1]Sheet1!$C$3:$L$3445,10,0),"EOSS"),"")</f>
        <v/>
      </c>
    </row>
    <row r="106" spans="1:20" x14ac:dyDescent="0.3">
      <c r="A106" s="32"/>
      <c r="B106" s="2"/>
      <c r="C106" s="5" t="str">
        <f t="shared" si="10"/>
        <v xml:space="preserve"> </v>
      </c>
      <c r="D106" s="2"/>
      <c r="E106" s="3"/>
      <c r="F106" s="4"/>
      <c r="G106" s="5"/>
      <c r="H106" s="5"/>
      <c r="I106" s="5" t="str">
        <f t="shared" si="11"/>
        <v xml:space="preserve"> </v>
      </c>
      <c r="J106" s="33"/>
      <c r="K106" s="5" t="str">
        <f t="shared" si="12"/>
        <v xml:space="preserve"> </v>
      </c>
      <c r="L106" s="3" t="str">
        <f t="shared" si="13"/>
        <v xml:space="preserve"> </v>
      </c>
      <c r="M106" s="3" t="str">
        <f>IF(E106&gt;0,IFERROR(VLOOKUP($E106,'[2]Table 1'!$B$2:$I$147,8,0),"0.00")," ")</f>
        <v xml:space="preserve"> </v>
      </c>
      <c r="N106" s="6" t="str">
        <f t="shared" si="16"/>
        <v xml:space="preserve"> </v>
      </c>
      <c r="O106" s="7" t="str">
        <f>IF(IF(COUNTIF($B$5:B106,B106)&gt;1," ",SUMIF($B$5:$B$423,B106,$J$5:$J$423))=0," ",IF(COUNTIF($B$5:B106,B106)&gt;1," ",SUMIF($B$5:$B$423,B106,$J$5:$J$423)))</f>
        <v xml:space="preserve"> </v>
      </c>
      <c r="P106" s="8" t="str">
        <f>IF(IF(COUNTIF($B$5:B106,B106)&gt;1," ",SUMIF($B$5:$B$423,B106,$L$5:$L$423))=0," ",IF(COUNTIF($B$5:B106,B106)&gt;1," ",SUMIF($B$5:$B$423,B106,$L$5:$L$423)))</f>
        <v xml:space="preserve"> </v>
      </c>
      <c r="Q106" s="8" t="str">
        <f t="shared" si="18"/>
        <v xml:space="preserve"> </v>
      </c>
      <c r="R106" s="8" t="str">
        <f t="shared" si="17"/>
        <v xml:space="preserve"> </v>
      </c>
      <c r="S106" s="48" t="str">
        <f t="shared" si="15"/>
        <v xml:space="preserve"> </v>
      </c>
      <c r="T106" s="14" t="str">
        <f>IF(F106&gt;0,IFERROR(VLOOKUP($F106,[1]Sheet1!$C$3:$L$3445,10,0),"EOSS"),"")</f>
        <v/>
      </c>
    </row>
    <row r="107" spans="1:20" x14ac:dyDescent="0.3">
      <c r="A107" s="32"/>
      <c r="B107" s="2"/>
      <c r="C107" s="5" t="str">
        <f t="shared" si="10"/>
        <v xml:space="preserve"> </v>
      </c>
      <c r="D107" s="2"/>
      <c r="E107" s="3"/>
      <c r="F107" s="4"/>
      <c r="G107" s="5"/>
      <c r="H107" s="5"/>
      <c r="I107" s="5" t="str">
        <f t="shared" si="11"/>
        <v xml:space="preserve"> </v>
      </c>
      <c r="J107" s="33"/>
      <c r="K107" s="5" t="str">
        <f t="shared" si="12"/>
        <v xml:space="preserve"> </v>
      </c>
      <c r="L107" s="3" t="str">
        <f t="shared" si="13"/>
        <v xml:space="preserve"> </v>
      </c>
      <c r="M107" s="3" t="str">
        <f>IF(E107&gt;0,IFERROR(VLOOKUP($E107,'[2]Table 1'!$B$2:$I$147,8,0),"0.00")," ")</f>
        <v xml:space="preserve"> </v>
      </c>
      <c r="N107" s="6" t="str">
        <f t="shared" si="16"/>
        <v xml:space="preserve"> </v>
      </c>
      <c r="O107" s="7" t="str">
        <f>IF(IF(COUNTIF($B$5:B107,B107)&gt;1," ",SUMIF($B$5:$B$423,B107,$J$5:$J$423))=0," ",IF(COUNTIF($B$5:B107,B107)&gt;1," ",SUMIF($B$5:$B$423,B107,$J$5:$J$423)))</f>
        <v xml:space="preserve"> </v>
      </c>
      <c r="P107" s="8" t="str">
        <f>IF(IF(COUNTIF($B$5:B107,B107)&gt;1," ",SUMIF($B$5:$B$423,B107,$L$5:$L$423))=0," ",IF(COUNTIF($B$5:B107,B107)&gt;1," ",SUMIF($B$5:$B$423,B107,$L$5:$L$423)))</f>
        <v xml:space="preserve"> </v>
      </c>
      <c r="Q107" s="8" t="str">
        <f t="shared" si="18"/>
        <v xml:space="preserve"> </v>
      </c>
      <c r="R107" s="8" t="str">
        <f t="shared" si="17"/>
        <v xml:space="preserve"> </v>
      </c>
      <c r="S107" s="48" t="str">
        <f t="shared" si="15"/>
        <v xml:space="preserve"> </v>
      </c>
      <c r="T107" s="14" t="str">
        <f>IF(F107&gt;0,IFERROR(VLOOKUP($F107,[1]Sheet1!$C$3:$L$3445,10,0),"EOSS"),"")</f>
        <v/>
      </c>
    </row>
    <row r="108" spans="1:20" x14ac:dyDescent="0.3">
      <c r="A108" s="32"/>
      <c r="B108" s="2"/>
      <c r="C108" s="5" t="str">
        <f t="shared" si="10"/>
        <v xml:space="preserve"> </v>
      </c>
      <c r="D108" s="2"/>
      <c r="E108" s="3"/>
      <c r="F108" s="4"/>
      <c r="G108" s="5"/>
      <c r="H108" s="5"/>
      <c r="I108" s="5" t="str">
        <f t="shared" si="11"/>
        <v xml:space="preserve"> </v>
      </c>
      <c r="J108" s="33"/>
      <c r="K108" s="5" t="str">
        <f t="shared" si="12"/>
        <v xml:space="preserve"> </v>
      </c>
      <c r="L108" s="3" t="str">
        <f t="shared" si="13"/>
        <v xml:space="preserve"> </v>
      </c>
      <c r="M108" s="3" t="str">
        <f>IF(E108&gt;0,IFERROR(VLOOKUP($E108,'[2]Table 1'!$B$2:$I$147,8,0),"0.00")," ")</f>
        <v xml:space="preserve"> </v>
      </c>
      <c r="N108" s="6" t="str">
        <f t="shared" si="16"/>
        <v xml:space="preserve"> </v>
      </c>
      <c r="O108" s="7" t="str">
        <f>IF(IF(COUNTIF($B$5:B108,B108)&gt;1," ",SUMIF($B$5:$B$423,B108,$J$5:$J$423))=0," ",IF(COUNTIF($B$5:B108,B108)&gt;1," ",SUMIF($B$5:$B$423,B108,$J$5:$J$423)))</f>
        <v xml:space="preserve"> </v>
      </c>
      <c r="P108" s="8" t="str">
        <f>IF(IF(COUNTIF($B$5:B108,B108)&gt;1," ",SUMIF($B$5:$B$423,B108,$L$5:$L$423))=0," ",IF(COUNTIF($B$5:B108,B108)&gt;1," ",SUMIF($B$5:$B$423,B108,$L$5:$L$423)))</f>
        <v xml:space="preserve"> </v>
      </c>
      <c r="Q108" s="8" t="str">
        <f t="shared" si="18"/>
        <v xml:space="preserve"> </v>
      </c>
      <c r="R108" s="8" t="str">
        <f t="shared" si="17"/>
        <v xml:space="preserve"> </v>
      </c>
      <c r="S108" s="48" t="str">
        <f t="shared" si="15"/>
        <v xml:space="preserve"> </v>
      </c>
      <c r="T108" s="14" t="str">
        <f>IF(F108&gt;0,IFERROR(VLOOKUP($F108,[1]Sheet1!$C$3:$L$3445,10,0),"EOSS"),"")</f>
        <v/>
      </c>
    </row>
    <row r="109" spans="1:20" x14ac:dyDescent="0.3">
      <c r="A109" s="32"/>
      <c r="B109" s="2"/>
      <c r="C109" s="5" t="str">
        <f t="shared" si="10"/>
        <v xml:space="preserve"> </v>
      </c>
      <c r="D109" s="2"/>
      <c r="E109" s="3"/>
      <c r="F109" s="4"/>
      <c r="G109" s="5"/>
      <c r="H109" s="5"/>
      <c r="I109" s="5" t="str">
        <f t="shared" si="11"/>
        <v xml:space="preserve"> </v>
      </c>
      <c r="J109" s="33"/>
      <c r="K109" s="5" t="str">
        <f t="shared" si="12"/>
        <v xml:space="preserve"> </v>
      </c>
      <c r="L109" s="3" t="str">
        <f t="shared" si="13"/>
        <v xml:space="preserve"> </v>
      </c>
      <c r="M109" s="3" t="str">
        <f>IF(E109&gt;0,IFERROR(VLOOKUP($E109,'[2]Table 1'!$B$2:$I$147,8,0),"0.00")," ")</f>
        <v xml:space="preserve"> </v>
      </c>
      <c r="N109" s="6" t="str">
        <f t="shared" si="16"/>
        <v xml:space="preserve"> </v>
      </c>
      <c r="O109" s="7" t="str">
        <f>IF(IF(COUNTIF($B$5:B109,B109)&gt;1," ",SUMIF($B$5:$B$423,B109,$J$5:$J$423))=0," ",IF(COUNTIF($B$5:B109,B109)&gt;1," ",SUMIF($B$5:$B$423,B109,$J$5:$J$423)))</f>
        <v xml:space="preserve"> </v>
      </c>
      <c r="P109" s="8" t="str">
        <f>IF(IF(COUNTIF($B$5:B109,B109)&gt;1," ",SUMIF($B$5:$B$423,B109,$L$5:$L$423))=0," ",IF(COUNTIF($B$5:B109,B109)&gt;1," ",SUMIF($B$5:$B$423,B109,$L$5:$L$423)))</f>
        <v xml:space="preserve"> </v>
      </c>
      <c r="Q109" s="8" t="str">
        <f t="shared" si="18"/>
        <v xml:space="preserve"> </v>
      </c>
      <c r="R109" s="8" t="str">
        <f t="shared" si="17"/>
        <v xml:space="preserve"> </v>
      </c>
      <c r="S109" s="48" t="str">
        <f t="shared" si="15"/>
        <v xml:space="preserve"> </v>
      </c>
      <c r="T109" s="14" t="str">
        <f>IF(F109&gt;0,IFERROR(VLOOKUP($F109,[1]Sheet1!$C$3:$L$3445,10,0),"EOSS"),"")</f>
        <v/>
      </c>
    </row>
    <row r="110" spans="1:20" x14ac:dyDescent="0.3">
      <c r="A110" s="32"/>
      <c r="B110" s="2"/>
      <c r="C110" s="5" t="str">
        <f t="shared" si="10"/>
        <v xml:space="preserve"> </v>
      </c>
      <c r="D110" s="2"/>
      <c r="E110" s="3"/>
      <c r="F110" s="4"/>
      <c r="G110" s="5"/>
      <c r="H110" s="5"/>
      <c r="I110" s="5" t="str">
        <f t="shared" si="11"/>
        <v xml:space="preserve"> </v>
      </c>
      <c r="J110" s="33"/>
      <c r="K110" s="5" t="str">
        <f t="shared" si="12"/>
        <v xml:space="preserve"> </v>
      </c>
      <c r="L110" s="3" t="str">
        <f t="shared" si="13"/>
        <v xml:space="preserve"> </v>
      </c>
      <c r="M110" s="3" t="str">
        <f>IF(E110&gt;0,IFERROR(VLOOKUP($E110,'[2]Table 1'!$B$2:$I$147,8,0),"0.00")," ")</f>
        <v xml:space="preserve"> </v>
      </c>
      <c r="N110" s="6" t="str">
        <f t="shared" si="16"/>
        <v xml:space="preserve"> </v>
      </c>
      <c r="O110" s="7" t="str">
        <f>IF(IF(COUNTIF($B$5:B110,B110)&gt;1," ",SUMIF($B$5:$B$423,B110,$J$5:$J$423))=0," ",IF(COUNTIF($B$5:B110,B110)&gt;1," ",SUMIF($B$5:$B$423,B110,$J$5:$J$423)))</f>
        <v xml:space="preserve"> </v>
      </c>
      <c r="P110" s="8" t="str">
        <f>IF(IF(COUNTIF($B$5:B110,B110)&gt;1," ",SUMIF($B$5:$B$423,B110,$L$5:$L$423))=0," ",IF(COUNTIF($B$5:B110,B110)&gt;1," ",SUMIF($B$5:$B$423,B110,$L$5:$L$423)))</f>
        <v xml:space="preserve"> </v>
      </c>
      <c r="Q110" s="8" t="str">
        <f t="shared" si="18"/>
        <v xml:space="preserve"> </v>
      </c>
      <c r="R110" s="8" t="str">
        <f t="shared" si="17"/>
        <v xml:space="preserve"> </v>
      </c>
      <c r="S110" s="48" t="str">
        <f t="shared" si="15"/>
        <v xml:space="preserve"> </v>
      </c>
      <c r="T110" s="14" t="str">
        <f>IF(F110&gt;0,IFERROR(VLOOKUP($F110,[1]Sheet1!$C$3:$L$3445,10,0),"EOSS"),"")</f>
        <v/>
      </c>
    </row>
    <row r="111" spans="1:20" x14ac:dyDescent="0.3">
      <c r="A111" s="32"/>
      <c r="B111" s="2"/>
      <c r="C111" s="5" t="str">
        <f t="shared" si="10"/>
        <v xml:space="preserve"> </v>
      </c>
      <c r="D111" s="2"/>
      <c r="E111" s="3"/>
      <c r="F111" s="4"/>
      <c r="G111" s="5"/>
      <c r="H111" s="5"/>
      <c r="I111" s="5" t="str">
        <f t="shared" si="11"/>
        <v xml:space="preserve"> </v>
      </c>
      <c r="J111" s="33"/>
      <c r="K111" s="5" t="str">
        <f t="shared" si="12"/>
        <v xml:space="preserve"> </v>
      </c>
      <c r="L111" s="3" t="str">
        <f t="shared" si="13"/>
        <v xml:space="preserve"> </v>
      </c>
      <c r="M111" s="3" t="str">
        <f>IF(E111&gt;0,IFERROR(VLOOKUP($E111,'[2]Table 1'!$B$2:$I$147,8,0),"0.00")," ")</f>
        <v xml:space="preserve"> </v>
      </c>
      <c r="N111" s="6" t="str">
        <f t="shared" si="16"/>
        <v xml:space="preserve"> </v>
      </c>
      <c r="O111" s="7" t="str">
        <f>IF(IF(COUNTIF($B$5:B111,B111)&gt;1," ",SUMIF($B$5:$B$423,B111,$J$5:$J$423))=0," ",IF(COUNTIF($B$5:B111,B111)&gt;1," ",SUMIF($B$5:$B$423,B111,$J$5:$J$423)))</f>
        <v xml:space="preserve"> </v>
      </c>
      <c r="P111" s="8" t="str">
        <f>IF(IF(COUNTIF($B$5:B111,B111)&gt;1," ",SUMIF($B$5:$B$423,B111,$L$5:$L$423))=0," ",IF(COUNTIF($B$5:B111,B111)&gt;1," ",SUMIF($B$5:$B$423,B111,$L$5:$L$423)))</f>
        <v xml:space="preserve"> </v>
      </c>
      <c r="Q111" s="8" t="str">
        <f t="shared" si="18"/>
        <v xml:space="preserve"> </v>
      </c>
      <c r="R111" s="8" t="str">
        <f t="shared" si="17"/>
        <v xml:space="preserve"> </v>
      </c>
      <c r="S111" s="48" t="str">
        <f t="shared" si="15"/>
        <v xml:space="preserve"> </v>
      </c>
      <c r="T111" s="14" t="str">
        <f>IF(F111&gt;0,IFERROR(VLOOKUP($F111,[1]Sheet1!$C$3:$L$3445,10,0),"EOSS"),"")</f>
        <v/>
      </c>
    </row>
    <row r="112" spans="1:20" x14ac:dyDescent="0.3">
      <c r="A112" s="32"/>
      <c r="B112" s="2"/>
      <c r="C112" s="5" t="str">
        <f t="shared" si="10"/>
        <v xml:space="preserve"> </v>
      </c>
      <c r="D112" s="2"/>
      <c r="E112" s="3"/>
      <c r="F112" s="4"/>
      <c r="G112" s="5"/>
      <c r="H112" s="5"/>
      <c r="I112" s="5" t="str">
        <f t="shared" si="11"/>
        <v xml:space="preserve"> </v>
      </c>
      <c r="J112" s="33"/>
      <c r="K112" s="5" t="str">
        <f t="shared" si="12"/>
        <v xml:space="preserve"> </v>
      </c>
      <c r="L112" s="3" t="str">
        <f t="shared" si="13"/>
        <v xml:space="preserve"> </v>
      </c>
      <c r="M112" s="3" t="str">
        <f>IF(E112&gt;0,IFERROR(VLOOKUP($E112,'[2]Table 1'!$B$2:$I$147,8,0),"0.00")," ")</f>
        <v xml:space="preserve"> </v>
      </c>
      <c r="N112" s="6" t="str">
        <f t="shared" si="16"/>
        <v xml:space="preserve"> </v>
      </c>
      <c r="O112" s="7" t="str">
        <f>IF(IF(COUNTIF($B$5:B112,B112)&gt;1," ",SUMIF($B$5:$B$423,B112,$J$5:$J$423))=0," ",IF(COUNTIF($B$5:B112,B112)&gt;1," ",SUMIF($B$5:$B$423,B112,$J$5:$J$423)))</f>
        <v xml:space="preserve"> </v>
      </c>
      <c r="P112" s="8" t="str">
        <f>IF(IF(COUNTIF($B$5:B112,B112)&gt;1," ",SUMIF($B$5:$B$423,B112,$L$5:$L$423))=0," ",IF(COUNTIF($B$5:B112,B112)&gt;1," ",SUMIF($B$5:$B$423,B112,$L$5:$L$423)))</f>
        <v xml:space="preserve"> </v>
      </c>
      <c r="Q112" s="8" t="str">
        <f t="shared" si="18"/>
        <v xml:space="preserve"> </v>
      </c>
      <c r="R112" s="8" t="str">
        <f t="shared" si="17"/>
        <v xml:space="preserve"> </v>
      </c>
      <c r="S112" s="48" t="str">
        <f t="shared" si="15"/>
        <v xml:space="preserve"> </v>
      </c>
      <c r="T112" s="14" t="str">
        <f>IF(F112&gt;0,IFERROR(VLOOKUP($F112,[1]Sheet1!$C$3:$L$3445,10,0),"EOSS"),"")</f>
        <v/>
      </c>
    </row>
    <row r="113" spans="1:20" x14ac:dyDescent="0.3">
      <c r="A113" s="32"/>
      <c r="B113" s="2"/>
      <c r="C113" s="5" t="str">
        <f t="shared" si="10"/>
        <v xml:space="preserve"> </v>
      </c>
      <c r="D113" s="2"/>
      <c r="E113" s="3"/>
      <c r="F113" s="4"/>
      <c r="G113" s="5"/>
      <c r="H113" s="5"/>
      <c r="I113" s="5" t="str">
        <f t="shared" si="11"/>
        <v xml:space="preserve"> </v>
      </c>
      <c r="J113" s="33"/>
      <c r="K113" s="5" t="str">
        <f t="shared" si="12"/>
        <v xml:space="preserve"> </v>
      </c>
      <c r="L113" s="3" t="str">
        <f t="shared" si="13"/>
        <v xml:space="preserve"> </v>
      </c>
      <c r="M113" s="3" t="str">
        <f>IF(E113&gt;0,IFERROR(VLOOKUP($E113,'[2]Table 1'!$B$2:$I$147,8,0),"0.00")," ")</f>
        <v xml:space="preserve"> </v>
      </c>
      <c r="N113" s="6" t="str">
        <f t="shared" si="16"/>
        <v xml:space="preserve"> </v>
      </c>
      <c r="O113" s="7" t="str">
        <f>IF(IF(COUNTIF($B$5:B113,B113)&gt;1," ",SUMIF($B$5:$B$423,B113,$J$5:$J$423))=0," ",IF(COUNTIF($B$5:B113,B113)&gt;1," ",SUMIF($B$5:$B$423,B113,$J$5:$J$423)))</f>
        <v xml:space="preserve"> </v>
      </c>
      <c r="P113" s="8" t="str">
        <f>IF(IF(COUNTIF($B$5:B113,B113)&gt;1," ",SUMIF($B$5:$B$423,B113,$L$5:$L$423))=0," ",IF(COUNTIF($B$5:B113,B113)&gt;1," ",SUMIF($B$5:$B$423,B113,$L$5:$L$423)))</f>
        <v xml:space="preserve"> </v>
      </c>
      <c r="Q113" s="8" t="str">
        <f t="shared" si="18"/>
        <v xml:space="preserve"> </v>
      </c>
      <c r="R113" s="8" t="str">
        <f t="shared" si="17"/>
        <v xml:space="preserve"> </v>
      </c>
      <c r="S113" s="48" t="str">
        <f t="shared" si="15"/>
        <v xml:space="preserve"> </v>
      </c>
      <c r="T113" s="14" t="str">
        <f>IF(F113&gt;0,IFERROR(VLOOKUP($F113,[1]Sheet1!$C$3:$L$3445,10,0),"EOSS"),"")</f>
        <v/>
      </c>
    </row>
    <row r="114" spans="1:20" x14ac:dyDescent="0.3">
      <c r="A114" s="32"/>
      <c r="B114" s="2"/>
      <c r="C114" s="5" t="str">
        <f t="shared" si="10"/>
        <v xml:space="preserve"> </v>
      </c>
      <c r="D114" s="2"/>
      <c r="E114" s="3"/>
      <c r="F114" s="4"/>
      <c r="G114" s="5"/>
      <c r="H114" s="5"/>
      <c r="I114" s="5" t="str">
        <f t="shared" si="11"/>
        <v xml:space="preserve"> </v>
      </c>
      <c r="J114" s="33"/>
      <c r="K114" s="5" t="str">
        <f t="shared" si="12"/>
        <v xml:space="preserve"> </v>
      </c>
      <c r="L114" s="3" t="str">
        <f t="shared" si="13"/>
        <v xml:space="preserve"> </v>
      </c>
      <c r="M114" s="3" t="str">
        <f>IF(E114&gt;0,IFERROR(VLOOKUP($E114,'[2]Table 1'!$B$2:$I$147,8,0),"0.00")," ")</f>
        <v xml:space="preserve"> </v>
      </c>
      <c r="N114" s="6" t="str">
        <f t="shared" si="16"/>
        <v xml:space="preserve"> </v>
      </c>
      <c r="O114" s="7" t="str">
        <f>IF(IF(COUNTIF($B$5:B114,B114)&gt;1," ",SUMIF($B$5:$B$423,B114,$J$5:$J$423))=0," ",IF(COUNTIF($B$5:B114,B114)&gt;1," ",SUMIF($B$5:$B$423,B114,$J$5:$J$423)))</f>
        <v xml:space="preserve"> </v>
      </c>
      <c r="P114" s="8" t="str">
        <f>IF(IF(COUNTIF($B$5:B114,B114)&gt;1," ",SUMIF($B$5:$B$423,B114,$L$5:$L$423))=0," ",IF(COUNTIF($B$5:B114,B114)&gt;1," ",SUMIF($B$5:$B$423,B114,$L$5:$L$423)))</f>
        <v xml:space="preserve"> </v>
      </c>
      <c r="Q114" s="8" t="str">
        <f t="shared" si="18"/>
        <v xml:space="preserve"> </v>
      </c>
      <c r="R114" s="8" t="str">
        <f t="shared" si="17"/>
        <v xml:space="preserve"> </v>
      </c>
      <c r="S114" s="48" t="str">
        <f t="shared" si="15"/>
        <v xml:space="preserve"> </v>
      </c>
      <c r="T114" s="14" t="str">
        <f>IF(F114&gt;0,IFERROR(VLOOKUP($F114,[1]Sheet1!$C$3:$L$3445,10,0),"EOSS"),"")</f>
        <v/>
      </c>
    </row>
    <row r="115" spans="1:20" x14ac:dyDescent="0.3">
      <c r="A115" s="32"/>
      <c r="B115" s="2"/>
      <c r="C115" s="5" t="str">
        <f t="shared" si="10"/>
        <v xml:space="preserve"> </v>
      </c>
      <c r="D115" s="2"/>
      <c r="E115" s="3"/>
      <c r="F115" s="4"/>
      <c r="G115" s="5"/>
      <c r="H115" s="5"/>
      <c r="I115" s="5" t="str">
        <f t="shared" si="11"/>
        <v xml:space="preserve"> </v>
      </c>
      <c r="J115" s="33"/>
      <c r="K115" s="5" t="str">
        <f t="shared" si="12"/>
        <v xml:space="preserve"> </v>
      </c>
      <c r="L115" s="3" t="str">
        <f t="shared" si="13"/>
        <v xml:space="preserve"> </v>
      </c>
      <c r="M115" s="3" t="str">
        <f>IF(E115&gt;0,IFERROR(VLOOKUP($E115,'[2]Table 1'!$B$2:$I$147,8,0),"0.00")," ")</f>
        <v xml:space="preserve"> </v>
      </c>
      <c r="N115" s="6" t="str">
        <f t="shared" si="16"/>
        <v xml:space="preserve"> </v>
      </c>
      <c r="O115" s="7" t="str">
        <f>IF(IF(COUNTIF($B$5:B115,B115)&gt;1," ",SUMIF($B$5:$B$423,B115,$J$5:$J$423))=0," ",IF(COUNTIF($B$5:B115,B115)&gt;1," ",SUMIF($B$5:$B$423,B115,$J$5:$J$423)))</f>
        <v xml:space="preserve"> </v>
      </c>
      <c r="P115" s="8" t="str">
        <f>IF(IF(COUNTIF($B$5:B115,B115)&gt;1," ",SUMIF($B$5:$B$423,B115,$L$5:$L$423))=0," ",IF(COUNTIF($B$5:B115,B115)&gt;1," ",SUMIF($B$5:$B$423,B115,$L$5:$L$423)))</f>
        <v xml:space="preserve"> </v>
      </c>
      <c r="Q115" s="8" t="str">
        <f t="shared" si="18"/>
        <v xml:space="preserve"> </v>
      </c>
      <c r="R115" s="8" t="str">
        <f t="shared" si="17"/>
        <v xml:space="preserve"> </v>
      </c>
      <c r="S115" s="48" t="str">
        <f t="shared" si="15"/>
        <v xml:space="preserve"> </v>
      </c>
      <c r="T115" s="14" t="str">
        <f>IF(F115&gt;0,IFERROR(VLOOKUP($F115,[1]Sheet1!$C$3:$L$3445,10,0),"EOSS"),"")</f>
        <v/>
      </c>
    </row>
    <row r="116" spans="1:20" x14ac:dyDescent="0.3">
      <c r="A116" s="32"/>
      <c r="B116" s="2"/>
      <c r="C116" s="5" t="str">
        <f t="shared" si="10"/>
        <v xml:space="preserve"> </v>
      </c>
      <c r="D116" s="2"/>
      <c r="E116" s="3"/>
      <c r="F116" s="4"/>
      <c r="G116" s="5"/>
      <c r="H116" s="5"/>
      <c r="I116" s="5" t="str">
        <f t="shared" si="11"/>
        <v xml:space="preserve"> </v>
      </c>
      <c r="J116" s="33"/>
      <c r="K116" s="5" t="str">
        <f t="shared" si="12"/>
        <v xml:space="preserve"> </v>
      </c>
      <c r="L116" s="3" t="str">
        <f t="shared" si="13"/>
        <v xml:space="preserve"> </v>
      </c>
      <c r="M116" s="3" t="str">
        <f>IF(E116&gt;0,IFERROR(VLOOKUP($E116,'[2]Table 1'!$B$2:$I$147,8,0),"0.00")," ")</f>
        <v xml:space="preserve"> </v>
      </c>
      <c r="N116" s="6" t="str">
        <f t="shared" si="16"/>
        <v xml:space="preserve"> </v>
      </c>
      <c r="O116" s="7" t="str">
        <f>IF(IF(COUNTIF($B$5:B116,B116)&gt;1," ",SUMIF($B$5:$B$423,B116,$J$5:$J$423))=0," ",IF(COUNTIF($B$5:B116,B116)&gt;1," ",SUMIF($B$5:$B$423,B116,$J$5:$J$423)))</f>
        <v xml:space="preserve"> </v>
      </c>
      <c r="P116" s="8" t="str">
        <f>IF(IF(COUNTIF($B$5:B116,B116)&gt;1," ",SUMIF($B$5:$B$423,B116,$L$5:$L$423))=0," ",IF(COUNTIF($B$5:B116,B116)&gt;1," ",SUMIF($B$5:$B$423,B116,$L$5:$L$423)))</f>
        <v xml:space="preserve"> </v>
      </c>
      <c r="Q116" s="8" t="str">
        <f t="shared" si="18"/>
        <v xml:space="preserve"> </v>
      </c>
      <c r="R116" s="8" t="str">
        <f t="shared" si="17"/>
        <v xml:space="preserve"> </v>
      </c>
      <c r="S116" s="48" t="str">
        <f t="shared" si="15"/>
        <v xml:space="preserve"> </v>
      </c>
      <c r="T116" s="14" t="str">
        <f>IF(F116&gt;0,IFERROR(VLOOKUP($F116,[1]Sheet1!$C$3:$L$3445,10,0),"EOSS"),"")</f>
        <v/>
      </c>
    </row>
    <row r="117" spans="1:20" x14ac:dyDescent="0.3">
      <c r="A117" s="32"/>
      <c r="B117" s="2"/>
      <c r="C117" s="5" t="str">
        <f t="shared" si="10"/>
        <v xml:space="preserve"> </v>
      </c>
      <c r="D117" s="2"/>
      <c r="E117" s="3"/>
      <c r="F117" s="4"/>
      <c r="G117" s="5"/>
      <c r="H117" s="5"/>
      <c r="I117" s="5" t="str">
        <f t="shared" si="11"/>
        <v xml:space="preserve"> </v>
      </c>
      <c r="J117" s="33"/>
      <c r="K117" s="5" t="str">
        <f t="shared" si="12"/>
        <v xml:space="preserve"> </v>
      </c>
      <c r="L117" s="3" t="str">
        <f t="shared" si="13"/>
        <v xml:space="preserve"> </v>
      </c>
      <c r="M117" s="3" t="str">
        <f>IF(E117&gt;0,IFERROR(VLOOKUP($E117,'[2]Table 1'!$B$2:$I$147,8,0),"0.00")," ")</f>
        <v xml:space="preserve"> </v>
      </c>
      <c r="N117" s="6" t="str">
        <f t="shared" si="16"/>
        <v xml:space="preserve"> </v>
      </c>
      <c r="O117" s="7" t="str">
        <f>IF(IF(COUNTIF($B$5:B117,B117)&gt;1," ",SUMIF($B$5:$B$423,B117,$J$5:$J$423))=0," ",IF(COUNTIF($B$5:B117,B117)&gt;1," ",SUMIF($B$5:$B$423,B117,$J$5:$J$423)))</f>
        <v xml:space="preserve"> </v>
      </c>
      <c r="P117" s="8" t="str">
        <f>IF(IF(COUNTIF($B$5:B117,B117)&gt;1," ",SUMIF($B$5:$B$423,B117,$L$5:$L$423))=0," ",IF(COUNTIF($B$5:B117,B117)&gt;1," ",SUMIF($B$5:$B$423,B117,$L$5:$L$423)))</f>
        <v xml:space="preserve"> </v>
      </c>
      <c r="Q117" s="8" t="str">
        <f t="shared" si="18"/>
        <v xml:space="preserve"> </v>
      </c>
      <c r="R117" s="8" t="str">
        <f t="shared" si="17"/>
        <v xml:space="preserve"> </v>
      </c>
      <c r="S117" s="48" t="str">
        <f t="shared" si="15"/>
        <v xml:space="preserve"> </v>
      </c>
      <c r="T117" s="14" t="str">
        <f>IF(F117&gt;0,IFERROR(VLOOKUP($F117,[1]Sheet1!$C$3:$L$3445,10,0),"EOSS"),"")</f>
        <v/>
      </c>
    </row>
    <row r="118" spans="1:20" x14ac:dyDescent="0.3">
      <c r="A118" s="32"/>
      <c r="B118" s="2"/>
      <c r="C118" s="5" t="str">
        <f t="shared" si="10"/>
        <v xml:space="preserve"> </v>
      </c>
      <c r="D118" s="2"/>
      <c r="E118" s="3"/>
      <c r="F118" s="4"/>
      <c r="G118" s="5"/>
      <c r="H118" s="5"/>
      <c r="I118" s="5" t="str">
        <f t="shared" si="11"/>
        <v xml:space="preserve"> </v>
      </c>
      <c r="J118" s="33"/>
      <c r="K118" s="5" t="str">
        <f t="shared" si="12"/>
        <v xml:space="preserve"> </v>
      </c>
      <c r="L118" s="3" t="str">
        <f t="shared" si="13"/>
        <v xml:space="preserve"> </v>
      </c>
      <c r="M118" s="3" t="str">
        <f>IF(E118&gt;0,IFERROR(VLOOKUP($E118,'[2]Table 1'!$B$2:$I$147,8,0),"0.00")," ")</f>
        <v xml:space="preserve"> </v>
      </c>
      <c r="N118" s="6" t="str">
        <f t="shared" si="16"/>
        <v xml:space="preserve"> </v>
      </c>
      <c r="O118" s="7" t="str">
        <f>IF(IF(COUNTIF($B$5:B118,B118)&gt;1," ",SUMIF($B$5:$B$423,B118,$J$5:$J$423))=0," ",IF(COUNTIF($B$5:B118,B118)&gt;1," ",SUMIF($B$5:$B$423,B118,$J$5:$J$423)))</f>
        <v xml:space="preserve"> </v>
      </c>
      <c r="P118" s="8" t="str">
        <f>IF(IF(COUNTIF($B$5:B118,B118)&gt;1," ",SUMIF($B$5:$B$423,B118,$L$5:$L$423))=0," ",IF(COUNTIF($B$5:B118,B118)&gt;1," ",SUMIF($B$5:$B$423,B118,$L$5:$L$423)))</f>
        <v xml:space="preserve"> </v>
      </c>
      <c r="Q118" s="8" t="str">
        <f t="shared" si="18"/>
        <v xml:space="preserve"> </v>
      </c>
      <c r="R118" s="8" t="str">
        <f t="shared" si="17"/>
        <v xml:space="preserve"> </v>
      </c>
      <c r="S118" s="48" t="str">
        <f t="shared" si="15"/>
        <v xml:space="preserve"> </v>
      </c>
      <c r="T118" s="14" t="str">
        <f>IF(F118&gt;0,IFERROR(VLOOKUP($F118,[1]Sheet1!$C$3:$L$3445,10,0),"EOSS"),"")</f>
        <v/>
      </c>
    </row>
    <row r="119" spans="1:20" x14ac:dyDescent="0.3">
      <c r="A119" s="32"/>
      <c r="B119" s="2"/>
      <c r="C119" s="5" t="str">
        <f t="shared" si="10"/>
        <v xml:space="preserve"> </v>
      </c>
      <c r="D119" s="2"/>
      <c r="E119" s="3"/>
      <c r="F119" s="4"/>
      <c r="G119" s="5"/>
      <c r="H119" s="5"/>
      <c r="I119" s="5" t="str">
        <f t="shared" si="11"/>
        <v xml:space="preserve"> </v>
      </c>
      <c r="J119" s="33"/>
      <c r="K119" s="5" t="str">
        <f t="shared" si="12"/>
        <v xml:space="preserve"> </v>
      </c>
      <c r="L119" s="3" t="str">
        <f t="shared" si="13"/>
        <v xml:space="preserve"> </v>
      </c>
      <c r="M119" s="3" t="str">
        <f>IF(E119&gt;0,IFERROR(VLOOKUP($E119,'[2]Table 1'!$B$2:$I$147,8,0),"0.00")," ")</f>
        <v xml:space="preserve"> </v>
      </c>
      <c r="N119" s="6" t="str">
        <f t="shared" si="16"/>
        <v xml:space="preserve"> </v>
      </c>
      <c r="O119" s="7" t="str">
        <f>IF(IF(COUNTIF($B$5:B119,B119)&gt;1," ",SUMIF($B$5:$B$423,B119,$J$5:$J$423))=0," ",IF(COUNTIF($B$5:B119,B119)&gt;1," ",SUMIF($B$5:$B$423,B119,$J$5:$J$423)))</f>
        <v xml:space="preserve"> </v>
      </c>
      <c r="P119" s="8" t="str">
        <f>IF(IF(COUNTIF($B$5:B119,B119)&gt;1," ",SUMIF($B$5:$B$423,B119,$L$5:$L$423))=0," ",IF(COUNTIF($B$5:B119,B119)&gt;1," ",SUMIF($B$5:$B$423,B119,$L$5:$L$423)))</f>
        <v xml:space="preserve"> </v>
      </c>
      <c r="Q119" s="8" t="str">
        <f t="shared" si="18"/>
        <v xml:space="preserve"> </v>
      </c>
      <c r="R119" s="8" t="str">
        <f t="shared" si="17"/>
        <v xml:space="preserve"> </v>
      </c>
      <c r="S119" s="48" t="str">
        <f t="shared" si="15"/>
        <v xml:space="preserve"> </v>
      </c>
      <c r="T119" s="14" t="str">
        <f>IF(F119&gt;0,IFERROR(VLOOKUP($F119,[1]Sheet1!$C$3:$L$3445,10,0),"EOSS"),"")</f>
        <v/>
      </c>
    </row>
    <row r="120" spans="1:20" x14ac:dyDescent="0.3">
      <c r="A120" s="32"/>
      <c r="B120" s="2"/>
      <c r="C120" s="5" t="str">
        <f t="shared" si="10"/>
        <v xml:space="preserve"> </v>
      </c>
      <c r="D120" s="2"/>
      <c r="E120" s="3"/>
      <c r="F120" s="4"/>
      <c r="G120" s="5"/>
      <c r="H120" s="5"/>
      <c r="I120" s="5" t="str">
        <f t="shared" si="11"/>
        <v xml:space="preserve"> </v>
      </c>
      <c r="J120" s="33"/>
      <c r="K120" s="5" t="str">
        <f t="shared" si="12"/>
        <v xml:space="preserve"> </v>
      </c>
      <c r="L120" s="3" t="str">
        <f t="shared" si="13"/>
        <v xml:space="preserve"> </v>
      </c>
      <c r="M120" s="3" t="str">
        <f>IF(E120&gt;0,IFERROR(VLOOKUP($E120,'[2]Table 1'!$B$2:$I$147,8,0),"0.00")," ")</f>
        <v xml:space="preserve"> </v>
      </c>
      <c r="N120" s="6" t="str">
        <f t="shared" si="16"/>
        <v xml:space="preserve"> </v>
      </c>
      <c r="O120" s="7" t="str">
        <f>IF(IF(COUNTIF($B$5:B120,B120)&gt;1," ",SUMIF($B$5:$B$423,B120,$J$5:$J$423))=0," ",IF(COUNTIF($B$5:B120,B120)&gt;1," ",SUMIF($B$5:$B$423,B120,$J$5:$J$423)))</f>
        <v xml:space="preserve"> </v>
      </c>
      <c r="P120" s="8" t="str">
        <f>IF(IF(COUNTIF($B$5:B120,B120)&gt;1," ",SUMIF($B$5:$B$423,B120,$L$5:$L$423))=0," ",IF(COUNTIF($B$5:B120,B120)&gt;1," ",SUMIF($B$5:$B$423,B120,$L$5:$L$423)))</f>
        <v xml:space="preserve"> </v>
      </c>
      <c r="Q120" s="8" t="str">
        <f t="shared" si="18"/>
        <v xml:space="preserve"> </v>
      </c>
      <c r="R120" s="8" t="str">
        <f t="shared" si="17"/>
        <v xml:space="preserve"> </v>
      </c>
      <c r="S120" s="48" t="str">
        <f t="shared" si="15"/>
        <v xml:space="preserve"> </v>
      </c>
      <c r="T120" s="14" t="str">
        <f>IF(F120&gt;0,IFERROR(VLOOKUP($F120,[1]Sheet1!$C$3:$L$3445,10,0),"EOSS"),"")</f>
        <v/>
      </c>
    </row>
    <row r="121" spans="1:20" x14ac:dyDescent="0.3">
      <c r="A121" s="32"/>
      <c r="B121" s="2"/>
      <c r="C121" s="5" t="str">
        <f t="shared" si="10"/>
        <v xml:space="preserve"> </v>
      </c>
      <c r="D121" s="2"/>
      <c r="E121" s="3"/>
      <c r="F121" s="4"/>
      <c r="G121" s="5"/>
      <c r="H121" s="5"/>
      <c r="I121" s="5" t="str">
        <f t="shared" si="11"/>
        <v xml:space="preserve"> </v>
      </c>
      <c r="J121" s="33"/>
      <c r="K121" s="5" t="str">
        <f t="shared" si="12"/>
        <v xml:space="preserve"> </v>
      </c>
      <c r="L121" s="3" t="str">
        <f t="shared" si="13"/>
        <v xml:space="preserve"> </v>
      </c>
      <c r="M121" s="3" t="str">
        <f>IF(E121&gt;0,IFERROR(VLOOKUP($E121,'[2]Table 1'!$B$2:$I$147,8,0),"0.00")," ")</f>
        <v xml:space="preserve"> </v>
      </c>
      <c r="N121" s="6" t="str">
        <f t="shared" si="16"/>
        <v xml:space="preserve"> </v>
      </c>
      <c r="O121" s="7" t="str">
        <f>IF(IF(COUNTIF($B$5:B121,B121)&gt;1," ",SUMIF($B$5:$B$423,B121,$J$5:$J$423))=0," ",IF(COUNTIF($B$5:B121,B121)&gt;1," ",SUMIF($B$5:$B$423,B121,$J$5:$J$423)))</f>
        <v xml:space="preserve"> </v>
      </c>
      <c r="P121" s="8" t="str">
        <f>IF(IF(COUNTIF($B$5:B121,B121)&gt;1," ",SUMIF($B$5:$B$423,B121,$L$5:$L$423))=0," ",IF(COUNTIF($B$5:B121,B121)&gt;1," ",SUMIF($B$5:$B$423,B121,$L$5:$L$423)))</f>
        <v xml:space="preserve"> </v>
      </c>
      <c r="Q121" s="8" t="str">
        <f t="shared" si="18"/>
        <v xml:space="preserve"> </v>
      </c>
      <c r="R121" s="8" t="str">
        <f t="shared" si="17"/>
        <v xml:space="preserve"> </v>
      </c>
      <c r="S121" s="48" t="str">
        <f t="shared" si="15"/>
        <v xml:space="preserve"> </v>
      </c>
      <c r="T121" s="14" t="str">
        <f>IF(F121&gt;0,IFERROR(VLOOKUP($F121,[1]Sheet1!$C$3:$L$3445,10,0),"EOSS"),"")</f>
        <v/>
      </c>
    </row>
    <row r="122" spans="1:20" x14ac:dyDescent="0.3">
      <c r="A122" s="32"/>
      <c r="B122" s="2"/>
      <c r="C122" s="5" t="str">
        <f t="shared" si="10"/>
        <v xml:space="preserve"> </v>
      </c>
      <c r="D122" s="2"/>
      <c r="E122" s="3"/>
      <c r="F122" s="4"/>
      <c r="G122" s="5"/>
      <c r="H122" s="5"/>
      <c r="I122" s="5" t="str">
        <f t="shared" si="11"/>
        <v xml:space="preserve"> </v>
      </c>
      <c r="J122" s="33"/>
      <c r="K122" s="5" t="str">
        <f t="shared" si="12"/>
        <v xml:space="preserve"> </v>
      </c>
      <c r="L122" s="3" t="str">
        <f t="shared" si="13"/>
        <v xml:space="preserve"> </v>
      </c>
      <c r="M122" s="3" t="str">
        <f>IF(E122&gt;0,IFERROR(VLOOKUP($E122,'[2]Table 1'!$B$2:$I$147,8,0),"0.00")," ")</f>
        <v xml:space="preserve"> </v>
      </c>
      <c r="N122" s="6" t="str">
        <f t="shared" si="16"/>
        <v xml:space="preserve"> </v>
      </c>
      <c r="O122" s="7" t="str">
        <f>IF(IF(COUNTIF($B$5:B122,B122)&gt;1," ",SUMIF($B$5:$B$423,B122,$J$5:$J$423))=0," ",IF(COUNTIF($B$5:B122,B122)&gt;1," ",SUMIF($B$5:$B$423,B122,$J$5:$J$423)))</f>
        <v xml:space="preserve"> </v>
      </c>
      <c r="P122" s="8" t="str">
        <f>IF(IF(COUNTIF($B$5:B122,B122)&gt;1," ",SUMIF($B$5:$B$423,B122,$L$5:$L$423))=0," ",IF(COUNTIF($B$5:B122,B122)&gt;1," ",SUMIF($B$5:$B$423,B122,$L$5:$L$423)))</f>
        <v xml:space="preserve"> </v>
      </c>
      <c r="Q122" s="8" t="str">
        <f t="shared" si="18"/>
        <v xml:space="preserve"> </v>
      </c>
      <c r="R122" s="8" t="str">
        <f t="shared" si="17"/>
        <v xml:space="preserve"> </v>
      </c>
      <c r="S122" s="48" t="str">
        <f t="shared" si="15"/>
        <v xml:space="preserve"> </v>
      </c>
      <c r="T122" s="14" t="str">
        <f>IF(F122&gt;0,IFERROR(VLOOKUP($F122,[1]Sheet1!$C$3:$L$3445,10,0),"EOSS"),"")</f>
        <v/>
      </c>
    </row>
    <row r="123" spans="1:20" x14ac:dyDescent="0.3">
      <c r="A123" s="32"/>
      <c r="B123" s="2"/>
      <c r="C123" s="5" t="str">
        <f t="shared" si="10"/>
        <v xml:space="preserve"> </v>
      </c>
      <c r="D123" s="2"/>
      <c r="E123" s="3"/>
      <c r="F123" s="4"/>
      <c r="G123" s="5"/>
      <c r="H123" s="5"/>
      <c r="I123" s="5" t="str">
        <f t="shared" si="11"/>
        <v xml:space="preserve"> </v>
      </c>
      <c r="J123" s="33"/>
      <c r="K123" s="5" t="str">
        <f t="shared" si="12"/>
        <v xml:space="preserve"> </v>
      </c>
      <c r="L123" s="3" t="str">
        <f t="shared" si="13"/>
        <v xml:space="preserve"> </v>
      </c>
      <c r="M123" s="3" t="str">
        <f>IF(E123&gt;0,IFERROR(VLOOKUP($E123,'[2]Table 1'!$B$2:$I$147,8,0),"0.00")," ")</f>
        <v xml:space="preserve"> </v>
      </c>
      <c r="N123" s="6" t="str">
        <f t="shared" si="16"/>
        <v xml:space="preserve"> </v>
      </c>
      <c r="O123" s="7" t="str">
        <f>IF(IF(COUNTIF($B$5:B123,B123)&gt;1," ",SUMIF($B$5:$B$423,B123,$J$5:$J$423))=0," ",IF(COUNTIF($B$5:B123,B123)&gt;1," ",SUMIF($B$5:$B$423,B123,$J$5:$J$423)))</f>
        <v xml:space="preserve"> </v>
      </c>
      <c r="P123" s="8" t="str">
        <f>IF(IF(COUNTIF($B$5:B123,B123)&gt;1," ",SUMIF($B$5:$B$423,B123,$L$5:$L$423))=0," ",IF(COUNTIF($B$5:B123,B123)&gt;1," ",SUMIF($B$5:$B$423,B123,$L$5:$L$423)))</f>
        <v xml:space="preserve"> </v>
      </c>
      <c r="Q123" s="8" t="str">
        <f t="shared" si="18"/>
        <v xml:space="preserve"> </v>
      </c>
      <c r="R123" s="8" t="str">
        <f t="shared" si="17"/>
        <v xml:space="preserve"> </v>
      </c>
      <c r="S123" s="48" t="str">
        <f t="shared" si="15"/>
        <v xml:space="preserve"> </v>
      </c>
      <c r="T123" s="14" t="str">
        <f>IF(F123&gt;0,IFERROR(VLOOKUP($F123,[1]Sheet1!$C$3:$L$3445,10,0),"EOSS"),"")</f>
        <v/>
      </c>
    </row>
    <row r="124" spans="1:20" x14ac:dyDescent="0.3">
      <c r="A124" s="32"/>
      <c r="B124" s="2"/>
      <c r="C124" s="5" t="str">
        <f t="shared" si="10"/>
        <v xml:space="preserve"> </v>
      </c>
      <c r="D124" s="2"/>
      <c r="E124" s="3"/>
      <c r="F124" s="4"/>
      <c r="G124" s="5"/>
      <c r="H124" s="5"/>
      <c r="I124" s="5" t="str">
        <f t="shared" si="11"/>
        <v xml:space="preserve"> </v>
      </c>
      <c r="J124" s="33"/>
      <c r="K124" s="5" t="str">
        <f t="shared" si="12"/>
        <v xml:space="preserve"> </v>
      </c>
      <c r="L124" s="3" t="str">
        <f t="shared" si="13"/>
        <v xml:space="preserve"> </v>
      </c>
      <c r="M124" s="3" t="str">
        <f>IF(E124&gt;0,IFERROR(VLOOKUP($E124,'[2]Table 1'!$B$2:$I$147,8,0),"0.00")," ")</f>
        <v xml:space="preserve"> </v>
      </c>
      <c r="N124" s="6" t="str">
        <f t="shared" si="16"/>
        <v xml:space="preserve"> </v>
      </c>
      <c r="O124" s="7" t="str">
        <f>IF(IF(COUNTIF($B$5:B124,B124)&gt;1," ",SUMIF($B$5:$B$423,B124,$J$5:$J$423))=0," ",IF(COUNTIF($B$5:B124,B124)&gt;1," ",SUMIF($B$5:$B$423,B124,$J$5:$J$423)))</f>
        <v xml:space="preserve"> </v>
      </c>
      <c r="P124" s="8" t="str">
        <f>IF(IF(COUNTIF($B$5:B124,B124)&gt;1," ",SUMIF($B$5:$B$423,B124,$L$5:$L$423))=0," ",IF(COUNTIF($B$5:B124,B124)&gt;1," ",SUMIF($B$5:$B$423,B124,$L$5:$L$423)))</f>
        <v xml:space="preserve"> </v>
      </c>
      <c r="Q124" s="8" t="str">
        <f t="shared" si="18"/>
        <v xml:space="preserve"> </v>
      </c>
      <c r="R124" s="8" t="str">
        <f t="shared" si="17"/>
        <v xml:space="preserve"> </v>
      </c>
      <c r="S124" s="48" t="str">
        <f t="shared" si="15"/>
        <v xml:space="preserve"> </v>
      </c>
      <c r="T124" s="14" t="str">
        <f>IF(F124&gt;0,IFERROR(VLOOKUP($F124,[1]Sheet1!$C$3:$L$3445,10,0),"EOSS"),"")</f>
        <v/>
      </c>
    </row>
    <row r="125" spans="1:20" x14ac:dyDescent="0.3">
      <c r="A125" s="32"/>
      <c r="B125" s="2"/>
      <c r="C125" s="5" t="str">
        <f t="shared" si="10"/>
        <v xml:space="preserve"> </v>
      </c>
      <c r="D125" s="2"/>
      <c r="E125" s="3"/>
      <c r="F125" s="4"/>
      <c r="G125" s="5"/>
      <c r="H125" s="5"/>
      <c r="I125" s="5" t="str">
        <f t="shared" si="11"/>
        <v xml:space="preserve"> </v>
      </c>
      <c r="J125" s="33"/>
      <c r="K125" s="5" t="str">
        <f t="shared" si="12"/>
        <v xml:space="preserve"> </v>
      </c>
      <c r="L125" s="3" t="str">
        <f t="shared" si="13"/>
        <v xml:space="preserve"> </v>
      </c>
      <c r="M125" s="3" t="str">
        <f>IF(E125&gt;0,IFERROR(VLOOKUP($E125,'[2]Table 1'!$B$2:$I$147,8,0),"0.00")," ")</f>
        <v xml:space="preserve"> </v>
      </c>
      <c r="N125" s="6" t="str">
        <f t="shared" si="16"/>
        <v xml:space="preserve"> </v>
      </c>
      <c r="O125" s="7" t="str">
        <f>IF(IF(COUNTIF($B$5:B125,B125)&gt;1," ",SUMIF($B$5:$B$423,B125,$J$5:$J$423))=0," ",IF(COUNTIF($B$5:B125,B125)&gt;1," ",SUMIF($B$5:$B$423,B125,$J$5:$J$423)))</f>
        <v xml:space="preserve"> </v>
      </c>
      <c r="P125" s="8" t="str">
        <f>IF(IF(COUNTIF($B$5:B125,B125)&gt;1," ",SUMIF($B$5:$B$423,B125,$L$5:$L$423))=0," ",IF(COUNTIF($B$5:B125,B125)&gt;1," ",SUMIF($B$5:$B$423,B125,$L$5:$L$423)))</f>
        <v xml:space="preserve"> </v>
      </c>
      <c r="Q125" s="8" t="str">
        <f t="shared" si="18"/>
        <v xml:space="preserve"> </v>
      </c>
      <c r="R125" s="8" t="str">
        <f t="shared" si="17"/>
        <v xml:space="preserve"> </v>
      </c>
      <c r="S125" s="48" t="str">
        <f t="shared" si="15"/>
        <v xml:space="preserve"> </v>
      </c>
      <c r="T125" s="14" t="str">
        <f>IF(F125&gt;0,IFERROR(VLOOKUP($F125,[1]Sheet1!$C$3:$L$3445,10,0),"EOSS"),"")</f>
        <v/>
      </c>
    </row>
    <row r="126" spans="1:20" x14ac:dyDescent="0.3">
      <c r="A126" s="32"/>
      <c r="B126" s="2"/>
      <c r="C126" s="5" t="str">
        <f t="shared" si="10"/>
        <v xml:space="preserve"> </v>
      </c>
      <c r="D126" s="2"/>
      <c r="E126" s="3"/>
      <c r="F126" s="4"/>
      <c r="G126" s="5"/>
      <c r="H126" s="5"/>
      <c r="I126" s="5" t="str">
        <f t="shared" si="11"/>
        <v xml:space="preserve"> </v>
      </c>
      <c r="J126" s="33"/>
      <c r="K126" s="5" t="str">
        <f t="shared" si="12"/>
        <v xml:space="preserve"> </v>
      </c>
      <c r="L126" s="3" t="str">
        <f t="shared" si="13"/>
        <v xml:space="preserve"> </v>
      </c>
      <c r="M126" s="3" t="str">
        <f>IF(E126&gt;0,IFERROR(VLOOKUP($E126,'[2]Table 1'!$B$2:$I$147,8,0),"0.00")," ")</f>
        <v xml:space="preserve"> </v>
      </c>
      <c r="N126" s="6" t="str">
        <f t="shared" si="16"/>
        <v xml:space="preserve"> </v>
      </c>
      <c r="O126" s="7" t="str">
        <f>IF(IF(COUNTIF($B$5:B126,B126)&gt;1," ",SUMIF($B$5:$B$423,B126,$J$5:$J$423))=0," ",IF(COUNTIF($B$5:B126,B126)&gt;1," ",SUMIF($B$5:$B$423,B126,$J$5:$J$423)))</f>
        <v xml:space="preserve"> </v>
      </c>
      <c r="P126" s="8" t="str">
        <f>IF(IF(COUNTIF($B$5:B126,B126)&gt;1," ",SUMIF($B$5:$B$423,B126,$L$5:$L$423))=0," ",IF(COUNTIF($B$5:B126,B126)&gt;1," ",SUMIF($B$5:$B$423,B126,$L$5:$L$423)))</f>
        <v xml:space="preserve"> </v>
      </c>
      <c r="Q126" s="8" t="str">
        <f t="shared" si="18"/>
        <v xml:space="preserve"> </v>
      </c>
      <c r="R126" s="8" t="str">
        <f t="shared" si="17"/>
        <v xml:space="preserve"> </v>
      </c>
      <c r="S126" s="48" t="str">
        <f t="shared" si="15"/>
        <v xml:space="preserve"> </v>
      </c>
      <c r="T126" s="14" t="str">
        <f>IF(F126&gt;0,IFERROR(VLOOKUP($F126,[1]Sheet1!$C$3:$L$3445,10,0),"EOSS"),"")</f>
        <v/>
      </c>
    </row>
    <row r="127" spans="1:20" x14ac:dyDescent="0.3">
      <c r="A127" s="1"/>
      <c r="B127" s="2"/>
      <c r="C127" s="5" t="str">
        <f t="shared" si="10"/>
        <v xml:space="preserve"> </v>
      </c>
      <c r="D127" s="2"/>
      <c r="E127" s="3"/>
      <c r="F127" s="4"/>
      <c r="G127" s="5"/>
      <c r="H127" s="5"/>
      <c r="I127" s="5" t="str">
        <f t="shared" si="11"/>
        <v xml:space="preserve"> </v>
      </c>
      <c r="J127" s="33"/>
      <c r="K127" s="5" t="str">
        <f t="shared" si="12"/>
        <v xml:space="preserve"> </v>
      </c>
      <c r="L127" s="3" t="str">
        <f t="shared" si="13"/>
        <v xml:space="preserve"> </v>
      </c>
      <c r="M127" s="3" t="str">
        <f>IF(E127&gt;0,IFERROR(VLOOKUP($E127,'[2]Table 1'!$B$2:$I$147,8,0),"0.00")," ")</f>
        <v xml:space="preserve"> </v>
      </c>
      <c r="N127" s="6" t="str">
        <f t="shared" si="16"/>
        <v xml:space="preserve"> </v>
      </c>
      <c r="O127" s="7" t="str">
        <f>IF(IF(COUNTIF($B$5:B127,B127)&gt;1," ",SUMIF($B$5:$B$423,B127,$J$5:$J$423))=0," ",IF(COUNTIF($B$5:B127,B127)&gt;1," ",SUMIF($B$5:$B$423,B127,$J$5:$J$423)))</f>
        <v xml:space="preserve"> </v>
      </c>
      <c r="P127" s="8" t="str">
        <f>IF(IF(COUNTIF($B$5:B127,B127)&gt;1," ",SUMIF($B$5:$B$423,B127,$L$5:$L$423))=0," ",IF(COUNTIF($B$5:B127,B127)&gt;1," ",SUMIF($B$5:$B$423,B127,$L$5:$L$423)))</f>
        <v xml:space="preserve"> </v>
      </c>
      <c r="Q127" s="8" t="str">
        <f t="shared" si="18"/>
        <v xml:space="preserve"> </v>
      </c>
      <c r="R127" s="8" t="str">
        <f t="shared" si="17"/>
        <v xml:space="preserve"> </v>
      </c>
      <c r="S127" s="48" t="str">
        <f t="shared" si="15"/>
        <v xml:space="preserve"> </v>
      </c>
      <c r="T127" s="14" t="str">
        <f>IF(F127&gt;0,IFERROR(VLOOKUP($F127,[1]Sheet1!$C$3:$L$3445,10,0),"EOSS"),"")</f>
        <v/>
      </c>
    </row>
    <row r="128" spans="1:20" x14ac:dyDescent="0.3">
      <c r="A128" s="1"/>
      <c r="B128" s="2"/>
      <c r="C128" s="5" t="str">
        <f t="shared" si="10"/>
        <v xml:space="preserve"> </v>
      </c>
      <c r="D128" s="2"/>
      <c r="E128" s="3"/>
      <c r="F128" s="4"/>
      <c r="G128" s="5"/>
      <c r="H128" s="5"/>
      <c r="I128" s="5" t="str">
        <f t="shared" si="11"/>
        <v xml:space="preserve"> </v>
      </c>
      <c r="J128" s="33"/>
      <c r="K128" s="5" t="str">
        <f t="shared" si="12"/>
        <v xml:space="preserve"> </v>
      </c>
      <c r="L128" s="3" t="str">
        <f t="shared" si="13"/>
        <v xml:space="preserve"> </v>
      </c>
      <c r="M128" s="3" t="str">
        <f>IF(E128&gt;0,IFERROR(VLOOKUP($E128,'[2]Table 1'!$B$2:$I$147,8,0),"0.00")," ")</f>
        <v xml:space="preserve"> </v>
      </c>
      <c r="N128" s="6" t="str">
        <f t="shared" si="16"/>
        <v xml:space="preserve"> </v>
      </c>
      <c r="O128" s="7" t="str">
        <f>IF(IF(COUNTIF($B$5:B128,B128)&gt;1," ",SUMIF($B$5:$B$423,B128,$J$5:$J$423))=0," ",IF(COUNTIF($B$5:B128,B128)&gt;1," ",SUMIF($B$5:$B$423,B128,$J$5:$J$423)))</f>
        <v xml:space="preserve"> </v>
      </c>
      <c r="P128" s="8" t="str">
        <f>IF(IF(COUNTIF($B$5:B128,B128)&gt;1," ",SUMIF($B$5:$B$423,B128,$L$5:$L$423))=0," ",IF(COUNTIF($B$5:B128,B128)&gt;1," ",SUMIF($B$5:$B$423,B128,$L$5:$L$423)))</f>
        <v xml:space="preserve"> </v>
      </c>
      <c r="Q128" s="8" t="str">
        <f t="shared" si="18"/>
        <v xml:space="preserve"> </v>
      </c>
      <c r="R128" s="8" t="str">
        <f t="shared" si="17"/>
        <v xml:space="preserve"> </v>
      </c>
      <c r="S128" s="48" t="str">
        <f t="shared" si="15"/>
        <v xml:space="preserve"> </v>
      </c>
      <c r="T128" s="14" t="str">
        <f>IF(F128&gt;0,IFERROR(VLOOKUP($F128,[1]Sheet1!$C$3:$L$3445,10,0),"EOSS"),"")</f>
        <v/>
      </c>
    </row>
    <row r="129" spans="1:21" x14ac:dyDescent="0.3">
      <c r="A129" s="1"/>
      <c r="B129" s="2"/>
      <c r="C129" s="5" t="str">
        <f t="shared" si="10"/>
        <v xml:space="preserve"> </v>
      </c>
      <c r="D129" s="2"/>
      <c r="E129" s="3"/>
      <c r="F129" s="4"/>
      <c r="G129" s="5"/>
      <c r="H129" s="5"/>
      <c r="I129" s="5" t="str">
        <f t="shared" si="11"/>
        <v xml:space="preserve"> </v>
      </c>
      <c r="J129" s="33"/>
      <c r="K129" s="5" t="str">
        <f t="shared" si="12"/>
        <v xml:space="preserve"> </v>
      </c>
      <c r="L129" s="3" t="str">
        <f t="shared" si="13"/>
        <v xml:space="preserve"> </v>
      </c>
      <c r="M129" s="3" t="str">
        <f>IF(E129&gt;0,IFERROR(VLOOKUP($E129,'[2]Table 1'!$B$2:$I$147,8,0),"0.00")," ")</f>
        <v xml:space="preserve"> </v>
      </c>
      <c r="N129" s="6" t="str">
        <f t="shared" si="16"/>
        <v xml:space="preserve"> </v>
      </c>
      <c r="O129" s="7" t="str">
        <f>IF(IF(COUNTIF($B$5:B129,B129)&gt;1," ",SUMIF($B$5:$B$423,B129,$J$5:$J$423))=0," ",IF(COUNTIF($B$5:B129,B129)&gt;1," ",SUMIF($B$5:$B$423,B129,$J$5:$J$423)))</f>
        <v xml:space="preserve"> </v>
      </c>
      <c r="P129" s="8" t="str">
        <f>IF(IF(COUNTIF($B$5:B129,B129)&gt;1," ",SUMIF($B$5:$B$423,B129,$L$5:$L$423))=0," ",IF(COUNTIF($B$5:B129,B129)&gt;1," ",SUMIF($B$5:$B$423,B129,$L$5:$L$423)))</f>
        <v xml:space="preserve"> </v>
      </c>
      <c r="Q129" s="8" t="str">
        <f t="shared" si="18"/>
        <v xml:space="preserve"> </v>
      </c>
      <c r="R129" s="8" t="str">
        <f t="shared" si="17"/>
        <v xml:space="preserve"> </v>
      </c>
      <c r="S129" s="48" t="str">
        <f t="shared" si="15"/>
        <v xml:space="preserve"> </v>
      </c>
      <c r="T129" s="14" t="str">
        <f>IF(F129&gt;0,IFERROR(VLOOKUP($F129,[1]Sheet1!$C$3:$L$3445,10,0),"EOSS"),"")</f>
        <v/>
      </c>
    </row>
    <row r="130" spans="1:21" x14ac:dyDescent="0.3">
      <c r="A130" s="1"/>
      <c r="B130" s="2"/>
      <c r="C130" s="5" t="str">
        <f t="shared" si="10"/>
        <v xml:space="preserve"> </v>
      </c>
      <c r="D130" s="2"/>
      <c r="E130" s="3"/>
      <c r="F130" s="4"/>
      <c r="G130" s="5"/>
      <c r="H130" s="5"/>
      <c r="I130" s="5" t="str">
        <f t="shared" si="11"/>
        <v xml:space="preserve"> </v>
      </c>
      <c r="J130" s="33"/>
      <c r="K130" s="5" t="str">
        <f t="shared" si="12"/>
        <v xml:space="preserve"> </v>
      </c>
      <c r="L130" s="3" t="str">
        <f t="shared" si="13"/>
        <v xml:space="preserve"> </v>
      </c>
      <c r="M130" s="3" t="str">
        <f>IF(E130&gt;0,IFERROR(VLOOKUP($E130,'[2]Table 1'!$B$2:$I$147,8,0),"0.00")," ")</f>
        <v xml:space="preserve"> </v>
      </c>
      <c r="N130" s="6" t="str">
        <f t="shared" si="16"/>
        <v xml:space="preserve"> </v>
      </c>
      <c r="O130" s="7" t="str">
        <f>IF(IF(COUNTIF($B$5:B130,B130)&gt;1," ",SUMIF($B$5:$B$423,B130,$J$5:$J$423))=0," ",IF(COUNTIF($B$5:B130,B130)&gt;1," ",SUMIF($B$5:$B$423,B130,$J$5:$J$423)))</f>
        <v xml:space="preserve"> </v>
      </c>
      <c r="P130" s="8" t="str">
        <f>IF(IF(COUNTIF($B$5:B130,B130)&gt;1," ",SUMIF($B$5:$B$423,B130,$L$5:$L$423))=0," ",IF(COUNTIF($B$5:B130,B130)&gt;1," ",SUMIF($B$5:$B$423,B130,$L$5:$L$423)))</f>
        <v xml:space="preserve"> </v>
      </c>
      <c r="Q130" s="8" t="str">
        <f t="shared" si="18"/>
        <v xml:space="preserve"> </v>
      </c>
      <c r="R130" s="8" t="str">
        <f t="shared" si="17"/>
        <v xml:space="preserve"> </v>
      </c>
      <c r="S130" s="48" t="str">
        <f t="shared" si="15"/>
        <v xml:space="preserve"> </v>
      </c>
      <c r="T130" s="14" t="str">
        <f>IF(F130&gt;0,IFERROR(VLOOKUP($F130,[1]Sheet1!$C$3:$L$3445,10,0),"EOSS"),"")</f>
        <v/>
      </c>
    </row>
    <row r="131" spans="1:21" x14ac:dyDescent="0.3">
      <c r="A131" s="1"/>
      <c r="B131" s="2"/>
      <c r="C131" s="5" t="str">
        <f t="shared" si="10"/>
        <v xml:space="preserve"> </v>
      </c>
      <c r="D131" s="2"/>
      <c r="E131" s="3"/>
      <c r="F131" s="4"/>
      <c r="G131" s="5"/>
      <c r="H131" s="5"/>
      <c r="I131" s="5" t="str">
        <f t="shared" si="11"/>
        <v xml:space="preserve"> </v>
      </c>
      <c r="J131" s="33"/>
      <c r="K131" s="5" t="str">
        <f t="shared" si="12"/>
        <v xml:space="preserve"> </v>
      </c>
      <c r="L131" s="3" t="str">
        <f t="shared" si="13"/>
        <v xml:space="preserve"> </v>
      </c>
      <c r="M131" s="3" t="str">
        <f>IF(E131&gt;0,IFERROR(VLOOKUP($E131,'[2]Table 1'!$B$2:$I$147,8,0),"0.00")," ")</f>
        <v xml:space="preserve"> </v>
      </c>
      <c r="N131" s="6" t="str">
        <f t="shared" si="16"/>
        <v xml:space="preserve"> </v>
      </c>
      <c r="O131" s="7" t="str">
        <f>IF(IF(COUNTIF($B$5:B131,B131)&gt;1," ",SUMIF($B$5:$B$423,B131,$J$5:$J$423))=0," ",IF(COUNTIF($B$5:B131,B131)&gt;1," ",SUMIF($B$5:$B$423,B131,$J$5:$J$423)))</f>
        <v xml:space="preserve"> </v>
      </c>
      <c r="P131" s="8" t="str">
        <f>IF(IF(COUNTIF($B$5:B131,B131)&gt;1," ",SUMIF($B$5:$B$423,B131,$L$5:$L$423))=0," ",IF(COUNTIF($B$5:B131,B131)&gt;1," ",SUMIF($B$5:$B$423,B131,$L$5:$L$423)))</f>
        <v xml:space="preserve"> </v>
      </c>
      <c r="Q131" s="8" t="str">
        <f t="shared" si="18"/>
        <v xml:space="preserve"> </v>
      </c>
      <c r="R131" s="8" t="str">
        <f t="shared" si="17"/>
        <v xml:space="preserve"> </v>
      </c>
      <c r="S131" s="48" t="str">
        <f t="shared" si="15"/>
        <v xml:space="preserve"> </v>
      </c>
      <c r="T131" s="14" t="str">
        <f>IF(F131&gt;0,IFERROR(VLOOKUP($F131,[1]Sheet1!$C$3:$L$3445,10,0),"EOSS"),"")</f>
        <v/>
      </c>
    </row>
    <row r="132" spans="1:21" x14ac:dyDescent="0.3">
      <c r="A132" s="1"/>
      <c r="B132" s="2"/>
      <c r="C132" s="5" t="str">
        <f t="shared" si="10"/>
        <v xml:space="preserve"> </v>
      </c>
      <c r="D132" s="2"/>
      <c r="E132" s="3"/>
      <c r="F132" s="4"/>
      <c r="G132" s="5"/>
      <c r="H132" s="5"/>
      <c r="I132" s="5" t="str">
        <f t="shared" si="11"/>
        <v xml:space="preserve"> </v>
      </c>
      <c r="J132" s="33"/>
      <c r="K132" s="5" t="str">
        <f t="shared" si="12"/>
        <v xml:space="preserve"> </v>
      </c>
      <c r="L132" s="3" t="str">
        <f t="shared" si="13"/>
        <v xml:space="preserve"> </v>
      </c>
      <c r="M132" s="3" t="str">
        <f>IF(E132&gt;0,IFERROR(VLOOKUP($E132,'[2]Table 1'!$B$2:$I$147,8,0),"0.00")," ")</f>
        <v xml:space="preserve"> </v>
      </c>
      <c r="N132" s="6" t="str">
        <f t="shared" si="16"/>
        <v xml:space="preserve"> </v>
      </c>
      <c r="O132" s="7" t="str">
        <f>IF(IF(COUNTIF($B$5:B132,B132)&gt;1," ",SUMIF($B$5:$B$423,B132,$J$5:$J$423))=0," ",IF(COUNTIF($B$5:B132,B132)&gt;1," ",SUMIF($B$5:$B$423,B132,$J$5:$J$423)))</f>
        <v xml:space="preserve"> </v>
      </c>
      <c r="P132" s="8" t="str">
        <f>IF(IF(COUNTIF($B$5:B132,B132)&gt;1," ",SUMIF($B$5:$B$423,B132,$L$5:$L$423))=0," ",IF(COUNTIF($B$5:B132,B132)&gt;1," ",SUMIF($B$5:$B$423,B132,$L$5:$L$423)))</f>
        <v xml:space="preserve"> </v>
      </c>
      <c r="Q132" s="8" t="str">
        <f t="shared" si="18"/>
        <v xml:space="preserve"> </v>
      </c>
      <c r="R132" s="8" t="str">
        <f t="shared" si="17"/>
        <v xml:space="preserve"> </v>
      </c>
      <c r="S132" s="48" t="str">
        <f t="shared" si="15"/>
        <v xml:space="preserve"> </v>
      </c>
      <c r="T132" s="14" t="str">
        <f>IF(F132&gt;0,IFERROR(VLOOKUP($F132,[1]Sheet1!$C$3:$L$3445,10,0),"EOSS"),"")</f>
        <v/>
      </c>
    </row>
    <row r="133" spans="1:21" x14ac:dyDescent="0.3">
      <c r="A133" s="1"/>
      <c r="B133" s="2"/>
      <c r="C133" s="5" t="str">
        <f t="shared" ref="C133:C196" si="19">IF($B133=0," ","Cash")</f>
        <v xml:space="preserve"> </v>
      </c>
      <c r="D133" s="2"/>
      <c r="E133" s="3"/>
      <c r="F133" s="4"/>
      <c r="G133" s="5"/>
      <c r="H133" s="5"/>
      <c r="I133" s="5" t="str">
        <f t="shared" ref="I133:I196" si="20">IF(H133&gt;0,$C$3," ")</f>
        <v xml:space="preserve"> </v>
      </c>
      <c r="J133" s="33"/>
      <c r="K133" s="5" t="str">
        <f t="shared" ref="K133:K196" si="21">IF($F133=0," ","Pcs.")</f>
        <v xml:space="preserve"> </v>
      </c>
      <c r="L133" s="3" t="str">
        <f t="shared" ref="L133:L196" si="22">IF(J133*E133=0," ",J133*E133)</f>
        <v xml:space="preserve"> </v>
      </c>
      <c r="M133" s="3" t="str">
        <f>IF(E133&gt;0,IFERROR(VLOOKUP($E133,'[2]Table 1'!$B$2:$I$147,8,0),"0.00")," ")</f>
        <v xml:space="preserve"> </v>
      </c>
      <c r="N133" s="6" t="str">
        <f t="shared" si="16"/>
        <v xml:space="preserve"> </v>
      </c>
      <c r="O133" s="7" t="str">
        <f>IF(IF(COUNTIF($B$5:B133,B133)&gt;1," ",SUMIF($B$5:$B$423,B133,$J$5:$J$423))=0," ",IF(COUNTIF($B$5:B133,B133)&gt;1," ",SUMIF($B$5:$B$423,B133,$J$5:$J$423)))</f>
        <v xml:space="preserve"> </v>
      </c>
      <c r="P133" s="8" t="str">
        <f>IF(IF(COUNTIF($B$5:B133,B133)&gt;1," ",SUMIF($B$5:$B$423,B133,$L$5:$L$423))=0," ",IF(COUNTIF($B$5:B133,B133)&gt;1," ",SUMIF($B$5:$B$423,B133,$L$5:$L$423)))</f>
        <v xml:space="preserve"> </v>
      </c>
      <c r="Q133" s="8" t="str">
        <f t="shared" ref="Q133:Q149" si="23">IF(P133=" "," ",IF(P133&gt;6999,1000,IF(P133&gt;4999,500," ")))</f>
        <v xml:space="preserve"> </v>
      </c>
      <c r="R133" s="8" t="str">
        <f t="shared" si="17"/>
        <v xml:space="preserve"> </v>
      </c>
      <c r="S133" s="48" t="str">
        <f t="shared" ref="S133:S196" si="24">IFERROR(Q133/P133," ")</f>
        <v xml:space="preserve"> </v>
      </c>
      <c r="T133" s="14" t="str">
        <f>IF(F133&gt;0,IFERROR(VLOOKUP($F133,[1]Sheet1!$C$3:$L$3445,10,0),"EOSS"),"")</f>
        <v/>
      </c>
    </row>
    <row r="134" spans="1:21" x14ac:dyDescent="0.3">
      <c r="A134" s="1"/>
      <c r="B134" s="2"/>
      <c r="C134" s="5" t="str">
        <f t="shared" si="19"/>
        <v xml:space="preserve"> </v>
      </c>
      <c r="D134" s="2"/>
      <c r="E134" s="3"/>
      <c r="F134" s="4"/>
      <c r="G134" s="5"/>
      <c r="H134" s="5"/>
      <c r="I134" s="5" t="str">
        <f t="shared" si="20"/>
        <v xml:space="preserve"> </v>
      </c>
      <c r="J134" s="33"/>
      <c r="K134" s="5" t="str">
        <f t="shared" si="21"/>
        <v xml:space="preserve"> </v>
      </c>
      <c r="L134" s="3" t="str">
        <f t="shared" si="22"/>
        <v xml:space="preserve"> </v>
      </c>
      <c r="M134" s="3" t="str">
        <f>IF(E134&gt;0,IFERROR(VLOOKUP($E134,'[2]Table 1'!$B$2:$I$147,8,0),"0.00")," ")</f>
        <v xml:space="preserve"> </v>
      </c>
      <c r="N134" s="6" t="str">
        <f t="shared" ref="N134:N197" si="25">IFERROR(L134+M134," ")</f>
        <v xml:space="preserve"> </v>
      </c>
      <c r="O134" s="7" t="str">
        <f>IF(IF(COUNTIF($B$5:B134,B134)&gt;1," ",SUMIF($B$5:$B$423,B134,$J$5:$J$423))=0," ",IF(COUNTIF($B$5:B134,B134)&gt;1," ",SUMIF($B$5:$B$423,B134,$J$5:$J$423)))</f>
        <v xml:space="preserve"> </v>
      </c>
      <c r="P134" s="8" t="str">
        <f>IF(IF(COUNTIF($B$5:B134,B134)&gt;1," ",SUMIF($B$5:$B$423,B134,$L$5:$L$423))=0," ",IF(COUNTIF($B$5:B134,B134)&gt;1," ",SUMIF($B$5:$B$423,B134,$L$5:$L$423)))</f>
        <v xml:space="preserve"> </v>
      </c>
      <c r="Q134" s="8" t="str">
        <f t="shared" si="23"/>
        <v xml:space="preserve"> </v>
      </c>
      <c r="R134" s="8" t="str">
        <f t="shared" ref="R134:R197" si="26">IF(B134=""," ",IF(OR(L134="",P134="",Q134=""),"",IFERROR(L134/$P$26*$Q$26,"")))</f>
        <v xml:space="preserve"> </v>
      </c>
      <c r="S134" s="48" t="str">
        <f t="shared" si="24"/>
        <v xml:space="preserve"> </v>
      </c>
      <c r="T134" s="14" t="str">
        <f>IF(F134&gt;0,IFERROR(VLOOKUP($F134,[1]Sheet1!$C$3:$L$3445,10,0),"EOSS"),"")</f>
        <v/>
      </c>
    </row>
    <row r="135" spans="1:21" x14ac:dyDescent="0.3">
      <c r="A135" s="1"/>
      <c r="B135" s="2"/>
      <c r="C135" s="5" t="str">
        <f t="shared" si="19"/>
        <v xml:space="preserve"> </v>
      </c>
      <c r="D135" s="2"/>
      <c r="E135" s="3"/>
      <c r="F135" s="4"/>
      <c r="G135" s="5"/>
      <c r="H135" s="5"/>
      <c r="I135" s="5" t="str">
        <f t="shared" si="20"/>
        <v xml:space="preserve"> </v>
      </c>
      <c r="J135" s="33"/>
      <c r="K135" s="5" t="str">
        <f t="shared" si="21"/>
        <v xml:space="preserve"> </v>
      </c>
      <c r="L135" s="3" t="str">
        <f t="shared" si="22"/>
        <v xml:space="preserve"> </v>
      </c>
      <c r="M135" s="3" t="str">
        <f>IF(E135&gt;0,IFERROR(VLOOKUP($E135,'[2]Table 1'!$B$2:$I$147,8,0),"0.00")," ")</f>
        <v xml:space="preserve"> </v>
      </c>
      <c r="N135" s="6" t="str">
        <f t="shared" si="25"/>
        <v xml:space="preserve"> </v>
      </c>
      <c r="O135" s="7" t="str">
        <f>IF(IF(COUNTIF($B$5:B135,B135)&gt;1," ",SUMIF($B$5:$B$423,B135,$J$5:$J$423))=0," ",IF(COUNTIF($B$5:B135,B135)&gt;1," ",SUMIF($B$5:$B$423,B135,$J$5:$J$423)))</f>
        <v xml:space="preserve"> </v>
      </c>
      <c r="P135" s="8" t="str">
        <f>IF(IF(COUNTIF($B$5:B135,B135)&gt;1," ",SUMIF($B$5:$B$423,B135,$L$5:$L$423))=0," ",IF(COUNTIF($B$5:B135,B135)&gt;1," ",SUMIF($B$5:$B$423,B135,$L$5:$L$423)))</f>
        <v xml:space="preserve"> </v>
      </c>
      <c r="Q135" s="8" t="str">
        <f t="shared" si="23"/>
        <v xml:space="preserve"> </v>
      </c>
      <c r="R135" s="8" t="str">
        <f t="shared" si="26"/>
        <v xml:space="preserve"> </v>
      </c>
      <c r="S135" s="48" t="str">
        <f t="shared" si="24"/>
        <v xml:space="preserve"> </v>
      </c>
      <c r="T135" s="14" t="str">
        <f>IF(F135&gt;0,IFERROR(VLOOKUP($F135,[1]Sheet1!$C$3:$L$3445,10,0),"EOSS"),"")</f>
        <v/>
      </c>
    </row>
    <row r="136" spans="1:21" x14ac:dyDescent="0.3">
      <c r="A136" s="1"/>
      <c r="B136" s="2"/>
      <c r="C136" s="5" t="str">
        <f t="shared" si="19"/>
        <v xml:space="preserve"> </v>
      </c>
      <c r="D136" s="2"/>
      <c r="E136" s="3"/>
      <c r="F136" s="4"/>
      <c r="G136" s="5"/>
      <c r="H136" s="5"/>
      <c r="I136" s="5" t="str">
        <f t="shared" si="20"/>
        <v xml:space="preserve"> </v>
      </c>
      <c r="J136" s="33"/>
      <c r="K136" s="5" t="str">
        <f t="shared" si="21"/>
        <v xml:space="preserve"> </v>
      </c>
      <c r="L136" s="3" t="str">
        <f t="shared" si="22"/>
        <v xml:space="preserve"> </v>
      </c>
      <c r="M136" s="3" t="str">
        <f>IF(E136&gt;0,IFERROR(VLOOKUP($E136,'[2]Table 1'!$B$2:$I$147,8,0),"0.00")," ")</f>
        <v xml:space="preserve"> </v>
      </c>
      <c r="N136" s="6" t="str">
        <f t="shared" si="25"/>
        <v xml:space="preserve"> </v>
      </c>
      <c r="O136" s="7" t="str">
        <f>IF(IF(COUNTIF($B$5:B136,B136)&gt;1," ",SUMIF($B$5:$B$423,B136,$J$5:$J$423))=0," ",IF(COUNTIF($B$5:B136,B136)&gt;1," ",SUMIF($B$5:$B$423,B136,$J$5:$J$423)))</f>
        <v xml:space="preserve"> </v>
      </c>
      <c r="P136" s="8" t="str">
        <f>IF(IF(COUNTIF($B$5:B136,B136)&gt;1," ",SUMIF($B$5:$B$423,B136,$L$5:$L$423))=0," ",IF(COUNTIF($B$5:B136,B136)&gt;1," ",SUMIF($B$5:$B$423,B136,$L$5:$L$423)))</f>
        <v xml:space="preserve"> </v>
      </c>
      <c r="Q136" s="8" t="str">
        <f t="shared" si="23"/>
        <v xml:space="preserve"> </v>
      </c>
      <c r="R136" s="8" t="str">
        <f t="shared" si="26"/>
        <v xml:space="preserve"> </v>
      </c>
      <c r="S136" s="48" t="str">
        <f t="shared" si="24"/>
        <v xml:space="preserve"> </v>
      </c>
      <c r="T136" s="14" t="str">
        <f>IF(F136&gt;0,IFERROR(VLOOKUP($F136,[1]Sheet1!$C$3:$L$3445,10,0),"EOSS"),"")</f>
        <v/>
      </c>
    </row>
    <row r="137" spans="1:21" x14ac:dyDescent="0.3">
      <c r="A137" s="1"/>
      <c r="B137" s="2"/>
      <c r="C137" s="5" t="str">
        <f t="shared" si="19"/>
        <v xml:space="preserve"> </v>
      </c>
      <c r="D137" s="2"/>
      <c r="E137" s="3"/>
      <c r="F137" s="4"/>
      <c r="G137" s="5"/>
      <c r="H137" s="5"/>
      <c r="I137" s="5" t="str">
        <f t="shared" si="20"/>
        <v xml:space="preserve"> </v>
      </c>
      <c r="J137" s="33"/>
      <c r="K137" s="5" t="str">
        <f t="shared" si="21"/>
        <v xml:space="preserve"> </v>
      </c>
      <c r="L137" s="3" t="str">
        <f t="shared" si="22"/>
        <v xml:space="preserve"> </v>
      </c>
      <c r="M137" s="3" t="str">
        <f>IF(E137&gt;0,IFERROR(VLOOKUP($E137,'[2]Table 1'!$B$2:$I$147,8,0),"0.00")," ")</f>
        <v xml:space="preserve"> </v>
      </c>
      <c r="N137" s="6" t="str">
        <f t="shared" si="25"/>
        <v xml:space="preserve"> </v>
      </c>
      <c r="O137" s="7" t="str">
        <f>IF(IF(COUNTIF($B$5:B137,B137)&gt;1," ",SUMIF($B$5:$B$423,B137,$J$5:$J$423))=0," ",IF(COUNTIF($B$5:B137,B137)&gt;1," ",SUMIF($B$5:$B$423,B137,$J$5:$J$423)))</f>
        <v xml:space="preserve"> </v>
      </c>
      <c r="P137" s="8" t="str">
        <f>IF(IF(COUNTIF($B$5:B137,B137)&gt;1," ",SUMIF($B$5:$B$423,B137,$L$5:$L$423))=0," ",IF(COUNTIF($B$5:B137,B137)&gt;1," ",SUMIF($B$5:$B$423,B137,$L$5:$L$423)))</f>
        <v xml:space="preserve"> </v>
      </c>
      <c r="Q137" s="8" t="str">
        <f t="shared" si="23"/>
        <v xml:space="preserve"> </v>
      </c>
      <c r="R137" s="8" t="str">
        <f t="shared" si="26"/>
        <v xml:space="preserve"> </v>
      </c>
      <c r="S137" s="48" t="str">
        <f t="shared" si="24"/>
        <v xml:space="preserve"> </v>
      </c>
      <c r="T137" s="14" t="str">
        <f>IF(F137&gt;0,IFERROR(VLOOKUP($F137,[1]Sheet1!$C$3:$L$3445,10,0),"EOSS"),"")</f>
        <v/>
      </c>
    </row>
    <row r="138" spans="1:21" x14ac:dyDescent="0.3">
      <c r="A138" s="1"/>
      <c r="B138" s="2"/>
      <c r="C138" s="5" t="str">
        <f t="shared" si="19"/>
        <v xml:space="preserve"> </v>
      </c>
      <c r="D138" s="2"/>
      <c r="E138" s="3"/>
      <c r="F138" s="4"/>
      <c r="G138" s="5"/>
      <c r="H138" s="5"/>
      <c r="I138" s="5" t="str">
        <f t="shared" si="20"/>
        <v xml:space="preserve"> </v>
      </c>
      <c r="J138" s="33"/>
      <c r="K138" s="5" t="str">
        <f t="shared" si="21"/>
        <v xml:space="preserve"> </v>
      </c>
      <c r="L138" s="3" t="str">
        <f t="shared" si="22"/>
        <v xml:space="preserve"> </v>
      </c>
      <c r="M138" s="3" t="str">
        <f>IF(E138&gt;0,IFERROR(VLOOKUP($E138,'[2]Table 1'!$B$2:$I$147,8,0),"0.00")," ")</f>
        <v xml:space="preserve"> </v>
      </c>
      <c r="N138" s="6" t="str">
        <f t="shared" si="25"/>
        <v xml:space="preserve"> </v>
      </c>
      <c r="O138" s="7" t="str">
        <f>IF(IF(COUNTIF($B$5:B138,B138)&gt;1," ",SUMIF($B$5:$B$423,B138,$J$5:$J$423))=0," ",IF(COUNTIF($B$5:B138,B138)&gt;1," ",SUMIF($B$5:$B$423,B138,$J$5:$J$423)))</f>
        <v xml:space="preserve"> </v>
      </c>
      <c r="P138" s="8" t="str">
        <f>IF(IF(COUNTIF($B$5:B138,B138)&gt;1," ",SUMIF($B$5:$B$423,B138,$L$5:$L$423))=0," ",IF(COUNTIF($B$5:B138,B138)&gt;1," ",SUMIF($B$5:$B$423,B138,$L$5:$L$423)))</f>
        <v xml:space="preserve"> </v>
      </c>
      <c r="Q138" s="8" t="str">
        <f t="shared" si="23"/>
        <v xml:space="preserve"> </v>
      </c>
      <c r="R138" s="8" t="str">
        <f t="shared" si="26"/>
        <v xml:space="preserve"> </v>
      </c>
      <c r="S138" s="48" t="str">
        <f t="shared" si="24"/>
        <v xml:space="preserve"> </v>
      </c>
      <c r="T138" s="14" t="str">
        <f>IF(F138&gt;0,IFERROR(VLOOKUP($F138,[1]Sheet1!$C$3:$L$3445,10,0),"EOSS"),"")</f>
        <v/>
      </c>
      <c r="U138" s="65"/>
    </row>
    <row r="139" spans="1:21" x14ac:dyDescent="0.3">
      <c r="A139" s="1"/>
      <c r="B139" s="2"/>
      <c r="C139" s="5" t="str">
        <f t="shared" si="19"/>
        <v xml:space="preserve"> </v>
      </c>
      <c r="D139" s="2"/>
      <c r="E139" s="3"/>
      <c r="F139" s="4"/>
      <c r="G139" s="5"/>
      <c r="H139" s="5"/>
      <c r="I139" s="5" t="str">
        <f t="shared" si="20"/>
        <v xml:space="preserve"> </v>
      </c>
      <c r="J139" s="33"/>
      <c r="K139" s="5" t="str">
        <f t="shared" si="21"/>
        <v xml:space="preserve"> </v>
      </c>
      <c r="L139" s="3" t="str">
        <f t="shared" si="22"/>
        <v xml:space="preserve"> </v>
      </c>
      <c r="M139" s="3" t="str">
        <f>IF(E139&gt;0,IFERROR(VLOOKUP($E139,'[2]Table 1'!$B$2:$I$147,8,0),"0.00")," ")</f>
        <v xml:space="preserve"> </v>
      </c>
      <c r="N139" s="6" t="str">
        <f t="shared" si="25"/>
        <v xml:space="preserve"> </v>
      </c>
      <c r="O139" s="7" t="str">
        <f>IF(IF(COUNTIF($B$5:B139,B139)&gt;1," ",SUMIF($B$5:$B$423,B139,$J$5:$J$423))=0," ",IF(COUNTIF($B$5:B139,B139)&gt;1," ",SUMIF($B$5:$B$423,B139,$J$5:$J$423)))</f>
        <v xml:space="preserve"> </v>
      </c>
      <c r="P139" s="8" t="str">
        <f>IF(IF(COUNTIF($B$5:B139,B139)&gt;1," ",SUMIF($B$5:$B$423,B139,$L$5:$L$423))=0," ",IF(COUNTIF($B$5:B139,B139)&gt;1," ",SUMIF($B$5:$B$423,B139,$L$5:$L$423)))</f>
        <v xml:space="preserve"> </v>
      </c>
      <c r="Q139" s="8" t="str">
        <f t="shared" si="23"/>
        <v xml:space="preserve"> </v>
      </c>
      <c r="R139" s="8" t="str">
        <f t="shared" si="26"/>
        <v xml:space="preserve"> </v>
      </c>
      <c r="S139" s="48" t="str">
        <f t="shared" si="24"/>
        <v xml:space="preserve"> </v>
      </c>
      <c r="T139" s="14" t="str">
        <f>IF(F139&gt;0,IFERROR(VLOOKUP($F139,[1]Sheet1!$C$3:$L$3445,10,0),"EOSS"),"")</f>
        <v/>
      </c>
    </row>
    <row r="140" spans="1:21" x14ac:dyDescent="0.3">
      <c r="A140" s="1"/>
      <c r="B140" s="2"/>
      <c r="C140" s="5" t="str">
        <f t="shared" si="19"/>
        <v xml:space="preserve"> </v>
      </c>
      <c r="D140" s="2"/>
      <c r="E140" s="3"/>
      <c r="F140" s="4"/>
      <c r="G140" s="5"/>
      <c r="H140" s="5"/>
      <c r="I140" s="5" t="str">
        <f t="shared" si="20"/>
        <v xml:space="preserve"> </v>
      </c>
      <c r="J140" s="33"/>
      <c r="K140" s="5" t="str">
        <f t="shared" si="21"/>
        <v xml:space="preserve"> </v>
      </c>
      <c r="L140" s="3" t="str">
        <f t="shared" si="22"/>
        <v xml:space="preserve"> </v>
      </c>
      <c r="M140" s="3" t="str">
        <f>IF(E140&gt;0,IFERROR(VLOOKUP($E140,'[2]Table 1'!$B$2:$I$147,8,0),"0.00")," ")</f>
        <v xml:space="preserve"> </v>
      </c>
      <c r="N140" s="6" t="str">
        <f t="shared" si="25"/>
        <v xml:space="preserve"> </v>
      </c>
      <c r="O140" s="7" t="str">
        <f>IF(IF(COUNTIF($B$5:B140,B140)&gt;1," ",SUMIF($B$5:$B$423,B140,$J$5:$J$423))=0," ",IF(COUNTIF($B$5:B140,B140)&gt;1," ",SUMIF($B$5:$B$423,B140,$J$5:$J$423)))</f>
        <v xml:space="preserve"> </v>
      </c>
      <c r="P140" s="8" t="str">
        <f>IF(IF(COUNTIF($B$5:B140,B140)&gt;1," ",SUMIF($B$5:$B$423,B140,$L$5:$L$423))=0," ",IF(COUNTIF($B$5:B140,B140)&gt;1," ",SUMIF($B$5:$B$423,B140,$L$5:$L$423)))</f>
        <v xml:space="preserve"> </v>
      </c>
      <c r="Q140" s="8" t="str">
        <f t="shared" si="23"/>
        <v xml:space="preserve"> </v>
      </c>
      <c r="R140" s="8" t="str">
        <f t="shared" si="26"/>
        <v xml:space="preserve"> </v>
      </c>
      <c r="S140" s="48" t="str">
        <f t="shared" si="24"/>
        <v xml:space="preserve"> </v>
      </c>
      <c r="T140" s="14" t="str">
        <f>IF(F140&gt;0,IFERROR(VLOOKUP($F140,[1]Sheet1!$C$3:$L$3445,10,0),"EOSS"),"")</f>
        <v/>
      </c>
    </row>
    <row r="141" spans="1:21" x14ac:dyDescent="0.3">
      <c r="A141" s="1"/>
      <c r="B141" s="2"/>
      <c r="C141" s="5" t="str">
        <f t="shared" si="19"/>
        <v xml:space="preserve"> </v>
      </c>
      <c r="D141" s="2"/>
      <c r="E141" s="3"/>
      <c r="F141" s="4"/>
      <c r="G141" s="5"/>
      <c r="H141" s="5"/>
      <c r="I141" s="5" t="str">
        <f t="shared" si="20"/>
        <v xml:space="preserve"> </v>
      </c>
      <c r="J141" s="33"/>
      <c r="K141" s="5" t="str">
        <f t="shared" si="21"/>
        <v xml:space="preserve"> </v>
      </c>
      <c r="L141" s="3" t="str">
        <f t="shared" si="22"/>
        <v xml:space="preserve"> </v>
      </c>
      <c r="M141" s="3" t="str">
        <f>IF(E141&gt;0,IFERROR(VLOOKUP($E141,'[2]Table 1'!$B$2:$I$147,8,0),"0.00")," ")</f>
        <v xml:space="preserve"> </v>
      </c>
      <c r="N141" s="6" t="str">
        <f t="shared" si="25"/>
        <v xml:space="preserve"> </v>
      </c>
      <c r="O141" s="7" t="str">
        <f>IF(IF(COUNTIF($B$5:B141,B141)&gt;1," ",SUMIF($B$5:$B$423,B141,$J$5:$J$423))=0," ",IF(COUNTIF($B$5:B141,B141)&gt;1," ",SUMIF($B$5:$B$423,B141,$J$5:$J$423)))</f>
        <v xml:space="preserve"> </v>
      </c>
      <c r="P141" s="8" t="str">
        <f>IF(IF(COUNTIF($B$5:B141,B141)&gt;1," ",SUMIF($B$5:$B$423,B141,$L$5:$L$423))=0," ",IF(COUNTIF($B$5:B141,B141)&gt;1," ",SUMIF($B$5:$B$423,B141,$L$5:$L$423)))</f>
        <v xml:space="preserve"> </v>
      </c>
      <c r="Q141" s="8" t="str">
        <f t="shared" si="23"/>
        <v xml:space="preserve"> </v>
      </c>
      <c r="R141" s="8" t="str">
        <f t="shared" si="26"/>
        <v xml:space="preserve"> </v>
      </c>
      <c r="S141" s="48" t="str">
        <f t="shared" si="24"/>
        <v xml:space="preserve"> </v>
      </c>
      <c r="T141" s="14" t="str">
        <f>IF(F141&gt;0,IFERROR(VLOOKUP($F141,[1]Sheet1!$C$3:$L$3445,10,0),"EOSS"),"")</f>
        <v/>
      </c>
    </row>
    <row r="142" spans="1:21" x14ac:dyDescent="0.3">
      <c r="A142" s="1"/>
      <c r="B142" s="2"/>
      <c r="C142" s="5" t="str">
        <f t="shared" si="19"/>
        <v xml:space="preserve"> </v>
      </c>
      <c r="D142" s="2"/>
      <c r="E142" s="3"/>
      <c r="F142" s="4"/>
      <c r="G142" s="5"/>
      <c r="H142" s="5"/>
      <c r="I142" s="5" t="str">
        <f t="shared" si="20"/>
        <v xml:space="preserve"> </v>
      </c>
      <c r="J142" s="33"/>
      <c r="K142" s="5" t="str">
        <f t="shared" si="21"/>
        <v xml:space="preserve"> </v>
      </c>
      <c r="L142" s="3" t="str">
        <f t="shared" si="22"/>
        <v xml:space="preserve"> </v>
      </c>
      <c r="M142" s="3" t="str">
        <f>IF(E142&gt;0,IFERROR(VLOOKUP($E142,'[2]Table 1'!$B$2:$I$147,8,0),"0.00")," ")</f>
        <v xml:space="preserve"> </v>
      </c>
      <c r="N142" s="6" t="str">
        <f t="shared" si="25"/>
        <v xml:space="preserve"> </v>
      </c>
      <c r="O142" s="7" t="str">
        <f>IF(IF(COUNTIF($B$5:B142,B142)&gt;1," ",SUMIF($B$5:$B$423,B142,$J$5:$J$423))=0," ",IF(COUNTIF($B$5:B142,B142)&gt;1," ",SUMIF($B$5:$B$423,B142,$J$5:$J$423)))</f>
        <v xml:space="preserve"> </v>
      </c>
      <c r="P142" s="8" t="str">
        <f>IF(IF(COUNTIF($B$5:B142,B142)&gt;1," ",SUMIF($B$5:$B$423,B142,$L$5:$L$423))=0," ",IF(COUNTIF($B$5:B142,B142)&gt;1," ",SUMIF($B$5:$B$423,B142,$L$5:$L$423)))</f>
        <v xml:space="preserve"> </v>
      </c>
      <c r="Q142" s="8" t="str">
        <f t="shared" si="23"/>
        <v xml:space="preserve"> </v>
      </c>
      <c r="R142" s="8" t="str">
        <f t="shared" si="26"/>
        <v xml:space="preserve"> </v>
      </c>
      <c r="S142" s="48" t="str">
        <f t="shared" si="24"/>
        <v xml:space="preserve"> </v>
      </c>
      <c r="T142" s="14" t="str">
        <f>IF(F142&gt;0,IFERROR(VLOOKUP($F142,[1]Sheet1!$C$3:$L$3445,10,0),"EOSS"),"")</f>
        <v/>
      </c>
    </row>
    <row r="143" spans="1:21" x14ac:dyDescent="0.3">
      <c r="A143" s="1"/>
      <c r="B143" s="2"/>
      <c r="C143" s="5" t="str">
        <f t="shared" si="19"/>
        <v xml:space="preserve"> </v>
      </c>
      <c r="D143" s="2"/>
      <c r="E143" s="3"/>
      <c r="F143" s="4"/>
      <c r="G143" s="5"/>
      <c r="H143" s="5"/>
      <c r="I143" s="5" t="str">
        <f t="shared" si="20"/>
        <v xml:space="preserve"> </v>
      </c>
      <c r="J143" s="33"/>
      <c r="K143" s="5" t="str">
        <f t="shared" si="21"/>
        <v xml:space="preserve"> </v>
      </c>
      <c r="L143" s="3" t="str">
        <f t="shared" si="22"/>
        <v xml:space="preserve"> </v>
      </c>
      <c r="M143" s="3" t="str">
        <f>IF(E143&gt;0,IFERROR(VLOOKUP($E143,'[2]Table 1'!$B$2:$I$147,8,0),"0.00")," ")</f>
        <v xml:space="preserve"> </v>
      </c>
      <c r="N143" s="6" t="str">
        <f t="shared" si="25"/>
        <v xml:space="preserve"> </v>
      </c>
      <c r="O143" s="7" t="str">
        <f>IF(IF(COUNTIF($B$5:B143,B143)&gt;1," ",SUMIF($B$5:$B$423,B143,$J$5:$J$423))=0," ",IF(COUNTIF($B$5:B143,B143)&gt;1," ",SUMIF($B$5:$B$423,B143,$J$5:$J$423)))</f>
        <v xml:space="preserve"> </v>
      </c>
      <c r="P143" s="8" t="str">
        <f>IF(IF(COUNTIF($B$5:B143,B143)&gt;1," ",SUMIF($B$5:$B$423,B143,$L$5:$L$423))=0," ",IF(COUNTIF($B$5:B143,B143)&gt;1," ",SUMIF($B$5:$B$423,B143,$L$5:$L$423)))</f>
        <v xml:space="preserve"> </v>
      </c>
      <c r="Q143" s="8" t="str">
        <f t="shared" si="23"/>
        <v xml:space="preserve"> </v>
      </c>
      <c r="R143" s="8" t="str">
        <f t="shared" si="26"/>
        <v xml:space="preserve"> </v>
      </c>
      <c r="S143" s="48" t="str">
        <f t="shared" si="24"/>
        <v xml:space="preserve"> </v>
      </c>
      <c r="T143" s="14" t="str">
        <f>IF(F143&gt;0,IFERROR(VLOOKUP($F143,[1]Sheet1!$C$3:$L$3445,10,0),"EOSS"),"")</f>
        <v/>
      </c>
    </row>
    <row r="144" spans="1:21" x14ac:dyDescent="0.3">
      <c r="A144" s="1"/>
      <c r="B144" s="2"/>
      <c r="C144" s="5" t="str">
        <f t="shared" si="19"/>
        <v xml:space="preserve"> </v>
      </c>
      <c r="D144" s="2"/>
      <c r="E144" s="3"/>
      <c r="F144" s="4"/>
      <c r="G144" s="5"/>
      <c r="H144" s="5"/>
      <c r="I144" s="5" t="str">
        <f t="shared" si="20"/>
        <v xml:space="preserve"> </v>
      </c>
      <c r="J144" s="33"/>
      <c r="K144" s="5" t="str">
        <f t="shared" si="21"/>
        <v xml:space="preserve"> </v>
      </c>
      <c r="L144" s="3" t="str">
        <f t="shared" si="22"/>
        <v xml:space="preserve"> </v>
      </c>
      <c r="M144" s="3" t="str">
        <f>IF(E144&gt;0,IFERROR(VLOOKUP($E144,'[2]Table 1'!$B$2:$I$147,8,0),"0.00")," ")</f>
        <v xml:space="preserve"> </v>
      </c>
      <c r="N144" s="6" t="str">
        <f t="shared" si="25"/>
        <v xml:space="preserve"> </v>
      </c>
      <c r="O144" s="7" t="str">
        <f>IF(IF(COUNTIF($B$5:B144,B144)&gt;1," ",SUMIF($B$5:$B$423,B144,$J$5:$J$423))=0," ",IF(COUNTIF($B$5:B144,B144)&gt;1," ",SUMIF($B$5:$B$423,B144,$J$5:$J$423)))</f>
        <v xml:space="preserve"> </v>
      </c>
      <c r="P144" s="8" t="str">
        <f>IF(IF(COUNTIF($B$5:B144,B144)&gt;1," ",SUMIF($B$5:$B$423,B144,$L$5:$L$423))=0," ",IF(COUNTIF($B$5:B144,B144)&gt;1," ",SUMIF($B$5:$B$423,B144,$L$5:$L$423)))</f>
        <v xml:space="preserve"> </v>
      </c>
      <c r="Q144" s="8" t="str">
        <f t="shared" si="23"/>
        <v xml:space="preserve"> </v>
      </c>
      <c r="R144" s="8" t="str">
        <f t="shared" si="26"/>
        <v xml:space="preserve"> </v>
      </c>
      <c r="S144" s="48" t="str">
        <f t="shared" si="24"/>
        <v xml:space="preserve"> </v>
      </c>
      <c r="T144" s="14" t="str">
        <f>IF(F144&gt;0,IFERROR(VLOOKUP($F144,[1]Sheet1!$C$3:$L$3445,10,0),"EOSS"),"")</f>
        <v/>
      </c>
    </row>
    <row r="145" spans="1:20" x14ac:dyDescent="0.3">
      <c r="A145" s="1"/>
      <c r="B145" s="2"/>
      <c r="C145" s="5" t="str">
        <f t="shared" si="19"/>
        <v xml:space="preserve"> </v>
      </c>
      <c r="D145" s="2"/>
      <c r="E145" s="3"/>
      <c r="F145" s="4"/>
      <c r="G145" s="5"/>
      <c r="H145" s="5"/>
      <c r="I145" s="5" t="str">
        <f t="shared" si="20"/>
        <v xml:space="preserve"> </v>
      </c>
      <c r="J145" s="33"/>
      <c r="K145" s="5" t="str">
        <f t="shared" si="21"/>
        <v xml:space="preserve"> </v>
      </c>
      <c r="L145" s="3" t="str">
        <f t="shared" si="22"/>
        <v xml:space="preserve"> </v>
      </c>
      <c r="M145" s="3" t="str">
        <f>IF(E145&gt;0,IFERROR(VLOOKUP($E145,'[2]Table 1'!$B$2:$I$147,8,0),"0.00")," ")</f>
        <v xml:space="preserve"> </v>
      </c>
      <c r="N145" s="6" t="str">
        <f t="shared" si="25"/>
        <v xml:space="preserve"> </v>
      </c>
      <c r="O145" s="7" t="str">
        <f>IF(IF(COUNTIF($B$5:B145,B145)&gt;1," ",SUMIF($B$5:$B$423,B145,$J$5:$J$423))=0," ",IF(COUNTIF($B$5:B145,B145)&gt;1," ",SUMIF($B$5:$B$423,B145,$J$5:$J$423)))</f>
        <v xml:space="preserve"> </v>
      </c>
      <c r="P145" s="8" t="str">
        <f>IF(IF(COUNTIF($B$5:B145,B145)&gt;1," ",SUMIF($B$5:$B$423,B145,$L$5:$L$423))=0," ",IF(COUNTIF($B$5:B145,B145)&gt;1," ",SUMIF($B$5:$B$423,B145,$L$5:$L$423)))</f>
        <v xml:space="preserve"> </v>
      </c>
      <c r="Q145" s="8" t="str">
        <f t="shared" si="23"/>
        <v xml:space="preserve"> </v>
      </c>
      <c r="R145" s="8" t="str">
        <f t="shared" si="26"/>
        <v xml:space="preserve"> </v>
      </c>
      <c r="S145" s="48" t="str">
        <f t="shared" si="24"/>
        <v xml:space="preserve"> </v>
      </c>
      <c r="T145" s="14" t="str">
        <f>IF(F145&gt;0,IFERROR(VLOOKUP($F145,[1]Sheet1!$C$3:$L$3445,10,0),"EOSS"),"")</f>
        <v/>
      </c>
    </row>
    <row r="146" spans="1:20" x14ac:dyDescent="0.3">
      <c r="A146" s="1"/>
      <c r="B146" s="2"/>
      <c r="C146" s="5" t="str">
        <f t="shared" si="19"/>
        <v xml:space="preserve"> </v>
      </c>
      <c r="D146" s="2"/>
      <c r="E146" s="3"/>
      <c r="F146" s="4"/>
      <c r="G146" s="5"/>
      <c r="H146" s="5"/>
      <c r="I146" s="5" t="str">
        <f t="shared" si="20"/>
        <v xml:space="preserve"> </v>
      </c>
      <c r="J146" s="33"/>
      <c r="K146" s="5" t="str">
        <f t="shared" si="21"/>
        <v xml:space="preserve"> </v>
      </c>
      <c r="L146" s="3" t="str">
        <f t="shared" si="22"/>
        <v xml:space="preserve"> </v>
      </c>
      <c r="M146" s="3" t="str">
        <f>IF(E146&gt;0,IFERROR(VLOOKUP($E146,'[2]Table 1'!$B$2:$I$147,8,0),"0.00")," ")</f>
        <v xml:space="preserve"> </v>
      </c>
      <c r="N146" s="6" t="str">
        <f t="shared" si="25"/>
        <v xml:space="preserve"> </v>
      </c>
      <c r="O146" s="7" t="str">
        <f>IF(IF(COUNTIF($B$5:B146,B146)&gt;1," ",SUMIF($B$5:$B$423,B146,$J$5:$J$423))=0," ",IF(COUNTIF($B$5:B146,B146)&gt;1," ",SUMIF($B$5:$B$423,B146,$J$5:$J$423)))</f>
        <v xml:space="preserve"> </v>
      </c>
      <c r="P146" s="8" t="str">
        <f>IF(IF(COUNTIF($B$5:B146,B146)&gt;1," ",SUMIF($B$5:$B$423,B146,$L$5:$L$423))=0," ",IF(COUNTIF($B$5:B146,B146)&gt;1," ",SUMIF($B$5:$B$423,B146,$L$5:$L$423)))</f>
        <v xml:space="preserve"> </v>
      </c>
      <c r="Q146" s="8" t="str">
        <f t="shared" si="23"/>
        <v xml:space="preserve"> </v>
      </c>
      <c r="R146" s="8" t="str">
        <f t="shared" si="26"/>
        <v xml:space="preserve"> </v>
      </c>
      <c r="S146" s="48" t="str">
        <f t="shared" si="24"/>
        <v xml:space="preserve"> </v>
      </c>
      <c r="T146" s="14" t="str">
        <f>IF(F146&gt;0,IFERROR(VLOOKUP($F146,[1]Sheet1!$C$3:$L$3445,10,0),"EOSS"),"")</f>
        <v/>
      </c>
    </row>
    <row r="147" spans="1:20" x14ac:dyDescent="0.3">
      <c r="A147" s="1"/>
      <c r="B147" s="2"/>
      <c r="C147" s="5" t="str">
        <f t="shared" si="19"/>
        <v xml:space="preserve"> </v>
      </c>
      <c r="D147" s="2"/>
      <c r="E147" s="3"/>
      <c r="F147" s="4"/>
      <c r="G147" s="5"/>
      <c r="H147" s="5"/>
      <c r="I147" s="5" t="str">
        <f t="shared" si="20"/>
        <v xml:space="preserve"> </v>
      </c>
      <c r="J147" s="33"/>
      <c r="K147" s="5" t="str">
        <f t="shared" si="21"/>
        <v xml:space="preserve"> </v>
      </c>
      <c r="L147" s="3" t="str">
        <f t="shared" si="22"/>
        <v xml:space="preserve"> </v>
      </c>
      <c r="M147" s="3" t="str">
        <f>IF(E147&gt;0,IFERROR(VLOOKUP($E147,'[2]Table 1'!$B$2:$I$147,8,0),"0.00")," ")</f>
        <v xml:space="preserve"> </v>
      </c>
      <c r="N147" s="6" t="str">
        <f t="shared" si="25"/>
        <v xml:space="preserve"> </v>
      </c>
      <c r="O147" s="7" t="str">
        <f>IF(IF(COUNTIF($B$5:B147,B147)&gt;1," ",SUMIF($B$5:$B$423,B147,$J$5:$J$423))=0," ",IF(COUNTIF($B$5:B147,B147)&gt;1," ",SUMIF($B$5:$B$423,B147,$J$5:$J$423)))</f>
        <v xml:space="preserve"> </v>
      </c>
      <c r="P147" s="8" t="str">
        <f>IF(IF(COUNTIF($B$5:B147,B147)&gt;1," ",SUMIF($B$5:$B$423,B147,$L$5:$L$423))=0," ",IF(COUNTIF($B$5:B147,B147)&gt;1," ",SUMIF($B$5:$B$423,B147,$L$5:$L$423)))</f>
        <v xml:space="preserve"> </v>
      </c>
      <c r="Q147" s="8" t="str">
        <f t="shared" si="23"/>
        <v xml:space="preserve"> </v>
      </c>
      <c r="R147" s="8" t="str">
        <f t="shared" si="26"/>
        <v xml:space="preserve"> </v>
      </c>
      <c r="S147" s="48" t="str">
        <f t="shared" si="24"/>
        <v xml:space="preserve"> </v>
      </c>
      <c r="T147" s="14" t="str">
        <f>IF(F147&gt;0,IFERROR(VLOOKUP($F147,[1]Sheet1!$C$3:$L$3445,10,0),"EOSS"),"")</f>
        <v/>
      </c>
    </row>
    <row r="148" spans="1:20" x14ac:dyDescent="0.3">
      <c r="A148" s="1"/>
      <c r="B148" s="2"/>
      <c r="C148" s="5" t="str">
        <f t="shared" si="19"/>
        <v xml:space="preserve"> </v>
      </c>
      <c r="D148" s="2"/>
      <c r="E148" s="3"/>
      <c r="F148" s="4"/>
      <c r="G148" s="5"/>
      <c r="H148" s="5"/>
      <c r="I148" s="5" t="str">
        <f t="shared" si="20"/>
        <v xml:space="preserve"> </v>
      </c>
      <c r="J148" s="33"/>
      <c r="K148" s="5" t="str">
        <f t="shared" si="21"/>
        <v xml:space="preserve"> </v>
      </c>
      <c r="L148" s="3" t="str">
        <f t="shared" si="22"/>
        <v xml:space="preserve"> </v>
      </c>
      <c r="M148" s="3" t="str">
        <f>IF(E148&gt;0,IFERROR(VLOOKUP($E148,'[2]Table 1'!$B$2:$I$147,8,0),"0.00")," ")</f>
        <v xml:space="preserve"> </v>
      </c>
      <c r="N148" s="6" t="str">
        <f t="shared" si="25"/>
        <v xml:space="preserve"> </v>
      </c>
      <c r="O148" s="7" t="str">
        <f>IF(IF(COUNTIF($B$5:B148,B148)&gt;1," ",SUMIF($B$5:$B$423,B148,$J$5:$J$423))=0," ",IF(COUNTIF($B$5:B148,B148)&gt;1," ",SUMIF($B$5:$B$423,B148,$J$5:$J$423)))</f>
        <v xml:space="preserve"> </v>
      </c>
      <c r="P148" s="8" t="str">
        <f>IF(IF(COUNTIF($B$5:B148,B148)&gt;1," ",SUMIF($B$5:$B$423,B148,$L$5:$L$423))=0," ",IF(COUNTIF($B$5:B148,B148)&gt;1," ",SUMIF($B$5:$B$423,B148,$L$5:$L$423)))</f>
        <v xml:space="preserve"> </v>
      </c>
      <c r="Q148" s="8" t="str">
        <f t="shared" si="23"/>
        <v xml:space="preserve"> </v>
      </c>
      <c r="R148" s="8" t="str">
        <f t="shared" si="26"/>
        <v xml:space="preserve"> </v>
      </c>
      <c r="S148" s="48" t="str">
        <f t="shared" si="24"/>
        <v xml:space="preserve"> </v>
      </c>
      <c r="T148" s="14" t="str">
        <f>IF(F148&gt;0,IFERROR(VLOOKUP($F148,[1]Sheet1!$C$3:$L$3445,10,0),"EOSS"),"")</f>
        <v/>
      </c>
    </row>
    <row r="149" spans="1:20" x14ac:dyDescent="0.3">
      <c r="A149" s="1"/>
      <c r="B149" s="2"/>
      <c r="C149" s="5" t="str">
        <f t="shared" si="19"/>
        <v xml:space="preserve"> </v>
      </c>
      <c r="D149" s="2"/>
      <c r="E149" s="3"/>
      <c r="F149" s="4"/>
      <c r="G149" s="5"/>
      <c r="H149" s="5"/>
      <c r="I149" s="5" t="str">
        <f t="shared" si="20"/>
        <v xml:space="preserve"> </v>
      </c>
      <c r="J149" s="33"/>
      <c r="K149" s="5" t="str">
        <f t="shared" si="21"/>
        <v xml:space="preserve"> </v>
      </c>
      <c r="L149" s="3" t="str">
        <f t="shared" si="22"/>
        <v xml:space="preserve"> </v>
      </c>
      <c r="M149" s="3" t="str">
        <f>IF(E149&gt;0,IFERROR(VLOOKUP($E149,'[2]Table 1'!$B$2:$I$147,8,0),"0.00")," ")</f>
        <v xml:space="preserve"> </v>
      </c>
      <c r="N149" s="6" t="str">
        <f t="shared" si="25"/>
        <v xml:space="preserve"> </v>
      </c>
      <c r="O149" s="7" t="str">
        <f>IF(IF(COUNTIF($B$5:B149,B149)&gt;1," ",SUMIF($B$5:$B$423,B149,$J$5:$J$423))=0," ",IF(COUNTIF($B$5:B149,B149)&gt;1," ",SUMIF($B$5:$B$423,B149,$J$5:$J$423)))</f>
        <v xml:space="preserve"> </v>
      </c>
      <c r="P149" s="8" t="str">
        <f>IF(IF(COUNTIF($B$5:B149,B149)&gt;1," ",SUMIF($B$5:$B$423,B149,$L$5:$L$423))=0," ",IF(COUNTIF($B$5:B149,B149)&gt;1," ",SUMIF($B$5:$B$423,B149,$L$5:$L$423)))</f>
        <v xml:space="preserve"> </v>
      </c>
      <c r="Q149" s="8" t="str">
        <f t="shared" si="23"/>
        <v xml:space="preserve"> </v>
      </c>
      <c r="R149" s="8" t="str">
        <f t="shared" si="26"/>
        <v xml:space="preserve"> </v>
      </c>
      <c r="S149" s="48" t="str">
        <f t="shared" si="24"/>
        <v xml:space="preserve"> </v>
      </c>
      <c r="T149" s="14" t="str">
        <f>IF(F149&gt;0,IFERROR(VLOOKUP($F149,[1]Sheet1!$C$3:$L$3445,10,0),"EOSS"),"")</f>
        <v/>
      </c>
    </row>
    <row r="150" spans="1:20" x14ac:dyDescent="0.3">
      <c r="A150" s="1"/>
      <c r="B150" s="2"/>
      <c r="C150" s="5" t="str">
        <f t="shared" si="19"/>
        <v xml:space="preserve"> </v>
      </c>
      <c r="D150" s="2"/>
      <c r="E150" s="3"/>
      <c r="F150" s="4"/>
      <c r="G150" s="5"/>
      <c r="H150" s="5"/>
      <c r="I150" s="5" t="str">
        <f t="shared" si="20"/>
        <v xml:space="preserve"> </v>
      </c>
      <c r="J150" s="33"/>
      <c r="K150" s="5" t="str">
        <f t="shared" si="21"/>
        <v xml:space="preserve"> </v>
      </c>
      <c r="L150" s="3" t="str">
        <f t="shared" si="22"/>
        <v xml:space="preserve"> </v>
      </c>
      <c r="M150" s="3" t="str">
        <f>IF(E150&gt;0,IFERROR(VLOOKUP($E150,'[2]Table 1'!$B$2:$I$147,8,0),"0.00")," ")</f>
        <v xml:space="preserve"> </v>
      </c>
      <c r="N150" s="6" t="str">
        <f t="shared" si="25"/>
        <v xml:space="preserve"> </v>
      </c>
      <c r="O150" s="7" t="str">
        <f>IF(IF(COUNTIF($B$5:B150,B150)&gt;1," ",SUMIF($B$5:$B$423,B150,$J$5:$J$423))=0," ",IF(COUNTIF($B$5:B150,B150)&gt;1," ",SUMIF($B$5:$B$423,B150,$J$5:$J$423)))</f>
        <v xml:space="preserve"> </v>
      </c>
      <c r="P150" s="8" t="str">
        <f>IF(IF(COUNTIF($B$5:B150,B150)&gt;1," ",SUMIF($B$5:$B$423,B150,$L$5:$L$423))=0," ",IF(COUNTIF($B$5:B150,B150)&gt;1," ",SUMIF($B$5:$B$423,B150,$L$5:$L$423)))</f>
        <v xml:space="preserve"> </v>
      </c>
      <c r="Q150" s="8" t="str">
        <f t="shared" ref="Q150:Q213" si="27">IFERROR(IF(O150="","",  IF(O150&gt;=2,P150*50%,         IF(O150=1,P150*40%,"")        ))," ")</f>
        <v xml:space="preserve"> </v>
      </c>
      <c r="R150" s="8" t="str">
        <f t="shared" si="26"/>
        <v xml:space="preserve"> </v>
      </c>
      <c r="S150" s="48" t="str">
        <f t="shared" si="24"/>
        <v xml:space="preserve"> </v>
      </c>
      <c r="T150" s="14" t="str">
        <f>IF(F150&gt;0,IFERROR(VLOOKUP($F150,[1]Sheet1!$C$3:$L$3445,10,0),"EOSS"),"")</f>
        <v/>
      </c>
    </row>
    <row r="151" spans="1:20" x14ac:dyDescent="0.3">
      <c r="A151" s="1"/>
      <c r="B151" s="2"/>
      <c r="C151" s="5" t="str">
        <f t="shared" si="19"/>
        <v xml:space="preserve"> </v>
      </c>
      <c r="D151" s="2"/>
      <c r="E151" s="3"/>
      <c r="F151" s="4"/>
      <c r="G151" s="5"/>
      <c r="H151" s="5"/>
      <c r="I151" s="5" t="str">
        <f t="shared" si="20"/>
        <v xml:space="preserve"> </v>
      </c>
      <c r="J151" s="33"/>
      <c r="K151" s="5" t="str">
        <f t="shared" si="21"/>
        <v xml:space="preserve"> </v>
      </c>
      <c r="L151" s="3" t="str">
        <f t="shared" si="22"/>
        <v xml:space="preserve"> </v>
      </c>
      <c r="M151" s="3" t="str">
        <f>IF(E151&gt;0,IFERROR(VLOOKUP($E151,'[2]Table 1'!$B$2:$I$147,8,0),"0.00")," ")</f>
        <v xml:space="preserve"> </v>
      </c>
      <c r="N151" s="6" t="str">
        <f t="shared" si="25"/>
        <v xml:space="preserve"> </v>
      </c>
      <c r="O151" s="7" t="str">
        <f>IF(IF(COUNTIF($B$5:B151,B151)&gt;1," ",SUMIF($B$5:$B$423,B151,$J$5:$J$423))=0," ",IF(COUNTIF($B$5:B151,B151)&gt;1," ",SUMIF($B$5:$B$423,B151,$J$5:$J$423)))</f>
        <v xml:space="preserve"> </v>
      </c>
      <c r="P151" s="8" t="str">
        <f>IF(IF(COUNTIF($B$5:B151,B151)&gt;1," ",SUMIF($B$5:$B$423,B151,$L$5:$L$423))=0," ",IF(COUNTIF($B$5:B151,B151)&gt;1," ",SUMIF($B$5:$B$423,B151,$L$5:$L$423)))</f>
        <v xml:space="preserve"> </v>
      </c>
      <c r="Q151" s="8" t="str">
        <f t="shared" si="27"/>
        <v xml:space="preserve"> </v>
      </c>
      <c r="R151" s="8" t="str">
        <f t="shared" si="26"/>
        <v xml:space="preserve"> </v>
      </c>
      <c r="S151" s="48" t="str">
        <f t="shared" si="24"/>
        <v xml:space="preserve"> </v>
      </c>
      <c r="T151" s="14" t="str">
        <f>IF(F151&gt;0,IFERROR(VLOOKUP($F151,[1]Sheet1!$C$3:$L$3445,10,0),"EOSS"),"")</f>
        <v/>
      </c>
    </row>
    <row r="152" spans="1:20" x14ac:dyDescent="0.3">
      <c r="A152" s="1"/>
      <c r="B152" s="2"/>
      <c r="C152" s="5" t="str">
        <f t="shared" si="19"/>
        <v xml:space="preserve"> </v>
      </c>
      <c r="D152" s="2"/>
      <c r="E152" s="3"/>
      <c r="F152" s="4"/>
      <c r="G152" s="5"/>
      <c r="H152" s="5"/>
      <c r="I152" s="5" t="str">
        <f t="shared" si="20"/>
        <v xml:space="preserve"> </v>
      </c>
      <c r="J152" s="33"/>
      <c r="K152" s="5" t="str">
        <f t="shared" si="21"/>
        <v xml:space="preserve"> </v>
      </c>
      <c r="L152" s="3" t="str">
        <f t="shared" si="22"/>
        <v xml:space="preserve"> </v>
      </c>
      <c r="M152" s="3" t="str">
        <f>IF(E152&gt;0,IFERROR(VLOOKUP($E152,'[2]Table 1'!$B$2:$I$147,8,0),"0.00")," ")</f>
        <v xml:space="preserve"> </v>
      </c>
      <c r="N152" s="6" t="str">
        <f t="shared" si="25"/>
        <v xml:space="preserve"> </v>
      </c>
      <c r="O152" s="7" t="str">
        <f>IF(IF(COUNTIF($B$5:B152,B152)&gt;1," ",SUMIF($B$5:$B$423,B152,$J$5:$J$423))=0," ",IF(COUNTIF($B$5:B152,B152)&gt;1," ",SUMIF($B$5:$B$423,B152,$J$5:$J$423)))</f>
        <v xml:space="preserve"> </v>
      </c>
      <c r="P152" s="8" t="str">
        <f>IF(IF(COUNTIF($B$5:B152,B152)&gt;1," ",SUMIF($B$5:$B$423,B152,$L$5:$L$423))=0," ",IF(COUNTIF($B$5:B152,B152)&gt;1," ",SUMIF($B$5:$B$423,B152,$L$5:$L$423)))</f>
        <v xml:space="preserve"> </v>
      </c>
      <c r="Q152" s="8" t="str">
        <f t="shared" si="27"/>
        <v xml:space="preserve"> </v>
      </c>
      <c r="R152" s="8" t="str">
        <f t="shared" si="26"/>
        <v xml:space="preserve"> </v>
      </c>
      <c r="S152" s="48" t="str">
        <f t="shared" si="24"/>
        <v xml:space="preserve"> </v>
      </c>
      <c r="T152" s="14" t="str">
        <f>IF(F152&gt;0,IFERROR(VLOOKUP($F152,[1]Sheet1!$C$3:$L$3445,10,0),"EOSS"),"")</f>
        <v/>
      </c>
    </row>
    <row r="153" spans="1:20" x14ac:dyDescent="0.3">
      <c r="A153" s="1"/>
      <c r="B153" s="2"/>
      <c r="C153" s="5" t="str">
        <f t="shared" si="19"/>
        <v xml:space="preserve"> </v>
      </c>
      <c r="D153" s="2"/>
      <c r="E153" s="3"/>
      <c r="F153" s="4"/>
      <c r="G153" s="5"/>
      <c r="H153" s="5"/>
      <c r="I153" s="5" t="str">
        <f t="shared" si="20"/>
        <v xml:space="preserve"> </v>
      </c>
      <c r="J153" s="33"/>
      <c r="K153" s="5" t="str">
        <f t="shared" si="21"/>
        <v xml:space="preserve"> </v>
      </c>
      <c r="L153" s="3" t="str">
        <f t="shared" si="22"/>
        <v xml:space="preserve"> </v>
      </c>
      <c r="M153" s="3" t="str">
        <f>IF(E153&gt;0,IFERROR(VLOOKUP($E153,'[2]Table 1'!$B$2:$I$147,8,0),"0.00")," ")</f>
        <v xml:space="preserve"> </v>
      </c>
      <c r="N153" s="6" t="str">
        <f t="shared" si="25"/>
        <v xml:space="preserve"> </v>
      </c>
      <c r="O153" s="7" t="str">
        <f>IF(IF(COUNTIF($B$5:B153,B153)&gt;1," ",SUMIF($B$5:$B$423,B153,$J$5:$J$423))=0," ",IF(COUNTIF($B$5:B153,B153)&gt;1," ",SUMIF($B$5:$B$423,B153,$J$5:$J$423)))</f>
        <v xml:space="preserve"> </v>
      </c>
      <c r="P153" s="8" t="str">
        <f>IF(IF(COUNTIF($B$5:B153,B153)&gt;1," ",SUMIF($B$5:$B$423,B153,$L$5:$L$423))=0," ",IF(COUNTIF($B$5:B153,B153)&gt;1," ",SUMIF($B$5:$B$423,B153,$L$5:$L$423)))</f>
        <v xml:space="preserve"> </v>
      </c>
      <c r="Q153" s="8" t="str">
        <f t="shared" si="27"/>
        <v xml:space="preserve"> </v>
      </c>
      <c r="R153" s="8" t="str">
        <f t="shared" si="26"/>
        <v xml:space="preserve"> </v>
      </c>
      <c r="S153" s="48" t="str">
        <f t="shared" si="24"/>
        <v xml:space="preserve"> </v>
      </c>
      <c r="T153" s="14" t="str">
        <f>IF(F153&gt;0,IFERROR(VLOOKUP($F153,[1]Sheet1!$C$3:$L$3445,10,0),"EOSS"),"")</f>
        <v/>
      </c>
    </row>
    <row r="154" spans="1:20" x14ac:dyDescent="0.3">
      <c r="A154" s="1"/>
      <c r="B154" s="2"/>
      <c r="C154" s="5" t="str">
        <f t="shared" si="19"/>
        <v xml:space="preserve"> </v>
      </c>
      <c r="D154" s="2"/>
      <c r="E154" s="3"/>
      <c r="F154" s="4"/>
      <c r="G154" s="5"/>
      <c r="H154" s="5"/>
      <c r="I154" s="5" t="str">
        <f t="shared" si="20"/>
        <v xml:space="preserve"> </v>
      </c>
      <c r="J154" s="33"/>
      <c r="K154" s="5" t="str">
        <f t="shared" si="21"/>
        <v xml:space="preserve"> </v>
      </c>
      <c r="L154" s="3" t="str">
        <f t="shared" si="22"/>
        <v xml:space="preserve"> </v>
      </c>
      <c r="M154" s="3" t="str">
        <f>IF(E154&gt;0,IFERROR(VLOOKUP($E154,'[2]Table 1'!$B$2:$I$147,8,0),"0.00")," ")</f>
        <v xml:space="preserve"> </v>
      </c>
      <c r="N154" s="6" t="str">
        <f t="shared" si="25"/>
        <v xml:space="preserve"> </v>
      </c>
      <c r="O154" s="7" t="str">
        <f>IF(IF(COUNTIF($B$5:B154,B154)&gt;1," ",SUMIF($B$5:$B$423,B154,$J$5:$J$423))=0," ",IF(COUNTIF($B$5:B154,B154)&gt;1," ",SUMIF($B$5:$B$423,B154,$J$5:$J$423)))</f>
        <v xml:space="preserve"> </v>
      </c>
      <c r="P154" s="8" t="str">
        <f>IF(IF(COUNTIF($B$5:B154,B154)&gt;1," ",SUMIF($B$5:$B$423,B154,$L$5:$L$423))=0," ",IF(COUNTIF($B$5:B154,B154)&gt;1," ",SUMIF($B$5:$B$423,B154,$L$5:$L$423)))</f>
        <v xml:space="preserve"> </v>
      </c>
      <c r="Q154" s="8" t="str">
        <f t="shared" si="27"/>
        <v xml:space="preserve"> </v>
      </c>
      <c r="R154" s="8" t="str">
        <f t="shared" si="26"/>
        <v xml:space="preserve"> </v>
      </c>
      <c r="S154" s="48" t="str">
        <f t="shared" si="24"/>
        <v xml:space="preserve"> </v>
      </c>
      <c r="T154" s="14" t="str">
        <f>IF(F154&gt;0,IFERROR(VLOOKUP($F154,[1]Sheet1!$C$3:$L$3445,10,0),"EOSS"),"")</f>
        <v/>
      </c>
    </row>
    <row r="155" spans="1:20" x14ac:dyDescent="0.3">
      <c r="A155" s="1"/>
      <c r="B155" s="2"/>
      <c r="C155" s="5" t="str">
        <f t="shared" si="19"/>
        <v xml:space="preserve"> </v>
      </c>
      <c r="D155" s="2"/>
      <c r="E155" s="3"/>
      <c r="F155" s="4"/>
      <c r="G155" s="5"/>
      <c r="H155" s="5"/>
      <c r="I155" s="5" t="str">
        <f t="shared" si="20"/>
        <v xml:space="preserve"> </v>
      </c>
      <c r="J155" s="33"/>
      <c r="K155" s="5" t="str">
        <f t="shared" si="21"/>
        <v xml:space="preserve"> </v>
      </c>
      <c r="L155" s="3" t="str">
        <f t="shared" si="22"/>
        <v xml:space="preserve"> </v>
      </c>
      <c r="M155" s="3" t="str">
        <f>IF(E155&gt;0,IFERROR(VLOOKUP($E155,'[2]Table 1'!$B$2:$I$147,8,0),"0.00")," ")</f>
        <v xml:space="preserve"> </v>
      </c>
      <c r="N155" s="6" t="str">
        <f t="shared" si="25"/>
        <v xml:space="preserve"> </v>
      </c>
      <c r="O155" s="7" t="str">
        <f>IF(IF(COUNTIF($B$5:B155,B155)&gt;1," ",SUMIF($B$5:$B$423,B155,$J$5:$J$423))=0," ",IF(COUNTIF($B$5:B155,B155)&gt;1," ",SUMIF($B$5:$B$423,B155,$J$5:$J$423)))</f>
        <v xml:space="preserve"> </v>
      </c>
      <c r="P155" s="8" t="str">
        <f>IF(IF(COUNTIF($B$5:B155,B155)&gt;1," ",SUMIF($B$5:$B$423,B155,$L$5:$L$423))=0," ",IF(COUNTIF($B$5:B155,B155)&gt;1," ",SUMIF($B$5:$B$423,B155,$L$5:$L$423)))</f>
        <v xml:space="preserve"> </v>
      </c>
      <c r="Q155" s="8" t="str">
        <f t="shared" si="27"/>
        <v xml:space="preserve"> </v>
      </c>
      <c r="R155" s="8" t="str">
        <f t="shared" si="26"/>
        <v xml:space="preserve"> </v>
      </c>
      <c r="S155" s="48" t="str">
        <f t="shared" si="24"/>
        <v xml:space="preserve"> </v>
      </c>
      <c r="T155" s="14" t="str">
        <f>IF(F155&gt;0,IFERROR(VLOOKUP($F155,[1]Sheet1!$C$3:$L$3445,10,0),"EOSS"),"")</f>
        <v/>
      </c>
    </row>
    <row r="156" spans="1:20" x14ac:dyDescent="0.3">
      <c r="A156" s="1"/>
      <c r="B156" s="2"/>
      <c r="C156" s="5" t="str">
        <f t="shared" si="19"/>
        <v xml:space="preserve"> </v>
      </c>
      <c r="D156" s="2"/>
      <c r="E156" s="3"/>
      <c r="F156" s="4"/>
      <c r="G156" s="5"/>
      <c r="H156" s="5"/>
      <c r="I156" s="5" t="str">
        <f t="shared" si="20"/>
        <v xml:space="preserve"> </v>
      </c>
      <c r="J156" s="33"/>
      <c r="K156" s="5" t="str">
        <f t="shared" si="21"/>
        <v xml:space="preserve"> </v>
      </c>
      <c r="L156" s="3" t="str">
        <f t="shared" si="22"/>
        <v xml:space="preserve"> </v>
      </c>
      <c r="M156" s="3" t="str">
        <f>IF(E156&gt;0,IFERROR(VLOOKUP($E156,'[2]Table 1'!$B$2:$I$147,8,0),"0.00")," ")</f>
        <v xml:space="preserve"> </v>
      </c>
      <c r="N156" s="6" t="str">
        <f t="shared" si="25"/>
        <v xml:space="preserve"> </v>
      </c>
      <c r="O156" s="7" t="str">
        <f>IF(IF(COUNTIF($B$5:B156,B156)&gt;1," ",SUMIF($B$5:$B$423,B156,$J$5:$J$423))=0," ",IF(COUNTIF($B$5:B156,B156)&gt;1," ",SUMIF($B$5:$B$423,B156,$J$5:$J$423)))</f>
        <v xml:space="preserve"> </v>
      </c>
      <c r="P156" s="8" t="str">
        <f>IF(IF(COUNTIF($B$5:B156,B156)&gt;1," ",SUMIF($B$5:$B$423,B156,$L$5:$L$423))=0," ",IF(COUNTIF($B$5:B156,B156)&gt;1," ",SUMIF($B$5:$B$423,B156,$L$5:$L$423)))</f>
        <v xml:space="preserve"> </v>
      </c>
      <c r="Q156" s="8" t="str">
        <f t="shared" si="27"/>
        <v xml:space="preserve"> </v>
      </c>
      <c r="R156" s="8" t="str">
        <f t="shared" si="26"/>
        <v xml:space="preserve"> </v>
      </c>
      <c r="S156" s="48" t="str">
        <f t="shared" si="24"/>
        <v xml:space="preserve"> </v>
      </c>
      <c r="T156" s="14" t="str">
        <f>IF(F156&gt;0,IFERROR(VLOOKUP($F156,[1]Sheet1!$C$3:$L$3445,10,0),"EOSS"),"")</f>
        <v/>
      </c>
    </row>
    <row r="157" spans="1:20" x14ac:dyDescent="0.3">
      <c r="A157" s="1"/>
      <c r="B157" s="2"/>
      <c r="C157" s="5" t="str">
        <f t="shared" si="19"/>
        <v xml:space="preserve"> </v>
      </c>
      <c r="D157" s="2"/>
      <c r="E157" s="3"/>
      <c r="F157" s="4"/>
      <c r="G157" s="5"/>
      <c r="H157" s="5"/>
      <c r="I157" s="5" t="str">
        <f t="shared" si="20"/>
        <v xml:space="preserve"> </v>
      </c>
      <c r="J157" s="33"/>
      <c r="K157" s="5" t="str">
        <f t="shared" si="21"/>
        <v xml:space="preserve"> </v>
      </c>
      <c r="L157" s="3" t="str">
        <f t="shared" si="22"/>
        <v xml:space="preserve"> </v>
      </c>
      <c r="M157" s="3" t="str">
        <f>IF(E157&gt;0,IFERROR(VLOOKUP($E157,'[2]Table 1'!$B$2:$I$147,8,0),"0.00")," ")</f>
        <v xml:space="preserve"> </v>
      </c>
      <c r="N157" s="6" t="str">
        <f t="shared" si="25"/>
        <v xml:space="preserve"> </v>
      </c>
      <c r="O157" s="7" t="str">
        <f>IF(IF(COUNTIF($B$5:B157,B157)&gt;1," ",SUMIF($B$5:$B$423,B157,$J$5:$J$423))=0," ",IF(COUNTIF($B$5:B157,B157)&gt;1," ",SUMIF($B$5:$B$423,B157,$J$5:$J$423)))</f>
        <v xml:space="preserve"> </v>
      </c>
      <c r="P157" s="8" t="str">
        <f>IF(IF(COUNTIF($B$5:B157,B157)&gt;1," ",SUMIF($B$5:$B$423,B157,$L$5:$L$423))=0," ",IF(COUNTIF($B$5:B157,B157)&gt;1," ",SUMIF($B$5:$B$423,B157,$L$5:$L$423)))</f>
        <v xml:space="preserve"> </v>
      </c>
      <c r="Q157" s="8" t="str">
        <f t="shared" si="27"/>
        <v xml:space="preserve"> </v>
      </c>
      <c r="R157" s="8" t="str">
        <f t="shared" si="26"/>
        <v xml:space="preserve"> </v>
      </c>
      <c r="S157" s="48" t="str">
        <f t="shared" si="24"/>
        <v xml:space="preserve"> </v>
      </c>
      <c r="T157" s="14" t="str">
        <f>IF(F157&gt;0,IFERROR(VLOOKUP($F157,[1]Sheet1!$C$3:$L$3445,10,0),"EOSS"),"")</f>
        <v/>
      </c>
    </row>
    <row r="158" spans="1:20" x14ac:dyDescent="0.3">
      <c r="A158" s="1"/>
      <c r="B158" s="2"/>
      <c r="C158" s="5" t="str">
        <f t="shared" si="19"/>
        <v xml:space="preserve"> </v>
      </c>
      <c r="D158" s="2"/>
      <c r="E158" s="3"/>
      <c r="F158" s="4"/>
      <c r="G158" s="5"/>
      <c r="H158" s="5"/>
      <c r="I158" s="5" t="str">
        <f t="shared" si="20"/>
        <v xml:space="preserve"> </v>
      </c>
      <c r="J158" s="33"/>
      <c r="K158" s="5" t="str">
        <f t="shared" si="21"/>
        <v xml:space="preserve"> </v>
      </c>
      <c r="L158" s="3" t="str">
        <f t="shared" si="22"/>
        <v xml:space="preserve"> </v>
      </c>
      <c r="M158" s="3" t="str">
        <f>IF(E158&gt;0,IFERROR(VLOOKUP($E158,'[2]Table 1'!$B$2:$I$147,8,0),"0.00")," ")</f>
        <v xml:space="preserve"> </v>
      </c>
      <c r="N158" s="6" t="str">
        <f t="shared" si="25"/>
        <v xml:space="preserve"> </v>
      </c>
      <c r="O158" s="7" t="str">
        <f>IF(IF(COUNTIF($B$5:B158,B158)&gt;1," ",SUMIF($B$5:$B$423,B158,$J$5:$J$423))=0," ",IF(COUNTIF($B$5:B158,B158)&gt;1," ",SUMIF($B$5:$B$423,B158,$J$5:$J$423)))</f>
        <v xml:space="preserve"> </v>
      </c>
      <c r="P158" s="8" t="str">
        <f>IF(IF(COUNTIF($B$5:B158,B158)&gt;1," ",SUMIF($B$5:$B$423,B158,$L$5:$L$423))=0," ",IF(COUNTIF($B$5:B158,B158)&gt;1," ",SUMIF($B$5:$B$423,B158,$L$5:$L$423)))</f>
        <v xml:space="preserve"> </v>
      </c>
      <c r="Q158" s="8" t="str">
        <f t="shared" si="27"/>
        <v xml:space="preserve"> </v>
      </c>
      <c r="R158" s="8" t="str">
        <f t="shared" si="26"/>
        <v xml:space="preserve"> </v>
      </c>
      <c r="S158" s="48" t="str">
        <f t="shared" si="24"/>
        <v xml:space="preserve"> </v>
      </c>
      <c r="T158" s="14" t="str">
        <f>IF(F158&gt;0,IFERROR(VLOOKUP($F158,[1]Sheet1!$C$3:$L$3445,10,0),"EOSS"),"")</f>
        <v/>
      </c>
    </row>
    <row r="159" spans="1:20" x14ac:dyDescent="0.3">
      <c r="A159" s="1"/>
      <c r="B159" s="2"/>
      <c r="C159" s="5" t="str">
        <f t="shared" si="19"/>
        <v xml:space="preserve"> </v>
      </c>
      <c r="D159" s="2"/>
      <c r="E159" s="3"/>
      <c r="F159" s="4"/>
      <c r="G159" s="5"/>
      <c r="H159" s="5"/>
      <c r="I159" s="5" t="str">
        <f t="shared" si="20"/>
        <v xml:space="preserve"> </v>
      </c>
      <c r="J159" s="33"/>
      <c r="K159" s="5" t="str">
        <f t="shared" si="21"/>
        <v xml:space="preserve"> </v>
      </c>
      <c r="L159" s="3" t="str">
        <f t="shared" si="22"/>
        <v xml:space="preserve"> </v>
      </c>
      <c r="M159" s="3" t="str">
        <f>IF(E159&gt;0,IFERROR(VLOOKUP($E159,'[2]Table 1'!$B$2:$I$147,8,0),"0.00")," ")</f>
        <v xml:space="preserve"> </v>
      </c>
      <c r="N159" s="6" t="str">
        <f t="shared" si="25"/>
        <v xml:space="preserve"> </v>
      </c>
      <c r="O159" s="7" t="str">
        <f>IF(IF(COUNTIF($B$5:B159,B159)&gt;1," ",SUMIF($B$5:$B$423,B159,$J$5:$J$423))=0," ",IF(COUNTIF($B$5:B159,B159)&gt;1," ",SUMIF($B$5:$B$423,B159,$J$5:$J$423)))</f>
        <v xml:space="preserve"> </v>
      </c>
      <c r="P159" s="8" t="str">
        <f>IF(IF(COUNTIF($B$5:B159,B159)&gt;1," ",SUMIF($B$5:$B$423,B159,$L$5:$L$423))=0," ",IF(COUNTIF($B$5:B159,B159)&gt;1," ",SUMIF($B$5:$B$423,B159,$L$5:$L$423)))</f>
        <v xml:space="preserve"> </v>
      </c>
      <c r="Q159" s="8" t="str">
        <f t="shared" si="27"/>
        <v xml:space="preserve"> </v>
      </c>
      <c r="R159" s="8" t="str">
        <f t="shared" si="26"/>
        <v xml:space="preserve"> </v>
      </c>
      <c r="S159" s="48" t="str">
        <f t="shared" si="24"/>
        <v xml:space="preserve"> </v>
      </c>
      <c r="T159" s="14" t="str">
        <f>IF(F159&gt;0,IFERROR(VLOOKUP($F159,[1]Sheet1!$C$3:$L$3445,10,0),"EOSS"),"")</f>
        <v/>
      </c>
    </row>
    <row r="160" spans="1:20" x14ac:dyDescent="0.3">
      <c r="A160" s="1"/>
      <c r="B160" s="2"/>
      <c r="C160" s="5" t="str">
        <f t="shared" si="19"/>
        <v xml:space="preserve"> </v>
      </c>
      <c r="D160" s="2"/>
      <c r="E160" s="3"/>
      <c r="F160" s="4"/>
      <c r="G160" s="5"/>
      <c r="H160" s="5"/>
      <c r="I160" s="5" t="str">
        <f t="shared" si="20"/>
        <v xml:space="preserve"> </v>
      </c>
      <c r="J160" s="33"/>
      <c r="K160" s="5" t="str">
        <f t="shared" si="21"/>
        <v xml:space="preserve"> </v>
      </c>
      <c r="L160" s="3" t="str">
        <f t="shared" si="22"/>
        <v xml:space="preserve"> </v>
      </c>
      <c r="M160" s="3" t="str">
        <f>IF(E160&gt;0,IFERROR(VLOOKUP($E160,'[2]Table 1'!$B$2:$I$147,8,0),"0.00")," ")</f>
        <v xml:space="preserve"> </v>
      </c>
      <c r="N160" s="6" t="str">
        <f t="shared" si="25"/>
        <v xml:space="preserve"> </v>
      </c>
      <c r="O160" s="7" t="str">
        <f>IF(IF(COUNTIF($B$5:B160,B160)&gt;1," ",SUMIF($B$5:$B$423,B160,$J$5:$J$423))=0," ",IF(COUNTIF($B$5:B160,B160)&gt;1," ",SUMIF($B$5:$B$423,B160,$J$5:$J$423)))</f>
        <v xml:space="preserve"> </v>
      </c>
      <c r="P160" s="8" t="str">
        <f>IF(IF(COUNTIF($B$5:B160,B160)&gt;1," ",SUMIF($B$5:$B$423,B160,$L$5:$L$423))=0," ",IF(COUNTIF($B$5:B160,B160)&gt;1," ",SUMIF($B$5:$B$423,B160,$L$5:$L$423)))</f>
        <v xml:space="preserve"> </v>
      </c>
      <c r="Q160" s="8" t="str">
        <f t="shared" si="27"/>
        <v xml:space="preserve"> </v>
      </c>
      <c r="R160" s="8" t="str">
        <f t="shared" si="26"/>
        <v xml:space="preserve"> </v>
      </c>
      <c r="S160" s="48" t="str">
        <f t="shared" si="24"/>
        <v xml:space="preserve"> </v>
      </c>
      <c r="T160" s="14" t="str">
        <f>IF(F160&gt;0,IFERROR(VLOOKUP($F160,[1]Sheet1!$C$3:$L$3445,10,0),"EOSS"),"")</f>
        <v/>
      </c>
    </row>
    <row r="161" spans="1:20" x14ac:dyDescent="0.3">
      <c r="A161" s="1"/>
      <c r="B161" s="2"/>
      <c r="C161" s="5" t="str">
        <f t="shared" si="19"/>
        <v xml:space="preserve"> </v>
      </c>
      <c r="D161" s="2"/>
      <c r="E161" s="3"/>
      <c r="F161" s="4"/>
      <c r="G161" s="5"/>
      <c r="H161" s="5"/>
      <c r="I161" s="5" t="str">
        <f t="shared" si="20"/>
        <v xml:space="preserve"> </v>
      </c>
      <c r="J161" s="33"/>
      <c r="K161" s="5" t="str">
        <f t="shared" si="21"/>
        <v xml:space="preserve"> </v>
      </c>
      <c r="L161" s="3" t="str">
        <f t="shared" si="22"/>
        <v xml:space="preserve"> </v>
      </c>
      <c r="M161" s="3" t="str">
        <f>IF(E161&gt;0,IFERROR(VLOOKUP($E161,'[2]Table 1'!$B$2:$I$147,8,0),"0.00")," ")</f>
        <v xml:space="preserve"> </v>
      </c>
      <c r="N161" s="6" t="str">
        <f t="shared" si="25"/>
        <v xml:space="preserve"> </v>
      </c>
      <c r="O161" s="7" t="str">
        <f>IF(IF(COUNTIF($B$5:B161,B161)&gt;1," ",SUMIF($B$5:$B$423,B161,$J$5:$J$423))=0," ",IF(COUNTIF($B$5:B161,B161)&gt;1," ",SUMIF($B$5:$B$423,B161,$J$5:$J$423)))</f>
        <v xml:space="preserve"> </v>
      </c>
      <c r="P161" s="8" t="str">
        <f>IF(IF(COUNTIF($B$5:B161,B161)&gt;1," ",SUMIF($B$5:$B$423,B161,$L$5:$L$423))=0," ",IF(COUNTIF($B$5:B161,B161)&gt;1," ",SUMIF($B$5:$B$423,B161,$L$5:$L$423)))</f>
        <v xml:space="preserve"> </v>
      </c>
      <c r="Q161" s="8" t="str">
        <f t="shared" si="27"/>
        <v xml:space="preserve"> </v>
      </c>
      <c r="R161" s="8" t="str">
        <f t="shared" si="26"/>
        <v xml:space="preserve"> </v>
      </c>
      <c r="S161" s="48" t="str">
        <f t="shared" si="24"/>
        <v xml:space="preserve"> </v>
      </c>
      <c r="T161" s="14" t="str">
        <f>IF(F161&gt;0,IFERROR(VLOOKUP($F161,[1]Sheet1!$C$3:$L$3445,10,0),"EOSS"),"")</f>
        <v/>
      </c>
    </row>
    <row r="162" spans="1:20" x14ac:dyDescent="0.3">
      <c r="A162" s="1"/>
      <c r="B162" s="2"/>
      <c r="C162" s="5" t="str">
        <f t="shared" si="19"/>
        <v xml:space="preserve"> </v>
      </c>
      <c r="D162" s="2"/>
      <c r="E162" s="3"/>
      <c r="F162" s="4"/>
      <c r="G162" s="5"/>
      <c r="H162" s="5"/>
      <c r="I162" s="5" t="str">
        <f t="shared" si="20"/>
        <v xml:space="preserve"> </v>
      </c>
      <c r="J162" s="33"/>
      <c r="K162" s="5" t="str">
        <f t="shared" si="21"/>
        <v xml:space="preserve"> </v>
      </c>
      <c r="L162" s="3" t="str">
        <f t="shared" si="22"/>
        <v xml:space="preserve"> </v>
      </c>
      <c r="M162" s="3" t="str">
        <f>IF(E162&gt;0,IFERROR(VLOOKUP($E162,'[2]Table 1'!$B$2:$I$147,8,0),"0.00")," ")</f>
        <v xml:space="preserve"> </v>
      </c>
      <c r="N162" s="6" t="str">
        <f t="shared" si="25"/>
        <v xml:space="preserve"> </v>
      </c>
      <c r="O162" s="7" t="str">
        <f>IF(IF(COUNTIF($B$5:B162,B162)&gt;1," ",SUMIF($B$5:$B$423,B162,$J$5:$J$423))=0," ",IF(COUNTIF($B$5:B162,B162)&gt;1," ",SUMIF($B$5:$B$423,B162,$J$5:$J$423)))</f>
        <v xml:space="preserve"> </v>
      </c>
      <c r="P162" s="8" t="str">
        <f>IF(IF(COUNTIF($B$5:B162,B162)&gt;1," ",SUMIF($B$5:$B$423,B162,$L$5:$L$423))=0," ",IF(COUNTIF($B$5:B162,B162)&gt;1," ",SUMIF($B$5:$B$423,B162,$L$5:$L$423)))</f>
        <v xml:space="preserve"> </v>
      </c>
      <c r="Q162" s="8" t="str">
        <f t="shared" si="27"/>
        <v xml:space="preserve"> </v>
      </c>
      <c r="R162" s="8" t="str">
        <f t="shared" si="26"/>
        <v xml:space="preserve"> </v>
      </c>
      <c r="S162" s="48" t="str">
        <f t="shared" si="24"/>
        <v xml:space="preserve"> </v>
      </c>
      <c r="T162" s="14" t="str">
        <f>IF(F162&gt;0,IFERROR(VLOOKUP($F162,[1]Sheet1!$C$3:$L$3445,10,0),"EOSS"),"")</f>
        <v/>
      </c>
    </row>
    <row r="163" spans="1:20" x14ac:dyDescent="0.3">
      <c r="A163" s="1"/>
      <c r="B163" s="2"/>
      <c r="C163" s="5" t="str">
        <f t="shared" si="19"/>
        <v xml:space="preserve"> </v>
      </c>
      <c r="D163" s="2"/>
      <c r="E163" s="3"/>
      <c r="F163" s="4"/>
      <c r="G163" s="5"/>
      <c r="H163" s="5"/>
      <c r="I163" s="5" t="str">
        <f t="shared" si="20"/>
        <v xml:space="preserve"> </v>
      </c>
      <c r="J163" s="33"/>
      <c r="K163" s="5" t="str">
        <f t="shared" si="21"/>
        <v xml:space="preserve"> </v>
      </c>
      <c r="L163" s="3" t="str">
        <f t="shared" si="22"/>
        <v xml:space="preserve"> </v>
      </c>
      <c r="M163" s="3" t="str">
        <f>IF(E163&gt;0,IFERROR(VLOOKUP($E163,'[2]Table 1'!$B$2:$I$147,8,0),"0.00")," ")</f>
        <v xml:space="preserve"> </v>
      </c>
      <c r="N163" s="6" t="str">
        <f t="shared" si="25"/>
        <v xml:space="preserve"> </v>
      </c>
      <c r="O163" s="7" t="str">
        <f>IF(IF(COUNTIF($B$5:B163,B163)&gt;1," ",SUMIF($B$5:$B$423,B163,$J$5:$J$423))=0," ",IF(COUNTIF($B$5:B163,B163)&gt;1," ",SUMIF($B$5:$B$423,B163,$J$5:$J$423)))</f>
        <v xml:space="preserve"> </v>
      </c>
      <c r="P163" s="8" t="str">
        <f>IF(IF(COUNTIF($B$5:B163,B163)&gt;1," ",SUMIF($B$5:$B$423,B163,$L$5:$L$423))=0," ",IF(COUNTIF($B$5:B163,B163)&gt;1," ",SUMIF($B$5:$B$423,B163,$L$5:$L$423)))</f>
        <v xml:space="preserve"> </v>
      </c>
      <c r="Q163" s="8" t="str">
        <f t="shared" si="27"/>
        <v xml:space="preserve"> </v>
      </c>
      <c r="R163" s="8" t="str">
        <f t="shared" si="26"/>
        <v xml:space="preserve"> </v>
      </c>
      <c r="S163" s="48" t="str">
        <f t="shared" si="24"/>
        <v xml:space="preserve"> </v>
      </c>
      <c r="T163" s="14" t="str">
        <f>IF(F163&gt;0,IFERROR(VLOOKUP($F163,[1]Sheet1!$C$3:$L$3445,10,0),"EOSS"),"")</f>
        <v/>
      </c>
    </row>
    <row r="164" spans="1:20" x14ac:dyDescent="0.3">
      <c r="A164" s="1"/>
      <c r="B164" s="2"/>
      <c r="C164" s="5" t="str">
        <f t="shared" si="19"/>
        <v xml:space="preserve"> </v>
      </c>
      <c r="D164" s="2"/>
      <c r="E164" s="3"/>
      <c r="F164" s="4"/>
      <c r="G164" s="5"/>
      <c r="H164" s="5"/>
      <c r="I164" s="5" t="str">
        <f t="shared" si="20"/>
        <v xml:space="preserve"> </v>
      </c>
      <c r="J164" s="33"/>
      <c r="K164" s="5" t="str">
        <f t="shared" si="21"/>
        <v xml:space="preserve"> </v>
      </c>
      <c r="L164" s="3" t="str">
        <f t="shared" si="22"/>
        <v xml:space="preserve"> </v>
      </c>
      <c r="M164" s="3" t="str">
        <f>IF(E164&gt;0,IFERROR(VLOOKUP($E164,'[2]Table 1'!$B$2:$I$147,8,0),"0.00")," ")</f>
        <v xml:space="preserve"> </v>
      </c>
      <c r="N164" s="6" t="str">
        <f t="shared" si="25"/>
        <v xml:space="preserve"> </v>
      </c>
      <c r="O164" s="7" t="str">
        <f>IF(IF(COUNTIF($B$5:B164,B164)&gt;1," ",SUMIF($B$5:$B$423,B164,$J$5:$J$423))=0," ",IF(COUNTIF($B$5:B164,B164)&gt;1," ",SUMIF($B$5:$B$423,B164,$J$5:$J$423)))</f>
        <v xml:space="preserve"> </v>
      </c>
      <c r="P164" s="8" t="str">
        <f>IF(IF(COUNTIF($B$5:B164,B164)&gt;1," ",SUMIF($B$5:$B$423,B164,$L$5:$L$423))=0," ",IF(COUNTIF($B$5:B164,B164)&gt;1," ",SUMIF($B$5:$B$423,B164,$L$5:$L$423)))</f>
        <v xml:space="preserve"> </v>
      </c>
      <c r="Q164" s="8" t="str">
        <f t="shared" si="27"/>
        <v xml:space="preserve"> </v>
      </c>
      <c r="R164" s="8" t="str">
        <f t="shared" si="26"/>
        <v xml:space="preserve"> </v>
      </c>
      <c r="S164" s="48" t="str">
        <f t="shared" si="24"/>
        <v xml:space="preserve"> </v>
      </c>
      <c r="T164" s="14" t="str">
        <f>IF(F164&gt;0,IFERROR(VLOOKUP($F164,[1]Sheet1!$C$3:$L$3445,10,0),"EOSS"),"")</f>
        <v/>
      </c>
    </row>
    <row r="165" spans="1:20" x14ac:dyDescent="0.3">
      <c r="A165" s="1"/>
      <c r="B165" s="2"/>
      <c r="C165" s="5" t="str">
        <f t="shared" si="19"/>
        <v xml:space="preserve"> </v>
      </c>
      <c r="D165" s="2"/>
      <c r="E165" s="3"/>
      <c r="F165" s="4"/>
      <c r="G165" s="5"/>
      <c r="H165" s="5"/>
      <c r="I165" s="5" t="str">
        <f t="shared" si="20"/>
        <v xml:space="preserve"> </v>
      </c>
      <c r="J165" s="33"/>
      <c r="K165" s="5" t="str">
        <f t="shared" si="21"/>
        <v xml:space="preserve"> </v>
      </c>
      <c r="L165" s="3" t="str">
        <f t="shared" si="22"/>
        <v xml:space="preserve"> </v>
      </c>
      <c r="M165" s="3" t="str">
        <f>IF(E165&gt;0,IFERROR(VLOOKUP($E165,'[2]Table 1'!$B$2:$I$147,8,0),"0.00")," ")</f>
        <v xml:space="preserve"> </v>
      </c>
      <c r="N165" s="6" t="str">
        <f t="shared" si="25"/>
        <v xml:space="preserve"> </v>
      </c>
      <c r="O165" s="7" t="str">
        <f>IF(IF(COUNTIF($B$5:B165,B165)&gt;1," ",SUMIF($B$5:$B$423,B165,$J$5:$J$423))=0," ",IF(COUNTIF($B$5:B165,B165)&gt;1," ",SUMIF($B$5:$B$423,B165,$J$5:$J$423)))</f>
        <v xml:space="preserve"> </v>
      </c>
      <c r="P165" s="8" t="str">
        <f>IF(IF(COUNTIF($B$5:B165,B165)&gt;1," ",SUMIF($B$5:$B$423,B165,$L$5:$L$423))=0," ",IF(COUNTIF($B$5:B165,B165)&gt;1," ",SUMIF($B$5:$B$423,B165,$L$5:$L$423)))</f>
        <v xml:space="preserve"> </v>
      </c>
      <c r="Q165" s="8" t="str">
        <f t="shared" si="27"/>
        <v xml:space="preserve"> </v>
      </c>
      <c r="R165" s="8" t="str">
        <f t="shared" si="26"/>
        <v xml:space="preserve"> </v>
      </c>
      <c r="S165" s="48" t="str">
        <f t="shared" si="24"/>
        <v xml:space="preserve"> </v>
      </c>
      <c r="T165" s="14" t="str">
        <f>IF(F165&gt;0,IFERROR(VLOOKUP($F165,[1]Sheet1!$C$3:$L$3445,10,0),"EOSS"),"")</f>
        <v/>
      </c>
    </row>
    <row r="166" spans="1:20" x14ac:dyDescent="0.3">
      <c r="A166" s="1"/>
      <c r="B166" s="2"/>
      <c r="C166" s="5" t="str">
        <f t="shared" si="19"/>
        <v xml:space="preserve"> </v>
      </c>
      <c r="D166" s="2"/>
      <c r="E166" s="3"/>
      <c r="F166" s="4"/>
      <c r="G166" s="5"/>
      <c r="H166" s="5"/>
      <c r="I166" s="5" t="str">
        <f t="shared" si="20"/>
        <v xml:space="preserve"> </v>
      </c>
      <c r="J166" s="33"/>
      <c r="K166" s="5" t="str">
        <f t="shared" si="21"/>
        <v xml:space="preserve"> </v>
      </c>
      <c r="L166" s="3" t="str">
        <f t="shared" si="22"/>
        <v xml:space="preserve"> </v>
      </c>
      <c r="M166" s="3" t="str">
        <f>IF(E166&gt;0,IFERROR(VLOOKUP($E166,'[2]Table 1'!$B$2:$I$147,8,0),"0.00")," ")</f>
        <v xml:space="preserve"> </v>
      </c>
      <c r="N166" s="6" t="str">
        <f t="shared" si="25"/>
        <v xml:space="preserve"> </v>
      </c>
      <c r="O166" s="7" t="str">
        <f>IF(IF(COUNTIF($B$5:B166,B166)&gt;1," ",SUMIF($B$5:$B$423,B166,$J$5:$J$423))=0," ",IF(COUNTIF($B$5:B166,B166)&gt;1," ",SUMIF($B$5:$B$423,B166,$J$5:$J$423)))</f>
        <v xml:space="preserve"> </v>
      </c>
      <c r="P166" s="8" t="str">
        <f>IF(IF(COUNTIF($B$5:B166,B166)&gt;1," ",SUMIF($B$5:$B$423,B166,$L$5:$L$423))=0," ",IF(COUNTIF($B$5:B166,B166)&gt;1," ",SUMIF($B$5:$B$423,B166,$L$5:$L$423)))</f>
        <v xml:space="preserve"> </v>
      </c>
      <c r="Q166" s="8" t="str">
        <f t="shared" si="27"/>
        <v xml:space="preserve"> </v>
      </c>
      <c r="R166" s="8" t="str">
        <f t="shared" si="26"/>
        <v xml:space="preserve"> </v>
      </c>
      <c r="S166" s="48" t="str">
        <f t="shared" si="24"/>
        <v xml:space="preserve"> </v>
      </c>
      <c r="T166" s="14" t="str">
        <f>IF(F166&gt;0,IFERROR(VLOOKUP($F166,[1]Sheet1!$C$3:$L$3445,10,0),"EOSS"),"")</f>
        <v/>
      </c>
    </row>
    <row r="167" spans="1:20" x14ac:dyDescent="0.3">
      <c r="A167" s="1"/>
      <c r="B167" s="2"/>
      <c r="C167" s="5" t="str">
        <f t="shared" si="19"/>
        <v xml:space="preserve"> </v>
      </c>
      <c r="D167" s="2"/>
      <c r="E167" s="3"/>
      <c r="F167" s="4"/>
      <c r="G167" s="5"/>
      <c r="H167" s="5"/>
      <c r="I167" s="5" t="str">
        <f t="shared" si="20"/>
        <v xml:space="preserve"> </v>
      </c>
      <c r="J167" s="33"/>
      <c r="K167" s="5" t="str">
        <f t="shared" si="21"/>
        <v xml:space="preserve"> </v>
      </c>
      <c r="L167" s="3" t="str">
        <f t="shared" si="22"/>
        <v xml:space="preserve"> </v>
      </c>
      <c r="M167" s="3" t="str">
        <f>IF(E167&gt;0,IFERROR(VLOOKUP($E167,'[2]Table 1'!$B$2:$I$147,8,0),"0.00")," ")</f>
        <v xml:space="preserve"> </v>
      </c>
      <c r="N167" s="6" t="str">
        <f t="shared" si="25"/>
        <v xml:space="preserve"> </v>
      </c>
      <c r="O167" s="7" t="str">
        <f>IF(IF(COUNTIF($B$5:B167,B167)&gt;1," ",SUMIF($B$5:$B$423,B167,$J$5:$J$423))=0," ",IF(COUNTIF($B$5:B167,B167)&gt;1," ",SUMIF($B$5:$B$423,B167,$J$5:$J$423)))</f>
        <v xml:space="preserve"> </v>
      </c>
      <c r="P167" s="8" t="str">
        <f>IF(IF(COUNTIF($B$5:B167,B167)&gt;1," ",SUMIF($B$5:$B$423,B167,$L$5:$L$423))=0," ",IF(COUNTIF($B$5:B167,B167)&gt;1," ",SUMIF($B$5:$B$423,B167,$L$5:$L$423)))</f>
        <v xml:space="preserve"> </v>
      </c>
      <c r="Q167" s="8" t="str">
        <f t="shared" si="27"/>
        <v xml:space="preserve"> </v>
      </c>
      <c r="R167" s="8" t="str">
        <f t="shared" si="26"/>
        <v xml:space="preserve"> </v>
      </c>
      <c r="S167" s="48" t="str">
        <f t="shared" si="24"/>
        <v xml:space="preserve"> </v>
      </c>
      <c r="T167" s="14" t="str">
        <f>IF(F167&gt;0,IFERROR(VLOOKUP($F167,[1]Sheet1!$C$3:$L$3445,10,0),"EOSS"),"")</f>
        <v/>
      </c>
    </row>
    <row r="168" spans="1:20" x14ac:dyDescent="0.3">
      <c r="A168" s="1"/>
      <c r="B168" s="2"/>
      <c r="C168" s="5" t="str">
        <f t="shared" si="19"/>
        <v xml:space="preserve"> </v>
      </c>
      <c r="D168" s="2"/>
      <c r="E168" s="3"/>
      <c r="F168" s="4"/>
      <c r="G168" s="5"/>
      <c r="H168" s="5"/>
      <c r="I168" s="5" t="str">
        <f t="shared" si="20"/>
        <v xml:space="preserve"> </v>
      </c>
      <c r="J168" s="33"/>
      <c r="K168" s="5" t="str">
        <f t="shared" si="21"/>
        <v xml:space="preserve"> </v>
      </c>
      <c r="L168" s="3" t="str">
        <f t="shared" si="22"/>
        <v xml:space="preserve"> </v>
      </c>
      <c r="M168" s="3" t="str">
        <f>IF(E168&gt;0,IFERROR(VLOOKUP($E168,'[2]Table 1'!$B$2:$I$147,8,0),"0.00")," ")</f>
        <v xml:space="preserve"> </v>
      </c>
      <c r="N168" s="6" t="str">
        <f t="shared" si="25"/>
        <v xml:space="preserve"> </v>
      </c>
      <c r="O168" s="7" t="str">
        <f>IF(IF(COUNTIF($B$5:B168,B168)&gt;1," ",SUMIF($B$5:$B$423,B168,$J$5:$J$423))=0," ",IF(COUNTIF($B$5:B168,B168)&gt;1," ",SUMIF($B$5:$B$423,B168,$J$5:$J$423)))</f>
        <v xml:space="preserve"> </v>
      </c>
      <c r="P168" s="8" t="str">
        <f>IF(IF(COUNTIF($B$5:B168,B168)&gt;1," ",SUMIF($B$5:$B$423,B168,$L$5:$L$423))=0," ",IF(COUNTIF($B$5:B168,B168)&gt;1," ",SUMIF($B$5:$B$423,B168,$L$5:$L$423)))</f>
        <v xml:space="preserve"> </v>
      </c>
      <c r="Q168" s="8" t="str">
        <f t="shared" si="27"/>
        <v xml:space="preserve"> </v>
      </c>
      <c r="R168" s="8" t="str">
        <f t="shared" si="26"/>
        <v xml:space="preserve"> </v>
      </c>
      <c r="S168" s="48" t="str">
        <f t="shared" si="24"/>
        <v xml:space="preserve"> </v>
      </c>
      <c r="T168" s="14" t="str">
        <f>IF(F168&gt;0,IFERROR(VLOOKUP($F168,[1]Sheet1!$C$3:$L$3445,10,0),"EOSS"),"")</f>
        <v/>
      </c>
    </row>
    <row r="169" spans="1:20" x14ac:dyDescent="0.3">
      <c r="A169" s="1"/>
      <c r="B169" s="2"/>
      <c r="C169" s="5" t="str">
        <f t="shared" si="19"/>
        <v xml:space="preserve"> </v>
      </c>
      <c r="D169" s="2"/>
      <c r="E169" s="3"/>
      <c r="F169" s="4"/>
      <c r="G169" s="5"/>
      <c r="H169" s="5"/>
      <c r="I169" s="5" t="str">
        <f t="shared" si="20"/>
        <v xml:space="preserve"> </v>
      </c>
      <c r="J169" s="33"/>
      <c r="K169" s="5" t="str">
        <f t="shared" si="21"/>
        <v xml:space="preserve"> </v>
      </c>
      <c r="L169" s="3" t="str">
        <f t="shared" si="22"/>
        <v xml:space="preserve"> </v>
      </c>
      <c r="M169" s="3" t="str">
        <f>IF(E169&gt;0,IFERROR(VLOOKUP($E169,'[2]Table 1'!$B$2:$I$147,8,0),"0.00")," ")</f>
        <v xml:space="preserve"> </v>
      </c>
      <c r="N169" s="6" t="str">
        <f t="shared" si="25"/>
        <v xml:space="preserve"> </v>
      </c>
      <c r="O169" s="7" t="str">
        <f>IF(IF(COUNTIF($B$5:B169,B169)&gt;1," ",SUMIF($B$5:$B$423,B169,$J$5:$J$423))=0," ",IF(COUNTIF($B$5:B169,B169)&gt;1," ",SUMIF($B$5:$B$423,B169,$J$5:$J$423)))</f>
        <v xml:space="preserve"> </v>
      </c>
      <c r="P169" s="8" t="str">
        <f>IF(IF(COUNTIF($B$5:B169,B169)&gt;1," ",SUMIF($B$5:$B$423,B169,$L$5:$L$423))=0," ",IF(COUNTIF($B$5:B169,B169)&gt;1," ",SUMIF($B$5:$B$423,B169,$L$5:$L$423)))</f>
        <v xml:space="preserve"> </v>
      </c>
      <c r="Q169" s="8" t="str">
        <f t="shared" si="27"/>
        <v xml:space="preserve"> </v>
      </c>
      <c r="R169" s="8" t="str">
        <f t="shared" si="26"/>
        <v xml:space="preserve"> </v>
      </c>
      <c r="S169" s="48" t="str">
        <f t="shared" si="24"/>
        <v xml:space="preserve"> </v>
      </c>
      <c r="T169" s="14" t="str">
        <f>IF(F169&gt;0,IFERROR(VLOOKUP($F169,[1]Sheet1!$C$3:$L$3445,10,0),"EOSS"),"")</f>
        <v/>
      </c>
    </row>
    <row r="170" spans="1:20" x14ac:dyDescent="0.3">
      <c r="A170" s="1"/>
      <c r="B170" s="2"/>
      <c r="C170" s="5" t="str">
        <f t="shared" si="19"/>
        <v xml:space="preserve"> </v>
      </c>
      <c r="D170" s="2"/>
      <c r="E170" s="3"/>
      <c r="F170" s="4"/>
      <c r="G170" s="5"/>
      <c r="H170" s="5"/>
      <c r="I170" s="5" t="str">
        <f t="shared" si="20"/>
        <v xml:space="preserve"> </v>
      </c>
      <c r="J170" s="33"/>
      <c r="K170" s="5" t="str">
        <f t="shared" si="21"/>
        <v xml:space="preserve"> </v>
      </c>
      <c r="L170" s="3" t="str">
        <f t="shared" si="22"/>
        <v xml:space="preserve"> </v>
      </c>
      <c r="M170" s="3" t="str">
        <f>IF(E170&gt;0,IFERROR(VLOOKUP($E170,'[2]Table 1'!$B$2:$I$147,8,0),"0.00")," ")</f>
        <v xml:space="preserve"> </v>
      </c>
      <c r="N170" s="6" t="str">
        <f t="shared" si="25"/>
        <v xml:space="preserve"> </v>
      </c>
      <c r="O170" s="7" t="str">
        <f>IF(IF(COUNTIF($B$5:B170,B170)&gt;1," ",SUMIF($B$5:$B$423,B170,$J$5:$J$423))=0," ",IF(COUNTIF($B$5:B170,B170)&gt;1," ",SUMIF($B$5:$B$423,B170,$J$5:$J$423)))</f>
        <v xml:space="preserve"> </v>
      </c>
      <c r="P170" s="8" t="str">
        <f>IF(IF(COUNTIF($B$5:B170,B170)&gt;1," ",SUMIF($B$5:$B$423,B170,$L$5:$L$423))=0," ",IF(COUNTIF($B$5:B170,B170)&gt;1," ",SUMIF($B$5:$B$423,B170,$L$5:$L$423)))</f>
        <v xml:space="preserve"> </v>
      </c>
      <c r="Q170" s="8" t="str">
        <f t="shared" si="27"/>
        <v xml:space="preserve"> </v>
      </c>
      <c r="R170" s="8" t="str">
        <f t="shared" si="26"/>
        <v xml:space="preserve"> </v>
      </c>
      <c r="S170" s="48" t="str">
        <f t="shared" si="24"/>
        <v xml:space="preserve"> </v>
      </c>
      <c r="T170" s="14" t="str">
        <f>IF(F170&gt;0,IFERROR(VLOOKUP($F170,[1]Sheet1!$C$3:$L$3445,10,0),"EOSS"),"")</f>
        <v/>
      </c>
    </row>
    <row r="171" spans="1:20" x14ac:dyDescent="0.3">
      <c r="A171" s="1"/>
      <c r="B171" s="2"/>
      <c r="C171" s="5" t="str">
        <f t="shared" si="19"/>
        <v xml:space="preserve"> </v>
      </c>
      <c r="D171" s="2"/>
      <c r="E171" s="3"/>
      <c r="F171" s="4"/>
      <c r="G171" s="5"/>
      <c r="H171" s="5"/>
      <c r="I171" s="5" t="str">
        <f t="shared" si="20"/>
        <v xml:space="preserve"> </v>
      </c>
      <c r="J171" s="33"/>
      <c r="K171" s="5" t="str">
        <f t="shared" si="21"/>
        <v xml:space="preserve"> </v>
      </c>
      <c r="L171" s="3" t="str">
        <f t="shared" si="22"/>
        <v xml:space="preserve"> </v>
      </c>
      <c r="M171" s="3" t="str">
        <f>IF(E171&gt;0,IFERROR(VLOOKUP($E171,'[2]Table 1'!$B$2:$I$147,8,0),"0.00")," ")</f>
        <v xml:space="preserve"> </v>
      </c>
      <c r="N171" s="6" t="str">
        <f t="shared" si="25"/>
        <v xml:space="preserve"> </v>
      </c>
      <c r="O171" s="7" t="str">
        <f>IF(IF(COUNTIF($B$5:B171,B171)&gt;1," ",SUMIF($B$5:$B$423,B171,$J$5:$J$423))=0," ",IF(COUNTIF($B$5:B171,B171)&gt;1," ",SUMIF($B$5:$B$423,B171,$J$5:$J$423)))</f>
        <v xml:space="preserve"> </v>
      </c>
      <c r="P171" s="8" t="str">
        <f>IF(IF(COUNTIF($B$5:B171,B171)&gt;1," ",SUMIF($B$5:$B$423,B171,$L$5:$L$423))=0," ",IF(COUNTIF($B$5:B171,B171)&gt;1," ",SUMIF($B$5:$B$423,B171,$L$5:$L$423)))</f>
        <v xml:space="preserve"> </v>
      </c>
      <c r="Q171" s="8" t="str">
        <f t="shared" si="27"/>
        <v xml:space="preserve"> </v>
      </c>
      <c r="R171" s="8" t="str">
        <f t="shared" si="26"/>
        <v xml:space="preserve"> </v>
      </c>
      <c r="S171" s="48" t="str">
        <f t="shared" si="24"/>
        <v xml:space="preserve"> </v>
      </c>
      <c r="T171" s="14" t="str">
        <f>IF(F171&gt;0,IFERROR(VLOOKUP($F171,[1]Sheet1!$C$3:$L$3445,10,0),"EOSS"),"")</f>
        <v/>
      </c>
    </row>
    <row r="172" spans="1:20" x14ac:dyDescent="0.3">
      <c r="A172" s="1"/>
      <c r="B172" s="2"/>
      <c r="C172" s="5" t="str">
        <f t="shared" si="19"/>
        <v xml:space="preserve"> </v>
      </c>
      <c r="D172" s="2"/>
      <c r="E172" s="3"/>
      <c r="F172" s="4"/>
      <c r="G172" s="5"/>
      <c r="H172" s="5"/>
      <c r="I172" s="5" t="str">
        <f t="shared" si="20"/>
        <v xml:space="preserve"> </v>
      </c>
      <c r="J172" s="33"/>
      <c r="K172" s="5" t="str">
        <f t="shared" si="21"/>
        <v xml:space="preserve"> </v>
      </c>
      <c r="L172" s="3" t="str">
        <f t="shared" si="22"/>
        <v xml:space="preserve"> </v>
      </c>
      <c r="M172" s="3" t="str">
        <f>IF(E172&gt;0,IFERROR(VLOOKUP($E172,'[2]Table 1'!$B$2:$I$147,8,0),"0.00")," ")</f>
        <v xml:space="preserve"> </v>
      </c>
      <c r="N172" s="6" t="str">
        <f t="shared" si="25"/>
        <v xml:space="preserve"> </v>
      </c>
      <c r="O172" s="7" t="str">
        <f>IF(IF(COUNTIF($B$5:B172,B172)&gt;1," ",SUMIF($B$5:$B$423,B172,$J$5:$J$423))=0," ",IF(COUNTIF($B$5:B172,B172)&gt;1," ",SUMIF($B$5:$B$423,B172,$J$5:$J$423)))</f>
        <v xml:space="preserve"> </v>
      </c>
      <c r="P172" s="8" t="str">
        <f>IF(IF(COUNTIF($B$5:B172,B172)&gt;1," ",SUMIF($B$5:$B$423,B172,$L$5:$L$423))=0," ",IF(COUNTIF($B$5:B172,B172)&gt;1," ",SUMIF($B$5:$B$423,B172,$L$5:$L$423)))</f>
        <v xml:space="preserve"> </v>
      </c>
      <c r="Q172" s="8" t="str">
        <f t="shared" si="27"/>
        <v xml:space="preserve"> </v>
      </c>
      <c r="R172" s="8" t="str">
        <f t="shared" si="26"/>
        <v xml:space="preserve"> </v>
      </c>
      <c r="S172" s="48" t="str">
        <f t="shared" si="24"/>
        <v xml:space="preserve"> </v>
      </c>
      <c r="T172" s="14" t="str">
        <f>IF(F172&gt;0,IFERROR(VLOOKUP($F172,[1]Sheet1!$C$3:$L$3445,10,0),"EOSS"),"")</f>
        <v/>
      </c>
    </row>
    <row r="173" spans="1:20" x14ac:dyDescent="0.3">
      <c r="A173" s="1"/>
      <c r="B173" s="2"/>
      <c r="C173" s="5" t="str">
        <f t="shared" si="19"/>
        <v xml:space="preserve"> </v>
      </c>
      <c r="D173" s="2"/>
      <c r="E173" s="3"/>
      <c r="F173" s="4"/>
      <c r="G173" s="5"/>
      <c r="H173" s="5"/>
      <c r="I173" s="5" t="str">
        <f t="shared" si="20"/>
        <v xml:space="preserve"> </v>
      </c>
      <c r="J173" s="33"/>
      <c r="K173" s="5" t="str">
        <f t="shared" si="21"/>
        <v xml:space="preserve"> </v>
      </c>
      <c r="L173" s="3" t="str">
        <f t="shared" si="22"/>
        <v xml:space="preserve"> </v>
      </c>
      <c r="M173" s="3" t="str">
        <f>IF(E173&gt;0,IFERROR(VLOOKUP($E173,'[2]Table 1'!$B$2:$I$147,8,0),"0.00")," ")</f>
        <v xml:space="preserve"> </v>
      </c>
      <c r="N173" s="6" t="str">
        <f t="shared" si="25"/>
        <v xml:space="preserve"> </v>
      </c>
      <c r="O173" s="7" t="str">
        <f>IF(IF(COUNTIF($B$5:B173,B173)&gt;1," ",SUMIF($B$5:$B$423,B173,$J$5:$J$423))=0," ",IF(COUNTIF($B$5:B173,B173)&gt;1," ",SUMIF($B$5:$B$423,B173,$J$5:$J$423)))</f>
        <v xml:space="preserve"> </v>
      </c>
      <c r="P173" s="8" t="str">
        <f>IF(IF(COUNTIF($B$5:B173,B173)&gt;1," ",SUMIF($B$5:$B$423,B173,$L$5:$L$423))=0," ",IF(COUNTIF($B$5:B173,B173)&gt;1," ",SUMIF($B$5:$B$423,B173,$L$5:$L$423)))</f>
        <v xml:space="preserve"> </v>
      </c>
      <c r="Q173" s="8" t="str">
        <f t="shared" si="27"/>
        <v xml:space="preserve"> </v>
      </c>
      <c r="R173" s="8" t="str">
        <f t="shared" si="26"/>
        <v xml:space="preserve"> </v>
      </c>
      <c r="S173" s="48" t="str">
        <f t="shared" si="24"/>
        <v xml:space="preserve"> </v>
      </c>
      <c r="T173" s="14" t="str">
        <f>IF(F173&gt;0,IFERROR(VLOOKUP($F173,[1]Sheet1!$C$3:$L$3445,10,0),"EOSS"),"")</f>
        <v/>
      </c>
    </row>
    <row r="174" spans="1:20" x14ac:dyDescent="0.3">
      <c r="A174" s="1"/>
      <c r="B174" s="2"/>
      <c r="C174" s="5" t="str">
        <f t="shared" si="19"/>
        <v xml:space="preserve"> </v>
      </c>
      <c r="D174" s="2"/>
      <c r="E174" s="3"/>
      <c r="F174" s="4"/>
      <c r="G174" s="5"/>
      <c r="H174" s="5"/>
      <c r="I174" s="5" t="str">
        <f t="shared" si="20"/>
        <v xml:space="preserve"> </v>
      </c>
      <c r="J174" s="33"/>
      <c r="K174" s="5" t="str">
        <f t="shared" si="21"/>
        <v xml:space="preserve"> </v>
      </c>
      <c r="L174" s="3" t="str">
        <f t="shared" si="22"/>
        <v xml:space="preserve"> </v>
      </c>
      <c r="M174" s="3" t="str">
        <f>IF(E174&gt;0,IFERROR(VLOOKUP($E174,'[2]Table 1'!$B$2:$I$147,8,0),"0.00")," ")</f>
        <v xml:space="preserve"> </v>
      </c>
      <c r="N174" s="6" t="str">
        <f t="shared" si="25"/>
        <v xml:space="preserve"> </v>
      </c>
      <c r="O174" s="7" t="str">
        <f>IF(IF(COUNTIF($B$5:B174,B174)&gt;1," ",SUMIF($B$5:$B$423,B174,$J$5:$J$423))=0," ",IF(COUNTIF($B$5:B174,B174)&gt;1," ",SUMIF($B$5:$B$423,B174,$J$5:$J$423)))</f>
        <v xml:space="preserve"> </v>
      </c>
      <c r="P174" s="8" t="str">
        <f>IF(IF(COUNTIF($B$5:B174,B174)&gt;1," ",SUMIF($B$5:$B$423,B174,$L$5:$L$423))=0," ",IF(COUNTIF($B$5:B174,B174)&gt;1," ",SUMIF($B$5:$B$423,B174,$L$5:$L$423)))</f>
        <v xml:space="preserve"> </v>
      </c>
      <c r="Q174" s="8" t="str">
        <f t="shared" si="27"/>
        <v xml:space="preserve"> </v>
      </c>
      <c r="R174" s="8" t="str">
        <f t="shared" si="26"/>
        <v xml:space="preserve"> </v>
      </c>
      <c r="S174" s="48" t="str">
        <f t="shared" si="24"/>
        <v xml:space="preserve"> </v>
      </c>
      <c r="T174" s="14" t="str">
        <f>IF(F174&gt;0,IFERROR(VLOOKUP($F174,[1]Sheet1!$C$3:$L$3445,10,0),"EOSS"),"")</f>
        <v/>
      </c>
    </row>
    <row r="175" spans="1:20" x14ac:dyDescent="0.3">
      <c r="A175" s="1"/>
      <c r="B175" s="2"/>
      <c r="C175" s="5" t="str">
        <f t="shared" si="19"/>
        <v xml:space="preserve"> </v>
      </c>
      <c r="D175" s="2"/>
      <c r="E175" s="3"/>
      <c r="F175" s="4"/>
      <c r="G175" s="5"/>
      <c r="H175" s="5"/>
      <c r="I175" s="5" t="str">
        <f t="shared" si="20"/>
        <v xml:space="preserve"> </v>
      </c>
      <c r="J175" s="33"/>
      <c r="K175" s="5" t="str">
        <f t="shared" si="21"/>
        <v xml:space="preserve"> </v>
      </c>
      <c r="L175" s="3" t="str">
        <f t="shared" si="22"/>
        <v xml:space="preserve"> </v>
      </c>
      <c r="M175" s="3" t="str">
        <f>IF(E175&gt;0,IFERROR(VLOOKUP($E175,'[2]Table 1'!$B$2:$I$147,8,0),"0.00")," ")</f>
        <v xml:space="preserve"> </v>
      </c>
      <c r="N175" s="6" t="str">
        <f t="shared" si="25"/>
        <v xml:space="preserve"> </v>
      </c>
      <c r="O175" s="7" t="str">
        <f>IF(IF(COUNTIF($B$5:B175,B175)&gt;1," ",SUMIF($B$5:$B$423,B175,$J$5:$J$423))=0," ",IF(COUNTIF($B$5:B175,B175)&gt;1," ",SUMIF($B$5:$B$423,B175,$J$5:$J$423)))</f>
        <v xml:space="preserve"> </v>
      </c>
      <c r="P175" s="8" t="str">
        <f>IF(IF(COUNTIF($B$5:B175,B175)&gt;1," ",SUMIF($B$5:$B$423,B175,$L$5:$L$423))=0," ",IF(COUNTIF($B$5:B175,B175)&gt;1," ",SUMIF($B$5:$B$423,B175,$L$5:$L$423)))</f>
        <v xml:space="preserve"> </v>
      </c>
      <c r="Q175" s="8" t="str">
        <f t="shared" si="27"/>
        <v xml:space="preserve"> </v>
      </c>
      <c r="R175" s="8" t="str">
        <f t="shared" si="26"/>
        <v xml:space="preserve"> </v>
      </c>
      <c r="S175" s="48" t="str">
        <f t="shared" si="24"/>
        <v xml:space="preserve"> </v>
      </c>
      <c r="T175" s="14" t="str">
        <f>IF(F175&gt;0,IFERROR(VLOOKUP($F175,[1]Sheet1!$C$3:$L$3445,10,0),"EOSS"),"")</f>
        <v/>
      </c>
    </row>
    <row r="176" spans="1:20" x14ac:dyDescent="0.3">
      <c r="A176" s="1"/>
      <c r="B176" s="2"/>
      <c r="C176" s="5" t="str">
        <f t="shared" si="19"/>
        <v xml:space="preserve"> </v>
      </c>
      <c r="D176" s="2"/>
      <c r="E176" s="3"/>
      <c r="F176" s="4"/>
      <c r="G176" s="5"/>
      <c r="H176" s="5"/>
      <c r="I176" s="5" t="str">
        <f t="shared" si="20"/>
        <v xml:space="preserve"> </v>
      </c>
      <c r="J176" s="33"/>
      <c r="K176" s="5" t="str">
        <f t="shared" si="21"/>
        <v xml:space="preserve"> </v>
      </c>
      <c r="L176" s="3" t="str">
        <f t="shared" si="22"/>
        <v xml:space="preserve"> </v>
      </c>
      <c r="M176" s="3" t="str">
        <f>IF(E176&gt;0,IFERROR(VLOOKUP($E176,'[2]Table 1'!$B$2:$I$147,8,0),"0.00")," ")</f>
        <v xml:space="preserve"> </v>
      </c>
      <c r="N176" s="6" t="str">
        <f t="shared" si="25"/>
        <v xml:space="preserve"> </v>
      </c>
      <c r="O176" s="7" t="str">
        <f>IF(IF(COUNTIF($B$5:B176,B176)&gt;1," ",SUMIF($B$5:$B$423,B176,$J$5:$J$423))=0," ",IF(COUNTIF($B$5:B176,B176)&gt;1," ",SUMIF($B$5:$B$423,B176,$J$5:$J$423)))</f>
        <v xml:space="preserve"> </v>
      </c>
      <c r="P176" s="8" t="str">
        <f>IF(IF(COUNTIF($B$5:B176,B176)&gt;1," ",SUMIF($B$5:$B$423,B176,$L$5:$L$423))=0," ",IF(COUNTIF($B$5:B176,B176)&gt;1," ",SUMIF($B$5:$B$423,B176,$L$5:$L$423)))</f>
        <v xml:space="preserve"> </v>
      </c>
      <c r="Q176" s="8" t="str">
        <f t="shared" si="27"/>
        <v xml:space="preserve"> </v>
      </c>
      <c r="R176" s="8" t="str">
        <f t="shared" si="26"/>
        <v xml:space="preserve"> </v>
      </c>
      <c r="S176" s="48" t="str">
        <f t="shared" si="24"/>
        <v xml:space="preserve"> </v>
      </c>
      <c r="T176" s="14" t="str">
        <f>IF(F176&gt;0,IFERROR(VLOOKUP($F176,[1]Sheet1!$C$3:$L$3445,10,0),"EOSS"),"")</f>
        <v/>
      </c>
    </row>
    <row r="177" spans="1:20" x14ac:dyDescent="0.3">
      <c r="A177" s="1"/>
      <c r="B177" s="2"/>
      <c r="C177" s="5" t="str">
        <f t="shared" si="19"/>
        <v xml:space="preserve"> </v>
      </c>
      <c r="D177" s="2"/>
      <c r="E177" s="3"/>
      <c r="F177" s="4"/>
      <c r="G177" s="5"/>
      <c r="H177" s="5"/>
      <c r="I177" s="5" t="str">
        <f t="shared" si="20"/>
        <v xml:space="preserve"> </v>
      </c>
      <c r="J177" s="33"/>
      <c r="K177" s="5" t="str">
        <f t="shared" si="21"/>
        <v xml:space="preserve"> </v>
      </c>
      <c r="L177" s="3" t="str">
        <f t="shared" si="22"/>
        <v xml:space="preserve"> </v>
      </c>
      <c r="M177" s="3" t="str">
        <f>IF(E177&gt;0,IFERROR(VLOOKUP($E177,'[2]Table 1'!$B$2:$I$147,8,0),"0.00")," ")</f>
        <v xml:space="preserve"> </v>
      </c>
      <c r="N177" s="6" t="str">
        <f t="shared" si="25"/>
        <v xml:space="preserve"> </v>
      </c>
      <c r="O177" s="7" t="str">
        <f>IF(IF(COUNTIF($B$5:B177,B177)&gt;1," ",SUMIF($B$5:$B$423,B177,$J$5:$J$423))=0," ",IF(COUNTIF($B$5:B177,B177)&gt;1," ",SUMIF($B$5:$B$423,B177,$J$5:$J$423)))</f>
        <v xml:space="preserve"> </v>
      </c>
      <c r="P177" s="8" t="str">
        <f>IF(IF(COUNTIF($B$5:B177,B177)&gt;1," ",SUMIF($B$5:$B$423,B177,$L$5:$L$423))=0," ",IF(COUNTIF($B$5:B177,B177)&gt;1," ",SUMIF($B$5:$B$423,B177,$L$5:$L$423)))</f>
        <v xml:space="preserve"> </v>
      </c>
      <c r="Q177" s="8" t="str">
        <f t="shared" si="27"/>
        <v xml:space="preserve"> </v>
      </c>
      <c r="R177" s="8" t="str">
        <f t="shared" si="26"/>
        <v xml:space="preserve"> </v>
      </c>
      <c r="S177" s="48" t="str">
        <f t="shared" si="24"/>
        <v xml:space="preserve"> </v>
      </c>
      <c r="T177" s="14" t="str">
        <f>IF(F177&gt;0,IFERROR(VLOOKUP($F177,[1]Sheet1!$C$3:$L$3445,10,0),"EOSS"),"")</f>
        <v/>
      </c>
    </row>
    <row r="178" spans="1:20" x14ac:dyDescent="0.3">
      <c r="A178" s="1"/>
      <c r="B178" s="2"/>
      <c r="C178" s="5" t="str">
        <f t="shared" si="19"/>
        <v xml:space="preserve"> </v>
      </c>
      <c r="D178" s="2"/>
      <c r="E178" s="3"/>
      <c r="F178" s="4"/>
      <c r="G178" s="5"/>
      <c r="H178" s="5"/>
      <c r="I178" s="5" t="str">
        <f t="shared" si="20"/>
        <v xml:space="preserve"> </v>
      </c>
      <c r="J178" s="33"/>
      <c r="K178" s="5" t="str">
        <f t="shared" si="21"/>
        <v xml:space="preserve"> </v>
      </c>
      <c r="L178" s="3" t="str">
        <f t="shared" si="22"/>
        <v xml:space="preserve"> </v>
      </c>
      <c r="M178" s="3" t="str">
        <f>IF(E178&gt;0,IFERROR(VLOOKUP($E178,'[2]Table 1'!$B$2:$I$147,8,0),"0.00")," ")</f>
        <v xml:space="preserve"> </v>
      </c>
      <c r="N178" s="6" t="str">
        <f t="shared" si="25"/>
        <v xml:space="preserve"> </v>
      </c>
      <c r="O178" s="7" t="str">
        <f>IF(IF(COUNTIF($B$5:B178,B178)&gt;1," ",SUMIF($B$5:$B$423,B178,$J$5:$J$423))=0," ",IF(COUNTIF($B$5:B178,B178)&gt;1," ",SUMIF($B$5:$B$423,B178,$J$5:$J$423)))</f>
        <v xml:space="preserve"> </v>
      </c>
      <c r="P178" s="8" t="str">
        <f>IF(IF(COUNTIF($B$5:B178,B178)&gt;1," ",SUMIF($B$5:$B$423,B178,$L$5:$L$423))=0," ",IF(COUNTIF($B$5:B178,B178)&gt;1," ",SUMIF($B$5:$B$423,B178,$L$5:$L$423)))</f>
        <v xml:space="preserve"> </v>
      </c>
      <c r="Q178" s="8" t="str">
        <f t="shared" si="27"/>
        <v xml:space="preserve"> </v>
      </c>
      <c r="R178" s="8" t="str">
        <f t="shared" si="26"/>
        <v xml:space="preserve"> </v>
      </c>
      <c r="S178" s="48" t="str">
        <f t="shared" si="24"/>
        <v xml:space="preserve"> </v>
      </c>
      <c r="T178" s="14" t="str">
        <f>IF(F178&gt;0,IFERROR(VLOOKUP($F178,[1]Sheet1!$C$3:$L$3445,10,0),"EOSS"),"")</f>
        <v/>
      </c>
    </row>
    <row r="179" spans="1:20" x14ac:dyDescent="0.3">
      <c r="A179" s="1"/>
      <c r="B179" s="2"/>
      <c r="C179" s="5" t="str">
        <f t="shared" si="19"/>
        <v xml:space="preserve"> </v>
      </c>
      <c r="D179" s="2"/>
      <c r="E179" s="3"/>
      <c r="F179" s="4"/>
      <c r="G179" s="5"/>
      <c r="H179" s="5"/>
      <c r="I179" s="5" t="str">
        <f t="shared" si="20"/>
        <v xml:space="preserve"> </v>
      </c>
      <c r="J179" s="33"/>
      <c r="K179" s="5" t="str">
        <f t="shared" si="21"/>
        <v xml:space="preserve"> </v>
      </c>
      <c r="L179" s="3" t="str">
        <f t="shared" si="22"/>
        <v xml:space="preserve"> </v>
      </c>
      <c r="M179" s="3" t="str">
        <f>IF(E179&gt;0,IFERROR(VLOOKUP($E179,'[2]Table 1'!$B$2:$I$147,8,0),"0.00")," ")</f>
        <v xml:space="preserve"> </v>
      </c>
      <c r="N179" s="6" t="str">
        <f t="shared" si="25"/>
        <v xml:space="preserve"> </v>
      </c>
      <c r="O179" s="7" t="str">
        <f>IF(IF(COUNTIF($B$5:B179,B179)&gt;1," ",SUMIF($B$5:$B$423,B179,$J$5:$J$423))=0," ",IF(COUNTIF($B$5:B179,B179)&gt;1," ",SUMIF($B$5:$B$423,B179,$J$5:$J$423)))</f>
        <v xml:space="preserve"> </v>
      </c>
      <c r="P179" s="8" t="str">
        <f>IF(IF(COUNTIF($B$5:B179,B179)&gt;1," ",SUMIF($B$5:$B$423,B179,$L$5:$L$423))=0," ",IF(COUNTIF($B$5:B179,B179)&gt;1," ",SUMIF($B$5:$B$423,B179,$L$5:$L$423)))</f>
        <v xml:space="preserve"> </v>
      </c>
      <c r="Q179" s="8" t="str">
        <f t="shared" si="27"/>
        <v xml:space="preserve"> </v>
      </c>
      <c r="R179" s="8" t="str">
        <f t="shared" si="26"/>
        <v xml:space="preserve"> </v>
      </c>
      <c r="S179" s="48" t="str">
        <f t="shared" si="24"/>
        <v xml:space="preserve"> </v>
      </c>
      <c r="T179" s="14" t="str">
        <f>IF(F179&gt;0,IFERROR(VLOOKUP($F179,[1]Sheet1!$C$3:$L$3445,10,0),"EOSS"),"")</f>
        <v/>
      </c>
    </row>
    <row r="180" spans="1:20" x14ac:dyDescent="0.3">
      <c r="A180" s="1"/>
      <c r="B180" s="2"/>
      <c r="C180" s="5" t="str">
        <f t="shared" si="19"/>
        <v xml:space="preserve"> </v>
      </c>
      <c r="D180" s="2"/>
      <c r="E180" s="3"/>
      <c r="F180" s="4"/>
      <c r="G180" s="5"/>
      <c r="H180" s="5"/>
      <c r="I180" s="5" t="str">
        <f t="shared" si="20"/>
        <v xml:space="preserve"> </v>
      </c>
      <c r="J180" s="33"/>
      <c r="K180" s="5" t="str">
        <f t="shared" si="21"/>
        <v xml:space="preserve"> </v>
      </c>
      <c r="L180" s="3" t="str">
        <f t="shared" si="22"/>
        <v xml:space="preserve"> </v>
      </c>
      <c r="M180" s="3" t="str">
        <f>IF(E180&gt;0,IFERROR(VLOOKUP($E180,'[2]Table 1'!$B$2:$I$147,8,0),"0.00")," ")</f>
        <v xml:space="preserve"> </v>
      </c>
      <c r="N180" s="6" t="str">
        <f t="shared" si="25"/>
        <v xml:space="preserve"> </v>
      </c>
      <c r="O180" s="7" t="str">
        <f>IF(IF(COUNTIF($B$5:B180,B180)&gt;1," ",SUMIF($B$5:$B$423,B180,$J$5:$J$423))=0," ",IF(COUNTIF($B$5:B180,B180)&gt;1," ",SUMIF($B$5:$B$423,B180,$J$5:$J$423)))</f>
        <v xml:space="preserve"> </v>
      </c>
      <c r="P180" s="8" t="str">
        <f>IF(IF(COUNTIF($B$5:B180,B180)&gt;1," ",SUMIF($B$5:$B$423,B180,$L$5:$L$423))=0," ",IF(COUNTIF($B$5:B180,B180)&gt;1," ",SUMIF($B$5:$B$423,B180,$L$5:$L$423)))</f>
        <v xml:space="preserve"> </v>
      </c>
      <c r="Q180" s="8" t="str">
        <f t="shared" si="27"/>
        <v xml:space="preserve"> </v>
      </c>
      <c r="R180" s="8" t="str">
        <f t="shared" si="26"/>
        <v xml:space="preserve"> </v>
      </c>
      <c r="S180" s="48" t="str">
        <f t="shared" si="24"/>
        <v xml:space="preserve"> </v>
      </c>
      <c r="T180" s="14" t="str">
        <f>IF(F180&gt;0,IFERROR(VLOOKUP($F180,[1]Sheet1!$C$3:$L$3445,10,0),"EOSS"),"")</f>
        <v/>
      </c>
    </row>
    <row r="181" spans="1:20" x14ac:dyDescent="0.3">
      <c r="A181" s="1"/>
      <c r="B181" s="2"/>
      <c r="C181" s="5" t="str">
        <f t="shared" si="19"/>
        <v xml:space="preserve"> </v>
      </c>
      <c r="D181" s="2"/>
      <c r="E181" s="3"/>
      <c r="F181" s="4"/>
      <c r="G181" s="5"/>
      <c r="H181" s="5"/>
      <c r="I181" s="5" t="str">
        <f t="shared" si="20"/>
        <v xml:space="preserve"> </v>
      </c>
      <c r="J181" s="33"/>
      <c r="K181" s="5" t="str">
        <f t="shared" si="21"/>
        <v xml:space="preserve"> </v>
      </c>
      <c r="L181" s="3" t="str">
        <f t="shared" si="22"/>
        <v xml:space="preserve"> </v>
      </c>
      <c r="M181" s="3" t="str">
        <f>IF(E181&gt;0,IFERROR(VLOOKUP($E181,'[2]Table 1'!$B$2:$I$147,8,0),"0.00")," ")</f>
        <v xml:space="preserve"> </v>
      </c>
      <c r="N181" s="6" t="str">
        <f t="shared" si="25"/>
        <v xml:space="preserve"> </v>
      </c>
      <c r="O181" s="7" t="str">
        <f>IF(IF(COUNTIF($B$5:B181,B181)&gt;1," ",SUMIF($B$5:$B$423,B181,$J$5:$J$423))=0," ",IF(COUNTIF($B$5:B181,B181)&gt;1," ",SUMIF($B$5:$B$423,B181,$J$5:$J$423)))</f>
        <v xml:space="preserve"> </v>
      </c>
      <c r="P181" s="8" t="str">
        <f>IF(IF(COUNTIF($B$5:B181,B181)&gt;1," ",SUMIF($B$5:$B$423,B181,$L$5:$L$423))=0," ",IF(COUNTIF($B$5:B181,B181)&gt;1," ",SUMIF($B$5:$B$423,B181,$L$5:$L$423)))</f>
        <v xml:space="preserve"> </v>
      </c>
      <c r="Q181" s="8" t="str">
        <f t="shared" si="27"/>
        <v xml:space="preserve"> </v>
      </c>
      <c r="R181" s="8" t="str">
        <f t="shared" si="26"/>
        <v xml:space="preserve"> </v>
      </c>
      <c r="S181" s="48" t="str">
        <f t="shared" si="24"/>
        <v xml:space="preserve"> </v>
      </c>
      <c r="T181" s="14" t="str">
        <f>IF(F181&gt;0,IFERROR(VLOOKUP($F181,[1]Sheet1!$C$3:$L$3445,10,0),"EOSS"),"")</f>
        <v/>
      </c>
    </row>
    <row r="182" spans="1:20" x14ac:dyDescent="0.3">
      <c r="A182" s="1"/>
      <c r="B182" s="2"/>
      <c r="C182" s="5" t="str">
        <f t="shared" si="19"/>
        <v xml:space="preserve"> </v>
      </c>
      <c r="D182" s="2"/>
      <c r="E182" s="3"/>
      <c r="F182" s="4"/>
      <c r="G182" s="5"/>
      <c r="H182" s="5"/>
      <c r="I182" s="5" t="str">
        <f t="shared" si="20"/>
        <v xml:space="preserve"> </v>
      </c>
      <c r="J182" s="33"/>
      <c r="K182" s="5" t="str">
        <f t="shared" si="21"/>
        <v xml:space="preserve"> </v>
      </c>
      <c r="L182" s="3" t="str">
        <f t="shared" si="22"/>
        <v xml:space="preserve"> </v>
      </c>
      <c r="M182" s="3" t="str">
        <f>IF(E182&gt;0,IFERROR(VLOOKUP($E182,'[2]Table 1'!$B$2:$I$147,8,0),"0.00")," ")</f>
        <v xml:space="preserve"> </v>
      </c>
      <c r="N182" s="6" t="str">
        <f t="shared" si="25"/>
        <v xml:space="preserve"> </v>
      </c>
      <c r="O182" s="7" t="str">
        <f>IF(IF(COUNTIF($B$5:B182,B182)&gt;1," ",SUMIF($B$5:$B$423,B182,$J$5:$J$423))=0," ",IF(COUNTIF($B$5:B182,B182)&gt;1," ",SUMIF($B$5:$B$423,B182,$J$5:$J$423)))</f>
        <v xml:space="preserve"> </v>
      </c>
      <c r="P182" s="8" t="str">
        <f>IF(IF(COUNTIF($B$5:B182,B182)&gt;1," ",SUMIF($B$5:$B$423,B182,$L$5:$L$423))=0," ",IF(COUNTIF($B$5:B182,B182)&gt;1," ",SUMIF($B$5:$B$423,B182,$L$5:$L$423)))</f>
        <v xml:space="preserve"> </v>
      </c>
      <c r="Q182" s="8" t="str">
        <f t="shared" si="27"/>
        <v xml:space="preserve"> </v>
      </c>
      <c r="R182" s="8" t="str">
        <f t="shared" si="26"/>
        <v xml:space="preserve"> </v>
      </c>
      <c r="S182" s="48" t="str">
        <f t="shared" si="24"/>
        <v xml:space="preserve"> </v>
      </c>
      <c r="T182" s="14" t="str">
        <f>IF(F182&gt;0,IFERROR(VLOOKUP($F182,[1]Sheet1!$C$3:$L$3445,10,0),"EOSS"),"")</f>
        <v/>
      </c>
    </row>
    <row r="183" spans="1:20" x14ac:dyDescent="0.3">
      <c r="A183" s="1"/>
      <c r="B183" s="2"/>
      <c r="C183" s="5" t="str">
        <f t="shared" si="19"/>
        <v xml:space="preserve"> </v>
      </c>
      <c r="D183" s="2"/>
      <c r="E183" s="3"/>
      <c r="F183" s="4"/>
      <c r="G183" s="5"/>
      <c r="H183" s="5"/>
      <c r="I183" s="5" t="str">
        <f t="shared" si="20"/>
        <v xml:space="preserve"> </v>
      </c>
      <c r="J183" s="33"/>
      <c r="K183" s="5" t="str">
        <f t="shared" si="21"/>
        <v xml:space="preserve"> </v>
      </c>
      <c r="L183" s="3" t="str">
        <f t="shared" si="22"/>
        <v xml:space="preserve"> </v>
      </c>
      <c r="M183" s="3" t="str">
        <f>IF(E183&gt;0,IFERROR(VLOOKUP($E183,'[2]Table 1'!$B$2:$I$147,8,0),"0.00")," ")</f>
        <v xml:space="preserve"> </v>
      </c>
      <c r="N183" s="6" t="str">
        <f t="shared" si="25"/>
        <v xml:space="preserve"> </v>
      </c>
      <c r="O183" s="7" t="str">
        <f>IF(IF(COUNTIF($B$5:B183,B183)&gt;1," ",SUMIF($B$5:$B$423,B183,$J$5:$J$423))=0," ",IF(COUNTIF($B$5:B183,B183)&gt;1," ",SUMIF($B$5:$B$423,B183,$J$5:$J$423)))</f>
        <v xml:space="preserve"> </v>
      </c>
      <c r="P183" s="8" t="str">
        <f>IF(IF(COUNTIF($B$5:B183,B183)&gt;1," ",SUMIF($B$5:$B$423,B183,$L$5:$L$423))=0," ",IF(COUNTIF($B$5:B183,B183)&gt;1," ",SUMIF($B$5:$B$423,B183,$L$5:$L$423)))</f>
        <v xml:space="preserve"> </v>
      </c>
      <c r="Q183" s="8" t="str">
        <f t="shared" si="27"/>
        <v xml:space="preserve"> </v>
      </c>
      <c r="R183" s="8" t="str">
        <f t="shared" si="26"/>
        <v xml:space="preserve"> </v>
      </c>
      <c r="S183" s="48" t="str">
        <f t="shared" si="24"/>
        <v xml:space="preserve"> </v>
      </c>
      <c r="T183" s="14" t="str">
        <f>IF(F183&gt;0,IFERROR(VLOOKUP($F183,[1]Sheet1!$C$3:$L$3445,10,0),"EOSS"),"")</f>
        <v/>
      </c>
    </row>
    <row r="184" spans="1:20" x14ac:dyDescent="0.3">
      <c r="A184" s="1"/>
      <c r="B184" s="2"/>
      <c r="C184" s="5" t="str">
        <f t="shared" si="19"/>
        <v xml:space="preserve"> </v>
      </c>
      <c r="D184" s="2"/>
      <c r="E184" s="3"/>
      <c r="F184" s="4"/>
      <c r="G184" s="5"/>
      <c r="H184" s="5"/>
      <c r="I184" s="5" t="str">
        <f t="shared" si="20"/>
        <v xml:space="preserve"> </v>
      </c>
      <c r="J184" s="33"/>
      <c r="K184" s="5" t="str">
        <f t="shared" si="21"/>
        <v xml:space="preserve"> </v>
      </c>
      <c r="L184" s="3" t="str">
        <f t="shared" si="22"/>
        <v xml:space="preserve"> </v>
      </c>
      <c r="M184" s="3" t="str">
        <f>IF(E184&gt;0,IFERROR(VLOOKUP($E184,'[2]Table 1'!$B$2:$I$147,8,0),"0.00")," ")</f>
        <v xml:space="preserve"> </v>
      </c>
      <c r="N184" s="6" t="str">
        <f t="shared" si="25"/>
        <v xml:space="preserve"> </v>
      </c>
      <c r="O184" s="7" t="str">
        <f>IF(IF(COUNTIF($B$5:B184,B184)&gt;1," ",SUMIF($B$5:$B$423,B184,$J$5:$J$423))=0," ",IF(COUNTIF($B$5:B184,B184)&gt;1," ",SUMIF($B$5:$B$423,B184,$J$5:$J$423)))</f>
        <v xml:space="preserve"> </v>
      </c>
      <c r="P184" s="8" t="str">
        <f>IF(IF(COUNTIF($B$5:B184,B184)&gt;1," ",SUMIF($B$5:$B$423,B184,$L$5:$L$423))=0," ",IF(COUNTIF($B$5:B184,B184)&gt;1," ",SUMIF($B$5:$B$423,B184,$L$5:$L$423)))</f>
        <v xml:space="preserve"> </v>
      </c>
      <c r="Q184" s="8" t="str">
        <f t="shared" si="27"/>
        <v xml:space="preserve"> </v>
      </c>
      <c r="R184" s="8" t="str">
        <f t="shared" si="26"/>
        <v xml:space="preserve"> </v>
      </c>
      <c r="S184" s="48" t="str">
        <f t="shared" si="24"/>
        <v xml:space="preserve"> </v>
      </c>
      <c r="T184" s="14" t="str">
        <f>IF(F184&gt;0,IFERROR(VLOOKUP($F184,[1]Sheet1!$C$3:$L$3445,10,0),"EOSS"),"")</f>
        <v/>
      </c>
    </row>
    <row r="185" spans="1:20" x14ac:dyDescent="0.3">
      <c r="A185" s="1"/>
      <c r="B185" s="2"/>
      <c r="C185" s="5" t="str">
        <f t="shared" si="19"/>
        <v xml:space="preserve"> </v>
      </c>
      <c r="D185" s="2"/>
      <c r="E185" s="3"/>
      <c r="F185" s="4"/>
      <c r="G185" s="5"/>
      <c r="H185" s="5"/>
      <c r="I185" s="5" t="str">
        <f t="shared" si="20"/>
        <v xml:space="preserve"> </v>
      </c>
      <c r="J185" s="33"/>
      <c r="K185" s="5" t="str">
        <f t="shared" si="21"/>
        <v xml:space="preserve"> </v>
      </c>
      <c r="L185" s="3" t="str">
        <f t="shared" si="22"/>
        <v xml:space="preserve"> </v>
      </c>
      <c r="M185" s="3" t="str">
        <f>IF(E185&gt;0,IFERROR(VLOOKUP($E185,'[2]Table 1'!$B$2:$I$147,8,0),"0.00")," ")</f>
        <v xml:space="preserve"> </v>
      </c>
      <c r="N185" s="6" t="str">
        <f t="shared" si="25"/>
        <v xml:space="preserve"> </v>
      </c>
      <c r="O185" s="7" t="str">
        <f>IF(IF(COUNTIF($B$5:B185,B185)&gt;1," ",SUMIF($B$5:$B$423,B185,$J$5:$J$423))=0," ",IF(COUNTIF($B$5:B185,B185)&gt;1," ",SUMIF($B$5:$B$423,B185,$J$5:$J$423)))</f>
        <v xml:space="preserve"> </v>
      </c>
      <c r="P185" s="8" t="str">
        <f>IF(IF(COUNTIF($B$5:B185,B185)&gt;1," ",SUMIF($B$5:$B$423,B185,$L$5:$L$423))=0," ",IF(COUNTIF($B$5:B185,B185)&gt;1," ",SUMIF($B$5:$B$423,B185,$L$5:$L$423)))</f>
        <v xml:space="preserve"> </v>
      </c>
      <c r="Q185" s="8" t="str">
        <f t="shared" si="27"/>
        <v xml:space="preserve"> </v>
      </c>
      <c r="R185" s="8" t="str">
        <f t="shared" si="26"/>
        <v xml:space="preserve"> </v>
      </c>
      <c r="S185" s="48" t="str">
        <f t="shared" si="24"/>
        <v xml:space="preserve"> </v>
      </c>
      <c r="T185" s="14" t="str">
        <f>IF(F185&gt;0,IFERROR(VLOOKUP($F185,[1]Sheet1!$C$3:$L$3445,10,0),"EOSS"),"")</f>
        <v/>
      </c>
    </row>
    <row r="186" spans="1:20" x14ac:dyDescent="0.3">
      <c r="A186" s="1"/>
      <c r="B186" s="2"/>
      <c r="C186" s="5" t="str">
        <f t="shared" si="19"/>
        <v xml:space="preserve"> </v>
      </c>
      <c r="D186" s="2"/>
      <c r="E186" s="3"/>
      <c r="F186" s="4"/>
      <c r="G186" s="5"/>
      <c r="H186" s="5"/>
      <c r="I186" s="5" t="str">
        <f t="shared" si="20"/>
        <v xml:space="preserve"> </v>
      </c>
      <c r="J186" s="33"/>
      <c r="K186" s="5" t="str">
        <f t="shared" si="21"/>
        <v xml:space="preserve"> </v>
      </c>
      <c r="L186" s="3" t="str">
        <f t="shared" si="22"/>
        <v xml:space="preserve"> </v>
      </c>
      <c r="M186" s="3" t="str">
        <f>IF(E186&gt;0,IFERROR(VLOOKUP($E186,'[2]Table 1'!$B$2:$I$147,8,0),"0.00")," ")</f>
        <v xml:space="preserve"> </v>
      </c>
      <c r="N186" s="6" t="str">
        <f t="shared" si="25"/>
        <v xml:space="preserve"> </v>
      </c>
      <c r="O186" s="7" t="str">
        <f>IF(IF(COUNTIF($B$5:B186,B186)&gt;1," ",SUMIF($B$5:$B$423,B186,$J$5:$J$423))=0," ",IF(COUNTIF($B$5:B186,B186)&gt;1," ",SUMIF($B$5:$B$423,B186,$J$5:$J$423)))</f>
        <v xml:space="preserve"> </v>
      </c>
      <c r="P186" s="8" t="str">
        <f>IF(IF(COUNTIF($B$5:B186,B186)&gt;1," ",SUMIF($B$5:$B$423,B186,$L$5:$L$423))=0," ",IF(COUNTIF($B$5:B186,B186)&gt;1," ",SUMIF($B$5:$B$423,B186,$L$5:$L$423)))</f>
        <v xml:space="preserve"> </v>
      </c>
      <c r="Q186" s="8" t="str">
        <f t="shared" si="27"/>
        <v xml:space="preserve"> </v>
      </c>
      <c r="R186" s="8" t="str">
        <f t="shared" si="26"/>
        <v xml:space="preserve"> </v>
      </c>
      <c r="S186" s="48" t="str">
        <f t="shared" si="24"/>
        <v xml:space="preserve"> </v>
      </c>
      <c r="T186" s="14" t="str">
        <f>IF(F186&gt;0,IFERROR(VLOOKUP($F186,[1]Sheet1!$C$3:$L$3445,10,0),"EOSS"),"")</f>
        <v/>
      </c>
    </row>
    <row r="187" spans="1:20" x14ac:dyDescent="0.3">
      <c r="A187" s="1"/>
      <c r="B187" s="2"/>
      <c r="C187" s="5" t="str">
        <f t="shared" si="19"/>
        <v xml:space="preserve"> </v>
      </c>
      <c r="D187" s="2"/>
      <c r="E187" s="3"/>
      <c r="F187" s="4"/>
      <c r="G187" s="5"/>
      <c r="H187" s="5"/>
      <c r="I187" s="5" t="str">
        <f t="shared" si="20"/>
        <v xml:space="preserve"> </v>
      </c>
      <c r="J187" s="33"/>
      <c r="K187" s="5" t="str">
        <f t="shared" si="21"/>
        <v xml:space="preserve"> </v>
      </c>
      <c r="L187" s="3" t="str">
        <f t="shared" si="22"/>
        <v xml:space="preserve"> </v>
      </c>
      <c r="M187" s="3" t="str">
        <f>IF(E187&gt;0,IFERROR(VLOOKUP($E187,'[2]Table 1'!$B$2:$I$147,8,0),"0.00")," ")</f>
        <v xml:space="preserve"> </v>
      </c>
      <c r="N187" s="6" t="str">
        <f t="shared" si="25"/>
        <v xml:space="preserve"> </v>
      </c>
      <c r="O187" s="7" t="str">
        <f>IF(IF(COUNTIF($B$5:B187,B187)&gt;1," ",SUMIF($B$5:$B$423,B187,$J$5:$J$423))=0," ",IF(COUNTIF($B$5:B187,B187)&gt;1," ",SUMIF($B$5:$B$423,B187,$J$5:$J$423)))</f>
        <v xml:space="preserve"> </v>
      </c>
      <c r="P187" s="8" t="str">
        <f>IF(IF(COUNTIF($B$5:B187,B187)&gt;1," ",SUMIF($B$5:$B$423,B187,$L$5:$L$423))=0," ",IF(COUNTIF($B$5:B187,B187)&gt;1," ",SUMIF($B$5:$B$423,B187,$L$5:$L$423)))</f>
        <v xml:space="preserve"> </v>
      </c>
      <c r="Q187" s="8" t="str">
        <f t="shared" si="27"/>
        <v xml:space="preserve"> </v>
      </c>
      <c r="R187" s="8" t="str">
        <f t="shared" si="26"/>
        <v xml:space="preserve"> </v>
      </c>
      <c r="S187" s="48" t="str">
        <f t="shared" si="24"/>
        <v xml:space="preserve"> </v>
      </c>
      <c r="T187" s="14" t="str">
        <f>IF(F187&gt;0,IFERROR(VLOOKUP($F187,[1]Sheet1!$C$3:$L$3445,10,0),"EOSS"),"")</f>
        <v/>
      </c>
    </row>
    <row r="188" spans="1:20" x14ac:dyDescent="0.3">
      <c r="A188" s="1"/>
      <c r="B188" s="2"/>
      <c r="C188" s="5" t="str">
        <f t="shared" si="19"/>
        <v xml:space="preserve"> </v>
      </c>
      <c r="D188" s="2"/>
      <c r="E188" s="3"/>
      <c r="F188" s="4"/>
      <c r="G188" s="5"/>
      <c r="H188" s="5"/>
      <c r="I188" s="5" t="str">
        <f t="shared" si="20"/>
        <v xml:space="preserve"> </v>
      </c>
      <c r="J188" s="33"/>
      <c r="K188" s="5" t="str">
        <f t="shared" si="21"/>
        <v xml:space="preserve"> </v>
      </c>
      <c r="L188" s="3" t="str">
        <f t="shared" si="22"/>
        <v xml:space="preserve"> </v>
      </c>
      <c r="M188" s="3" t="str">
        <f>IF(E188&gt;0,IFERROR(VLOOKUP($E188,'[2]Table 1'!$B$2:$I$147,8,0),"0.00")," ")</f>
        <v xml:space="preserve"> </v>
      </c>
      <c r="N188" s="6" t="str">
        <f t="shared" si="25"/>
        <v xml:space="preserve"> </v>
      </c>
      <c r="O188" s="7" t="str">
        <f>IF(IF(COUNTIF($B$5:B188,B188)&gt;1," ",SUMIF($B$5:$B$423,B188,$J$5:$J$423))=0," ",IF(COUNTIF($B$5:B188,B188)&gt;1," ",SUMIF($B$5:$B$423,B188,$J$5:$J$423)))</f>
        <v xml:space="preserve"> </v>
      </c>
      <c r="P188" s="8" t="str">
        <f>IF(IF(COUNTIF($B$5:B188,B188)&gt;1," ",SUMIF($B$5:$B$423,B188,$L$5:$L$423))=0," ",IF(COUNTIF($B$5:B188,B188)&gt;1," ",SUMIF($B$5:$B$423,B188,$L$5:$L$423)))</f>
        <v xml:space="preserve"> </v>
      </c>
      <c r="Q188" s="8" t="str">
        <f t="shared" si="27"/>
        <v xml:space="preserve"> </v>
      </c>
      <c r="R188" s="8" t="str">
        <f t="shared" si="26"/>
        <v xml:space="preserve"> </v>
      </c>
      <c r="S188" s="48" t="str">
        <f t="shared" si="24"/>
        <v xml:space="preserve"> </v>
      </c>
      <c r="T188" s="14" t="str">
        <f>IF(F188&gt;0,IFERROR(VLOOKUP($F188,[1]Sheet1!$C$3:$L$3445,10,0),"EOSS"),"")</f>
        <v/>
      </c>
    </row>
    <row r="189" spans="1:20" x14ac:dyDescent="0.3">
      <c r="A189" s="1"/>
      <c r="B189" s="2"/>
      <c r="C189" s="5" t="str">
        <f t="shared" si="19"/>
        <v xml:space="preserve"> </v>
      </c>
      <c r="D189" s="2"/>
      <c r="E189" s="3"/>
      <c r="F189" s="4"/>
      <c r="G189" s="5"/>
      <c r="H189" s="5"/>
      <c r="I189" s="5" t="str">
        <f t="shared" si="20"/>
        <v xml:space="preserve"> </v>
      </c>
      <c r="J189" s="33"/>
      <c r="K189" s="5" t="str">
        <f t="shared" si="21"/>
        <v xml:space="preserve"> </v>
      </c>
      <c r="L189" s="3" t="str">
        <f t="shared" si="22"/>
        <v xml:space="preserve"> </v>
      </c>
      <c r="M189" s="3" t="str">
        <f>IF(E189&gt;0,IFERROR(VLOOKUP($E189,'[2]Table 1'!$B$2:$I$147,8,0),"0.00")," ")</f>
        <v xml:space="preserve"> </v>
      </c>
      <c r="N189" s="6" t="str">
        <f t="shared" si="25"/>
        <v xml:space="preserve"> </v>
      </c>
      <c r="O189" s="7" t="str">
        <f>IF(IF(COUNTIF($B$5:B189,B189)&gt;1," ",SUMIF($B$5:$B$423,B189,$J$5:$J$423))=0," ",IF(COUNTIF($B$5:B189,B189)&gt;1," ",SUMIF($B$5:$B$423,B189,$J$5:$J$423)))</f>
        <v xml:space="preserve"> </v>
      </c>
      <c r="P189" s="8" t="str">
        <f>IF(IF(COUNTIF($B$5:B189,B189)&gt;1," ",SUMIF($B$5:$B$423,B189,$L$5:$L$423))=0," ",IF(COUNTIF($B$5:B189,B189)&gt;1," ",SUMIF($B$5:$B$423,B189,$L$5:$L$423)))</f>
        <v xml:space="preserve"> </v>
      </c>
      <c r="Q189" s="8" t="str">
        <f t="shared" si="27"/>
        <v xml:space="preserve"> </v>
      </c>
      <c r="R189" s="8" t="str">
        <f t="shared" si="26"/>
        <v xml:space="preserve"> </v>
      </c>
      <c r="S189" s="48" t="str">
        <f t="shared" si="24"/>
        <v xml:space="preserve"> </v>
      </c>
      <c r="T189" s="14" t="str">
        <f>IF(F189&gt;0,IFERROR(VLOOKUP($F189,[1]Sheet1!$C$3:$L$3445,10,0),"EOSS"),"")</f>
        <v/>
      </c>
    </row>
    <row r="190" spans="1:20" x14ac:dyDescent="0.3">
      <c r="A190" s="1"/>
      <c r="B190" s="2"/>
      <c r="C190" s="5" t="str">
        <f t="shared" si="19"/>
        <v xml:space="preserve"> </v>
      </c>
      <c r="D190" s="2"/>
      <c r="E190" s="3"/>
      <c r="F190" s="4"/>
      <c r="G190" s="5"/>
      <c r="H190" s="5"/>
      <c r="I190" s="5" t="str">
        <f t="shared" si="20"/>
        <v xml:space="preserve"> </v>
      </c>
      <c r="J190" s="33"/>
      <c r="K190" s="5" t="str">
        <f t="shared" si="21"/>
        <v xml:space="preserve"> </v>
      </c>
      <c r="L190" s="3" t="str">
        <f t="shared" si="22"/>
        <v xml:space="preserve"> </v>
      </c>
      <c r="M190" s="3" t="str">
        <f>IF(E190&gt;0,IFERROR(VLOOKUP($E190,'[2]Table 1'!$B$2:$I$147,8,0),"0.00")," ")</f>
        <v xml:space="preserve"> </v>
      </c>
      <c r="N190" s="6" t="str">
        <f t="shared" si="25"/>
        <v xml:space="preserve"> </v>
      </c>
      <c r="O190" s="7" t="str">
        <f>IF(IF(COUNTIF($B$5:B190,B190)&gt;1," ",SUMIF($B$5:$B$423,B190,$J$5:$J$423))=0," ",IF(COUNTIF($B$5:B190,B190)&gt;1," ",SUMIF($B$5:$B$423,B190,$J$5:$J$423)))</f>
        <v xml:space="preserve"> </v>
      </c>
      <c r="P190" s="8" t="str">
        <f>IF(IF(COUNTIF($B$5:B190,B190)&gt;1," ",SUMIF($B$5:$B$423,B190,$L$5:$L$423))=0," ",IF(COUNTIF($B$5:B190,B190)&gt;1," ",SUMIF($B$5:$B$423,B190,$L$5:$L$423)))</f>
        <v xml:space="preserve"> </v>
      </c>
      <c r="Q190" s="8" t="str">
        <f t="shared" si="27"/>
        <v xml:space="preserve"> </v>
      </c>
      <c r="R190" s="8" t="str">
        <f t="shared" si="26"/>
        <v xml:space="preserve"> </v>
      </c>
      <c r="S190" s="48" t="str">
        <f t="shared" si="24"/>
        <v xml:space="preserve"> </v>
      </c>
      <c r="T190" s="14" t="str">
        <f>IF(F190&gt;0,IFERROR(VLOOKUP($F190,[1]Sheet1!$C$3:$L$3445,10,0),"EOSS"),"")</f>
        <v/>
      </c>
    </row>
    <row r="191" spans="1:20" x14ac:dyDescent="0.3">
      <c r="A191" s="1"/>
      <c r="B191" s="2"/>
      <c r="C191" s="5" t="str">
        <f t="shared" si="19"/>
        <v xml:space="preserve"> </v>
      </c>
      <c r="D191" s="2"/>
      <c r="E191" s="3"/>
      <c r="F191" s="4"/>
      <c r="G191" s="5"/>
      <c r="H191" s="5"/>
      <c r="I191" s="5" t="str">
        <f t="shared" si="20"/>
        <v xml:space="preserve"> </v>
      </c>
      <c r="J191" s="33"/>
      <c r="K191" s="5" t="str">
        <f t="shared" si="21"/>
        <v xml:space="preserve"> </v>
      </c>
      <c r="L191" s="3" t="str">
        <f t="shared" si="22"/>
        <v xml:space="preserve"> </v>
      </c>
      <c r="M191" s="3" t="str">
        <f>IF(E191&gt;0,IFERROR(VLOOKUP($E191,'[2]Table 1'!$B$2:$I$147,8,0),"0.00")," ")</f>
        <v xml:space="preserve"> </v>
      </c>
      <c r="N191" s="6" t="str">
        <f t="shared" si="25"/>
        <v xml:space="preserve"> </v>
      </c>
      <c r="O191" s="7" t="str">
        <f>IF(IF(COUNTIF($B$5:B191,B191)&gt;1," ",SUMIF($B$5:$B$423,B191,$J$5:$J$423))=0," ",IF(COUNTIF($B$5:B191,B191)&gt;1," ",SUMIF($B$5:$B$423,B191,$J$5:$J$423)))</f>
        <v xml:space="preserve"> </v>
      </c>
      <c r="P191" s="8" t="str">
        <f>IF(IF(COUNTIF($B$5:B191,B191)&gt;1," ",SUMIF($B$5:$B$423,B191,$L$5:$L$423))=0," ",IF(COUNTIF($B$5:B191,B191)&gt;1," ",SUMIF($B$5:$B$423,B191,$L$5:$L$423)))</f>
        <v xml:space="preserve"> </v>
      </c>
      <c r="Q191" s="8" t="str">
        <f t="shared" si="27"/>
        <v xml:space="preserve"> </v>
      </c>
      <c r="R191" s="8" t="str">
        <f t="shared" si="26"/>
        <v xml:space="preserve"> </v>
      </c>
      <c r="S191" s="48" t="str">
        <f t="shared" si="24"/>
        <v xml:space="preserve"> </v>
      </c>
      <c r="T191" s="14" t="str">
        <f>IF(F191&gt;0,IFERROR(VLOOKUP($F191,[1]Sheet1!$C$3:$L$3445,10,0),"EOSS"),"")</f>
        <v/>
      </c>
    </row>
    <row r="192" spans="1:20" x14ac:dyDescent="0.3">
      <c r="A192" s="1"/>
      <c r="B192" s="2"/>
      <c r="C192" s="5" t="str">
        <f t="shared" si="19"/>
        <v xml:space="preserve"> </v>
      </c>
      <c r="D192" s="2"/>
      <c r="E192" s="3"/>
      <c r="F192" s="4"/>
      <c r="G192" s="5"/>
      <c r="H192" s="5"/>
      <c r="I192" s="5" t="str">
        <f t="shared" si="20"/>
        <v xml:space="preserve"> </v>
      </c>
      <c r="J192" s="33"/>
      <c r="K192" s="5" t="str">
        <f t="shared" si="21"/>
        <v xml:space="preserve"> </v>
      </c>
      <c r="L192" s="3" t="str">
        <f t="shared" si="22"/>
        <v xml:space="preserve"> </v>
      </c>
      <c r="M192" s="3" t="str">
        <f>IF(E192&gt;0,IFERROR(VLOOKUP($E192,'[2]Table 1'!$B$2:$I$147,8,0),"0.00")," ")</f>
        <v xml:space="preserve"> </v>
      </c>
      <c r="N192" s="6" t="str">
        <f t="shared" si="25"/>
        <v xml:space="preserve"> </v>
      </c>
      <c r="O192" s="7" t="str">
        <f>IF(IF(COUNTIF($B$5:B192,B192)&gt;1," ",SUMIF($B$5:$B$423,B192,$J$5:$J$423))=0," ",IF(COUNTIF($B$5:B192,B192)&gt;1," ",SUMIF($B$5:$B$423,B192,$J$5:$J$423)))</f>
        <v xml:space="preserve"> </v>
      </c>
      <c r="P192" s="8" t="str">
        <f>IF(IF(COUNTIF($B$5:B192,B192)&gt;1," ",SUMIF($B$5:$B$423,B192,$L$5:$L$423))=0," ",IF(COUNTIF($B$5:B192,B192)&gt;1," ",SUMIF($B$5:$B$423,B192,$L$5:$L$423)))</f>
        <v xml:space="preserve"> </v>
      </c>
      <c r="Q192" s="8" t="str">
        <f t="shared" si="27"/>
        <v xml:space="preserve"> </v>
      </c>
      <c r="R192" s="8" t="str">
        <f t="shared" si="26"/>
        <v xml:space="preserve"> </v>
      </c>
      <c r="S192" s="48" t="str">
        <f t="shared" si="24"/>
        <v xml:space="preserve"> </v>
      </c>
      <c r="T192" s="14" t="str">
        <f>IF(F192&gt;0,IFERROR(VLOOKUP($F192,[1]Sheet1!$C$3:$L$3445,10,0),"EOSS"),"")</f>
        <v/>
      </c>
    </row>
    <row r="193" spans="1:20" x14ac:dyDescent="0.3">
      <c r="A193" s="1"/>
      <c r="B193" s="2"/>
      <c r="C193" s="5" t="str">
        <f t="shared" si="19"/>
        <v xml:space="preserve"> </v>
      </c>
      <c r="D193" s="2"/>
      <c r="E193" s="3"/>
      <c r="F193" s="4"/>
      <c r="G193" s="5"/>
      <c r="H193" s="5"/>
      <c r="I193" s="5" t="str">
        <f t="shared" si="20"/>
        <v xml:space="preserve"> </v>
      </c>
      <c r="J193" s="33"/>
      <c r="K193" s="5" t="str">
        <f t="shared" si="21"/>
        <v xml:space="preserve"> </v>
      </c>
      <c r="L193" s="3" t="str">
        <f t="shared" si="22"/>
        <v xml:space="preserve"> </v>
      </c>
      <c r="M193" s="3" t="str">
        <f>IF(E193&gt;0,IFERROR(VLOOKUP($E193,'[2]Table 1'!$B$2:$I$147,8,0),"0.00")," ")</f>
        <v xml:space="preserve"> </v>
      </c>
      <c r="N193" s="6" t="str">
        <f t="shared" si="25"/>
        <v xml:space="preserve"> </v>
      </c>
      <c r="O193" s="7" t="str">
        <f>IF(IF(COUNTIF($B$5:B193,B193)&gt;1," ",SUMIF($B$5:$B$423,B193,$J$5:$J$423))=0," ",IF(COUNTIF($B$5:B193,B193)&gt;1," ",SUMIF($B$5:$B$423,B193,$J$5:$J$423)))</f>
        <v xml:space="preserve"> </v>
      </c>
      <c r="P193" s="8" t="str">
        <f>IF(IF(COUNTIF($B$5:B193,B193)&gt;1," ",SUMIF($B$5:$B$423,B193,$L$5:$L$423))=0," ",IF(COUNTIF($B$5:B193,B193)&gt;1," ",SUMIF($B$5:$B$423,B193,$L$5:$L$423)))</f>
        <v xml:space="preserve"> </v>
      </c>
      <c r="Q193" s="8" t="str">
        <f t="shared" si="27"/>
        <v xml:space="preserve"> </v>
      </c>
      <c r="R193" s="8" t="str">
        <f t="shared" si="26"/>
        <v xml:space="preserve"> </v>
      </c>
      <c r="S193" s="48" t="str">
        <f t="shared" si="24"/>
        <v xml:space="preserve"> </v>
      </c>
      <c r="T193" s="14" t="str">
        <f>IF(F193&gt;0,IFERROR(VLOOKUP($F193,[1]Sheet1!$C$3:$L$3445,10,0),"EOSS"),"")</f>
        <v/>
      </c>
    </row>
    <row r="194" spans="1:20" x14ac:dyDescent="0.3">
      <c r="A194" s="1"/>
      <c r="B194" s="2"/>
      <c r="C194" s="5" t="str">
        <f t="shared" si="19"/>
        <v xml:space="preserve"> </v>
      </c>
      <c r="D194" s="2"/>
      <c r="E194" s="3"/>
      <c r="F194" s="4"/>
      <c r="G194" s="5"/>
      <c r="H194" s="5"/>
      <c r="I194" s="5" t="str">
        <f t="shared" si="20"/>
        <v xml:space="preserve"> </v>
      </c>
      <c r="J194" s="33"/>
      <c r="K194" s="5" t="str">
        <f t="shared" si="21"/>
        <v xml:space="preserve"> </v>
      </c>
      <c r="L194" s="3" t="str">
        <f t="shared" si="22"/>
        <v xml:space="preserve"> </v>
      </c>
      <c r="M194" s="3" t="str">
        <f>IF(E194&gt;0,IFERROR(VLOOKUP($E194,'[2]Table 1'!$B$2:$I$147,8,0),"0.00")," ")</f>
        <v xml:space="preserve"> </v>
      </c>
      <c r="N194" s="6" t="str">
        <f t="shared" si="25"/>
        <v xml:space="preserve"> </v>
      </c>
      <c r="O194" s="7" t="str">
        <f>IF(IF(COUNTIF($B$5:B194,B194)&gt;1," ",SUMIF($B$5:$B$423,B194,$J$5:$J$423))=0," ",IF(COUNTIF($B$5:B194,B194)&gt;1," ",SUMIF($B$5:$B$423,B194,$J$5:$J$423)))</f>
        <v xml:space="preserve"> </v>
      </c>
      <c r="P194" s="8" t="str">
        <f>IF(IF(COUNTIF($B$5:B194,B194)&gt;1," ",SUMIF($B$5:$B$423,B194,$L$5:$L$423))=0," ",IF(COUNTIF($B$5:B194,B194)&gt;1," ",SUMIF($B$5:$B$423,B194,$L$5:$L$423)))</f>
        <v xml:space="preserve"> </v>
      </c>
      <c r="Q194" s="8" t="str">
        <f t="shared" si="27"/>
        <v xml:space="preserve"> </v>
      </c>
      <c r="R194" s="8" t="str">
        <f t="shared" si="26"/>
        <v xml:space="preserve"> </v>
      </c>
      <c r="S194" s="48" t="str">
        <f t="shared" si="24"/>
        <v xml:space="preserve"> </v>
      </c>
      <c r="T194" s="14" t="str">
        <f>IF(F194&gt;0,IFERROR(VLOOKUP($F194,[1]Sheet1!$C$3:$L$3445,10,0),"EOSS"),"")</f>
        <v/>
      </c>
    </row>
    <row r="195" spans="1:20" x14ac:dyDescent="0.3">
      <c r="A195" s="1"/>
      <c r="B195" s="2"/>
      <c r="C195" s="5" t="str">
        <f t="shared" si="19"/>
        <v xml:space="preserve"> </v>
      </c>
      <c r="D195" s="2"/>
      <c r="E195" s="3"/>
      <c r="F195" s="4"/>
      <c r="G195" s="5"/>
      <c r="H195" s="5"/>
      <c r="I195" s="5" t="str">
        <f t="shared" si="20"/>
        <v xml:space="preserve"> </v>
      </c>
      <c r="J195" s="33"/>
      <c r="K195" s="5" t="str">
        <f t="shared" si="21"/>
        <v xml:space="preserve"> </v>
      </c>
      <c r="L195" s="3" t="str">
        <f t="shared" si="22"/>
        <v xml:space="preserve"> </v>
      </c>
      <c r="M195" s="3" t="str">
        <f>IF(E195&gt;0,IFERROR(VLOOKUP($E195,'[2]Table 1'!$B$2:$I$147,8,0),"0.00")," ")</f>
        <v xml:space="preserve"> </v>
      </c>
      <c r="N195" s="6" t="str">
        <f t="shared" si="25"/>
        <v xml:space="preserve"> </v>
      </c>
      <c r="O195" s="7" t="str">
        <f>IF(IF(COUNTIF($B$5:B195,B195)&gt;1," ",SUMIF($B$5:$B$423,B195,$J$5:$J$423))=0," ",IF(COUNTIF($B$5:B195,B195)&gt;1," ",SUMIF($B$5:$B$423,B195,$J$5:$J$423)))</f>
        <v xml:space="preserve"> </v>
      </c>
      <c r="P195" s="8" t="str">
        <f>IF(IF(COUNTIF($B$5:B195,B195)&gt;1," ",SUMIF($B$5:$B$423,B195,$L$5:$L$423))=0," ",IF(COUNTIF($B$5:B195,B195)&gt;1," ",SUMIF($B$5:$B$423,B195,$L$5:$L$423)))</f>
        <v xml:space="preserve"> </v>
      </c>
      <c r="Q195" s="8" t="str">
        <f t="shared" si="27"/>
        <v xml:space="preserve"> </v>
      </c>
      <c r="R195" s="8" t="str">
        <f t="shared" si="26"/>
        <v xml:space="preserve"> </v>
      </c>
      <c r="S195" s="48" t="str">
        <f t="shared" si="24"/>
        <v xml:space="preserve"> </v>
      </c>
      <c r="T195" s="14" t="str">
        <f>IF(F195&gt;0,IFERROR(VLOOKUP($F195,[1]Sheet1!$C$3:$L$3445,10,0),"EOSS"),"")</f>
        <v/>
      </c>
    </row>
    <row r="196" spans="1:20" x14ac:dyDescent="0.3">
      <c r="A196" s="1"/>
      <c r="B196" s="2"/>
      <c r="C196" s="5" t="str">
        <f t="shared" si="19"/>
        <v xml:space="preserve"> </v>
      </c>
      <c r="D196" s="2"/>
      <c r="E196" s="3"/>
      <c r="F196" s="4"/>
      <c r="G196" s="5"/>
      <c r="H196" s="5"/>
      <c r="I196" s="5" t="str">
        <f t="shared" si="20"/>
        <v xml:space="preserve"> </v>
      </c>
      <c r="J196" s="33"/>
      <c r="K196" s="5" t="str">
        <f t="shared" si="21"/>
        <v xml:space="preserve"> </v>
      </c>
      <c r="L196" s="3" t="str">
        <f t="shared" si="22"/>
        <v xml:space="preserve"> </v>
      </c>
      <c r="M196" s="3" t="str">
        <f>IF(E196&gt;0,IFERROR(VLOOKUP($E196,'[2]Table 1'!$B$2:$I$147,8,0),"0.00")," ")</f>
        <v xml:space="preserve"> </v>
      </c>
      <c r="N196" s="6" t="str">
        <f t="shared" si="25"/>
        <v xml:space="preserve"> </v>
      </c>
      <c r="O196" s="7" t="str">
        <f>IF(IF(COUNTIF($B$5:B196,B196)&gt;1," ",SUMIF($B$5:$B$423,B196,$J$5:$J$423))=0," ",IF(COUNTIF($B$5:B196,B196)&gt;1," ",SUMIF($B$5:$B$423,B196,$J$5:$J$423)))</f>
        <v xml:space="preserve"> </v>
      </c>
      <c r="P196" s="8" t="str">
        <f>IF(IF(COUNTIF($B$5:B196,B196)&gt;1," ",SUMIF($B$5:$B$423,B196,$L$5:$L$423))=0," ",IF(COUNTIF($B$5:B196,B196)&gt;1," ",SUMIF($B$5:$B$423,B196,$L$5:$L$423)))</f>
        <v xml:space="preserve"> </v>
      </c>
      <c r="Q196" s="8" t="str">
        <f t="shared" si="27"/>
        <v xml:space="preserve"> </v>
      </c>
      <c r="R196" s="8" t="str">
        <f t="shared" si="26"/>
        <v xml:space="preserve"> </v>
      </c>
      <c r="S196" s="48" t="str">
        <f t="shared" si="24"/>
        <v xml:space="preserve"> </v>
      </c>
      <c r="T196" s="14" t="str">
        <f>IF(F196&gt;0,IFERROR(VLOOKUP($F196,[1]Sheet1!$C$3:$L$3445,10,0),"EOSS"),"")</f>
        <v/>
      </c>
    </row>
    <row r="197" spans="1:20" x14ac:dyDescent="0.3">
      <c r="A197" s="1"/>
      <c r="B197" s="2"/>
      <c r="C197" s="5" t="str">
        <f t="shared" ref="C197:C260" si="28">IF($B197=0," ","Cash")</f>
        <v xml:space="preserve"> </v>
      </c>
      <c r="D197" s="2"/>
      <c r="E197" s="3"/>
      <c r="F197" s="4"/>
      <c r="G197" s="5"/>
      <c r="H197" s="5"/>
      <c r="I197" s="5" t="str">
        <f t="shared" ref="I197:I260" si="29">IF(H197&gt;0,$C$3," ")</f>
        <v xml:space="preserve"> </v>
      </c>
      <c r="J197" s="33"/>
      <c r="K197" s="5" t="str">
        <f t="shared" ref="K197:K260" si="30">IF($F197=0," ","Pcs.")</f>
        <v xml:space="preserve"> </v>
      </c>
      <c r="L197" s="3" t="str">
        <f t="shared" ref="L197:L260" si="31">IF(J197*E197=0," ",J197*E197)</f>
        <v xml:space="preserve"> </v>
      </c>
      <c r="M197" s="3" t="str">
        <f>IF(E197&gt;0,IFERROR(VLOOKUP($E197,'[2]Table 1'!$B$2:$I$147,8,0),"0.00")," ")</f>
        <v xml:space="preserve"> </v>
      </c>
      <c r="N197" s="6" t="str">
        <f t="shared" si="25"/>
        <v xml:space="preserve"> </v>
      </c>
      <c r="O197" s="7" t="str">
        <f>IF(IF(COUNTIF($B$5:B197,B197)&gt;1," ",SUMIF($B$5:$B$423,B197,$J$5:$J$423))=0," ",IF(COUNTIF($B$5:B197,B197)&gt;1," ",SUMIF($B$5:$B$423,B197,$J$5:$J$423)))</f>
        <v xml:space="preserve"> </v>
      </c>
      <c r="P197" s="8" t="str">
        <f>IF(IF(COUNTIF($B$5:B197,B197)&gt;1," ",SUMIF($B$5:$B$423,B197,$L$5:$L$423))=0," ",IF(COUNTIF($B$5:B197,B197)&gt;1," ",SUMIF($B$5:$B$423,B197,$L$5:$L$423)))</f>
        <v xml:space="preserve"> </v>
      </c>
      <c r="Q197" s="8" t="str">
        <f t="shared" si="27"/>
        <v xml:space="preserve"> </v>
      </c>
      <c r="R197" s="8" t="str">
        <f t="shared" si="26"/>
        <v xml:space="preserve"> </v>
      </c>
      <c r="S197" s="48" t="str">
        <f t="shared" ref="S197:S260" si="32">IFERROR(Q197/P197," ")</f>
        <v xml:space="preserve"> </v>
      </c>
      <c r="T197" s="14" t="str">
        <f>IF(F197&gt;0,IFERROR(VLOOKUP($F197,[1]Sheet1!$C$3:$L$3445,10,0),"EOSS"),"")</f>
        <v/>
      </c>
    </row>
    <row r="198" spans="1:20" x14ac:dyDescent="0.3">
      <c r="A198" s="1"/>
      <c r="B198" s="2"/>
      <c r="C198" s="5" t="str">
        <f t="shared" si="28"/>
        <v xml:space="preserve"> </v>
      </c>
      <c r="D198" s="2"/>
      <c r="E198" s="3"/>
      <c r="F198" s="4"/>
      <c r="G198" s="5"/>
      <c r="H198" s="5"/>
      <c r="I198" s="5" t="str">
        <f t="shared" si="29"/>
        <v xml:space="preserve"> </v>
      </c>
      <c r="J198" s="33"/>
      <c r="K198" s="5" t="str">
        <f t="shared" si="30"/>
        <v xml:space="preserve"> </v>
      </c>
      <c r="L198" s="3" t="str">
        <f t="shared" si="31"/>
        <v xml:space="preserve"> </v>
      </c>
      <c r="M198" s="3" t="str">
        <f>IF(E198&gt;0,IFERROR(VLOOKUP($E198,'[2]Table 1'!$B$2:$I$147,8,0),"0.00")," ")</f>
        <v xml:space="preserve"> </v>
      </c>
      <c r="N198" s="6" t="str">
        <f t="shared" ref="N198:N261" si="33">IFERROR(L198+M198," ")</f>
        <v xml:space="preserve"> </v>
      </c>
      <c r="O198" s="7" t="str">
        <f>IF(IF(COUNTIF($B$5:B198,B198)&gt;1," ",SUMIF($B$5:$B$423,B198,$J$5:$J$423))=0," ",IF(COUNTIF($B$5:B198,B198)&gt;1," ",SUMIF($B$5:$B$423,B198,$J$5:$J$423)))</f>
        <v xml:space="preserve"> </v>
      </c>
      <c r="P198" s="8" t="str">
        <f>IF(IF(COUNTIF($B$5:B198,B198)&gt;1," ",SUMIF($B$5:$B$423,B198,$L$5:$L$423))=0," ",IF(COUNTIF($B$5:B198,B198)&gt;1," ",SUMIF($B$5:$B$423,B198,$L$5:$L$423)))</f>
        <v xml:space="preserve"> </v>
      </c>
      <c r="Q198" s="8" t="str">
        <f t="shared" si="27"/>
        <v xml:space="preserve"> </v>
      </c>
      <c r="R198" s="8" t="str">
        <f t="shared" ref="R198:R261" si="34">IF(B198=""," ",IF(OR(L198="",P198="",Q198=""),"",IFERROR(L198/$P$26*$Q$26,"")))</f>
        <v xml:space="preserve"> </v>
      </c>
      <c r="S198" s="48" t="str">
        <f t="shared" si="32"/>
        <v xml:space="preserve"> </v>
      </c>
      <c r="T198" s="14" t="str">
        <f>IF(F198&gt;0,IFERROR(VLOOKUP($F198,[1]Sheet1!$C$3:$L$3445,10,0),"EOSS"),"")</f>
        <v/>
      </c>
    </row>
    <row r="199" spans="1:20" x14ac:dyDescent="0.3">
      <c r="A199" s="1"/>
      <c r="B199" s="2"/>
      <c r="C199" s="5" t="str">
        <f t="shared" si="28"/>
        <v xml:space="preserve"> </v>
      </c>
      <c r="D199" s="2"/>
      <c r="E199" s="3"/>
      <c r="F199" s="4"/>
      <c r="G199" s="5"/>
      <c r="H199" s="5"/>
      <c r="I199" s="5" t="str">
        <f t="shared" si="29"/>
        <v xml:space="preserve"> </v>
      </c>
      <c r="J199" s="33"/>
      <c r="K199" s="5" t="str">
        <f t="shared" si="30"/>
        <v xml:space="preserve"> </v>
      </c>
      <c r="L199" s="3" t="str">
        <f t="shared" si="31"/>
        <v xml:space="preserve"> </v>
      </c>
      <c r="M199" s="3" t="str">
        <f>IF(E199&gt;0,IFERROR(VLOOKUP($E199,'[2]Table 1'!$B$2:$I$147,8,0),"0.00")," ")</f>
        <v xml:space="preserve"> </v>
      </c>
      <c r="N199" s="6" t="str">
        <f t="shared" si="33"/>
        <v xml:space="preserve"> </v>
      </c>
      <c r="O199" s="7" t="str">
        <f>IF(IF(COUNTIF($B$5:B199,B199)&gt;1," ",SUMIF($B$5:$B$423,B199,$J$5:$J$423))=0," ",IF(COUNTIF($B$5:B199,B199)&gt;1," ",SUMIF($B$5:$B$423,B199,$J$5:$J$423)))</f>
        <v xml:space="preserve"> </v>
      </c>
      <c r="P199" s="8" t="str">
        <f>IF(IF(COUNTIF($B$5:B199,B199)&gt;1," ",SUMIF($B$5:$B$423,B199,$L$5:$L$423))=0," ",IF(COUNTIF($B$5:B199,B199)&gt;1," ",SUMIF($B$5:$B$423,B199,$L$5:$L$423)))</f>
        <v xml:space="preserve"> </v>
      </c>
      <c r="Q199" s="8" t="str">
        <f t="shared" si="27"/>
        <v xml:space="preserve"> </v>
      </c>
      <c r="R199" s="8" t="str">
        <f t="shared" si="34"/>
        <v xml:space="preserve"> </v>
      </c>
      <c r="S199" s="48" t="str">
        <f t="shared" si="32"/>
        <v xml:space="preserve"> </v>
      </c>
      <c r="T199" s="14" t="str">
        <f>IF(F199&gt;0,IFERROR(VLOOKUP($F199,[1]Sheet1!$C$3:$L$3445,10,0),"EOSS"),"")</f>
        <v/>
      </c>
    </row>
    <row r="200" spans="1:20" x14ac:dyDescent="0.3">
      <c r="A200" s="1"/>
      <c r="B200" s="2"/>
      <c r="C200" s="5" t="str">
        <f t="shared" si="28"/>
        <v xml:space="preserve"> </v>
      </c>
      <c r="D200" s="2"/>
      <c r="E200" s="3"/>
      <c r="F200" s="4"/>
      <c r="G200" s="5"/>
      <c r="H200" s="5"/>
      <c r="I200" s="5" t="str">
        <f t="shared" si="29"/>
        <v xml:space="preserve"> </v>
      </c>
      <c r="J200" s="33"/>
      <c r="K200" s="5" t="str">
        <f t="shared" si="30"/>
        <v xml:space="preserve"> </v>
      </c>
      <c r="L200" s="3" t="str">
        <f t="shared" si="31"/>
        <v xml:space="preserve"> </v>
      </c>
      <c r="M200" s="3" t="str">
        <f>IF(E200&gt;0,IFERROR(VLOOKUP($E200,'[2]Table 1'!$B$2:$I$147,8,0),"0.00")," ")</f>
        <v xml:space="preserve"> </v>
      </c>
      <c r="N200" s="6" t="str">
        <f t="shared" si="33"/>
        <v xml:space="preserve"> </v>
      </c>
      <c r="O200" s="7" t="str">
        <f>IF(IF(COUNTIF($B$5:B200,B200)&gt;1," ",SUMIF($B$5:$B$423,B200,$J$5:$J$423))=0," ",IF(COUNTIF($B$5:B200,B200)&gt;1," ",SUMIF($B$5:$B$423,B200,$J$5:$J$423)))</f>
        <v xml:space="preserve"> </v>
      </c>
      <c r="P200" s="8" t="str">
        <f>IF(IF(COUNTIF($B$5:B200,B200)&gt;1," ",SUMIF($B$5:$B$423,B200,$L$5:$L$423))=0," ",IF(COUNTIF($B$5:B200,B200)&gt;1," ",SUMIF($B$5:$B$423,B200,$L$5:$L$423)))</f>
        <v xml:space="preserve"> </v>
      </c>
      <c r="Q200" s="8" t="str">
        <f t="shared" si="27"/>
        <v xml:space="preserve"> </v>
      </c>
      <c r="R200" s="8" t="str">
        <f t="shared" si="34"/>
        <v xml:space="preserve"> </v>
      </c>
      <c r="S200" s="48" t="str">
        <f t="shared" si="32"/>
        <v xml:space="preserve"> </v>
      </c>
      <c r="T200" s="14" t="str">
        <f>IF(F200&gt;0,IFERROR(VLOOKUP($F200,[1]Sheet1!$C$3:$L$3445,10,0),"EOSS"),"")</f>
        <v/>
      </c>
    </row>
    <row r="201" spans="1:20" x14ac:dyDescent="0.3">
      <c r="A201" s="1"/>
      <c r="B201" s="2"/>
      <c r="C201" s="5" t="str">
        <f t="shared" si="28"/>
        <v xml:space="preserve"> </v>
      </c>
      <c r="D201" s="2"/>
      <c r="E201" s="3"/>
      <c r="F201" s="4"/>
      <c r="G201" s="5"/>
      <c r="H201" s="5"/>
      <c r="I201" s="5" t="str">
        <f t="shared" si="29"/>
        <v xml:space="preserve"> </v>
      </c>
      <c r="J201" s="33"/>
      <c r="K201" s="5" t="str">
        <f t="shared" si="30"/>
        <v xml:space="preserve"> </v>
      </c>
      <c r="L201" s="3" t="str">
        <f t="shared" si="31"/>
        <v xml:space="preserve"> </v>
      </c>
      <c r="M201" s="3" t="str">
        <f>IF(E201&gt;0,IFERROR(VLOOKUP($E201,'[2]Table 1'!$B$2:$I$147,8,0),"0.00")," ")</f>
        <v xml:space="preserve"> </v>
      </c>
      <c r="N201" s="6" t="str">
        <f t="shared" si="33"/>
        <v xml:space="preserve"> </v>
      </c>
      <c r="O201" s="7" t="str">
        <f>IF(IF(COUNTIF($B$5:B201,B201)&gt;1," ",SUMIF($B$5:$B$423,B201,$J$5:$J$423))=0," ",IF(COUNTIF($B$5:B201,B201)&gt;1," ",SUMIF($B$5:$B$423,B201,$J$5:$J$423)))</f>
        <v xml:space="preserve"> </v>
      </c>
      <c r="P201" s="8" t="str">
        <f>IF(IF(COUNTIF($B$5:B201,B201)&gt;1," ",SUMIF($B$5:$B$423,B201,$L$5:$L$423))=0," ",IF(COUNTIF($B$5:B201,B201)&gt;1," ",SUMIF($B$5:$B$423,B201,$L$5:$L$423)))</f>
        <v xml:space="preserve"> </v>
      </c>
      <c r="Q201" s="8" t="str">
        <f t="shared" si="27"/>
        <v xml:space="preserve"> </v>
      </c>
      <c r="R201" s="8" t="str">
        <f t="shared" si="34"/>
        <v xml:space="preserve"> </v>
      </c>
      <c r="S201" s="48" t="str">
        <f t="shared" si="32"/>
        <v xml:space="preserve"> </v>
      </c>
      <c r="T201" s="14" t="str">
        <f>IF(F201&gt;0,IFERROR(VLOOKUP($F201,[1]Sheet1!$C$3:$L$3445,10,0),"EOSS"),"")</f>
        <v/>
      </c>
    </row>
    <row r="202" spans="1:20" x14ac:dyDescent="0.3">
      <c r="A202" s="1"/>
      <c r="B202" s="2"/>
      <c r="C202" s="5" t="str">
        <f t="shared" si="28"/>
        <v xml:space="preserve"> </v>
      </c>
      <c r="D202" s="2"/>
      <c r="E202" s="3"/>
      <c r="F202" s="4"/>
      <c r="G202" s="5"/>
      <c r="H202" s="5"/>
      <c r="I202" s="5" t="str">
        <f t="shared" si="29"/>
        <v xml:space="preserve"> </v>
      </c>
      <c r="J202" s="33"/>
      <c r="K202" s="5" t="str">
        <f t="shared" si="30"/>
        <v xml:space="preserve"> </v>
      </c>
      <c r="L202" s="3" t="str">
        <f t="shared" si="31"/>
        <v xml:space="preserve"> </v>
      </c>
      <c r="M202" s="3" t="str">
        <f>IF(E202&gt;0,IFERROR(VLOOKUP($E202,'[2]Table 1'!$B$2:$I$147,8,0),"0.00")," ")</f>
        <v xml:space="preserve"> </v>
      </c>
      <c r="N202" s="6" t="str">
        <f t="shared" si="33"/>
        <v xml:space="preserve"> </v>
      </c>
      <c r="O202" s="7" t="str">
        <f>IF(IF(COUNTIF($B$5:B202,B202)&gt;1," ",SUMIF($B$5:$B$423,B202,$J$5:$J$423))=0," ",IF(COUNTIF($B$5:B202,B202)&gt;1," ",SUMIF($B$5:$B$423,B202,$J$5:$J$423)))</f>
        <v xml:space="preserve"> </v>
      </c>
      <c r="P202" s="8" t="str">
        <f>IF(IF(COUNTIF($B$5:B202,B202)&gt;1," ",SUMIF($B$5:$B$423,B202,$L$5:$L$423))=0," ",IF(COUNTIF($B$5:B202,B202)&gt;1," ",SUMIF($B$5:$B$423,B202,$L$5:$L$423)))</f>
        <v xml:space="preserve"> </v>
      </c>
      <c r="Q202" s="8" t="str">
        <f t="shared" si="27"/>
        <v xml:space="preserve"> </v>
      </c>
      <c r="R202" s="8" t="str">
        <f t="shared" si="34"/>
        <v xml:space="preserve"> </v>
      </c>
      <c r="S202" s="48" t="str">
        <f t="shared" si="32"/>
        <v xml:space="preserve"> </v>
      </c>
      <c r="T202" s="14" t="str">
        <f>IF(F202&gt;0,IFERROR(VLOOKUP($F202,[1]Sheet1!$C$3:$L$3445,10,0),"EOSS"),"")</f>
        <v/>
      </c>
    </row>
    <row r="203" spans="1:20" x14ac:dyDescent="0.3">
      <c r="A203" s="1"/>
      <c r="B203" s="2"/>
      <c r="C203" s="5" t="str">
        <f t="shared" si="28"/>
        <v xml:space="preserve"> </v>
      </c>
      <c r="D203" s="2"/>
      <c r="E203" s="3"/>
      <c r="F203" s="4"/>
      <c r="G203" s="5"/>
      <c r="H203" s="5"/>
      <c r="I203" s="5" t="str">
        <f t="shared" si="29"/>
        <v xml:space="preserve"> </v>
      </c>
      <c r="J203" s="33"/>
      <c r="K203" s="5" t="str">
        <f t="shared" si="30"/>
        <v xml:space="preserve"> </v>
      </c>
      <c r="L203" s="3" t="str">
        <f t="shared" si="31"/>
        <v xml:space="preserve"> </v>
      </c>
      <c r="M203" s="3" t="str">
        <f>IF(E203&gt;0,IFERROR(VLOOKUP($E203,'[2]Table 1'!$B$2:$I$147,8,0),"0.00")," ")</f>
        <v xml:space="preserve"> </v>
      </c>
      <c r="N203" s="6" t="str">
        <f t="shared" si="33"/>
        <v xml:space="preserve"> </v>
      </c>
      <c r="O203" s="7" t="str">
        <f>IF(IF(COUNTIF($B$5:B203,B203)&gt;1," ",SUMIF($B$5:$B$423,B203,$J$5:$J$423))=0," ",IF(COUNTIF($B$5:B203,B203)&gt;1," ",SUMIF($B$5:$B$423,B203,$J$5:$J$423)))</f>
        <v xml:space="preserve"> </v>
      </c>
      <c r="P203" s="8" t="str">
        <f>IF(IF(COUNTIF($B$5:B203,B203)&gt;1," ",SUMIF($B$5:$B$423,B203,$L$5:$L$423))=0," ",IF(COUNTIF($B$5:B203,B203)&gt;1," ",SUMIF($B$5:$B$423,B203,$L$5:$L$423)))</f>
        <v xml:space="preserve"> </v>
      </c>
      <c r="Q203" s="8" t="str">
        <f t="shared" si="27"/>
        <v xml:space="preserve"> </v>
      </c>
      <c r="R203" s="8" t="str">
        <f t="shared" si="34"/>
        <v xml:space="preserve"> </v>
      </c>
      <c r="S203" s="48" t="str">
        <f t="shared" si="32"/>
        <v xml:space="preserve"> </v>
      </c>
      <c r="T203" s="14" t="str">
        <f>IF(F203&gt;0,IFERROR(VLOOKUP($F203,[1]Sheet1!$C$3:$L$3445,10,0),"EOSS"),"")</f>
        <v/>
      </c>
    </row>
    <row r="204" spans="1:20" x14ac:dyDescent="0.3">
      <c r="A204" s="1"/>
      <c r="B204" s="2"/>
      <c r="C204" s="5" t="str">
        <f t="shared" si="28"/>
        <v xml:space="preserve"> </v>
      </c>
      <c r="D204" s="2"/>
      <c r="E204" s="3"/>
      <c r="F204" s="4"/>
      <c r="G204" s="5"/>
      <c r="H204" s="5"/>
      <c r="I204" s="5" t="str">
        <f t="shared" si="29"/>
        <v xml:space="preserve"> </v>
      </c>
      <c r="J204" s="33"/>
      <c r="K204" s="5" t="str">
        <f t="shared" si="30"/>
        <v xml:space="preserve"> </v>
      </c>
      <c r="L204" s="3" t="str">
        <f t="shared" si="31"/>
        <v xml:space="preserve"> </v>
      </c>
      <c r="M204" s="3" t="str">
        <f>IF(E204&gt;0,IFERROR(VLOOKUP($E204,'[2]Table 1'!$B$2:$I$147,8,0),"0.00")," ")</f>
        <v xml:space="preserve"> </v>
      </c>
      <c r="N204" s="6" t="str">
        <f t="shared" si="33"/>
        <v xml:space="preserve"> </v>
      </c>
      <c r="O204" s="7" t="str">
        <f>IF(IF(COUNTIF($B$5:B204,B204)&gt;1," ",SUMIF($B$5:$B$423,B204,$J$5:$J$423))=0," ",IF(COUNTIF($B$5:B204,B204)&gt;1," ",SUMIF($B$5:$B$423,B204,$J$5:$J$423)))</f>
        <v xml:space="preserve"> </v>
      </c>
      <c r="P204" s="8" t="str">
        <f>IF(IF(COUNTIF($B$5:B204,B204)&gt;1," ",SUMIF($B$5:$B$423,B204,$L$5:$L$423))=0," ",IF(COUNTIF($B$5:B204,B204)&gt;1," ",SUMIF($B$5:$B$423,B204,$L$5:$L$423)))</f>
        <v xml:space="preserve"> </v>
      </c>
      <c r="Q204" s="8" t="str">
        <f t="shared" si="27"/>
        <v xml:space="preserve"> </v>
      </c>
      <c r="R204" s="8" t="str">
        <f t="shared" si="34"/>
        <v xml:space="preserve"> </v>
      </c>
      <c r="S204" s="48" t="str">
        <f t="shared" si="32"/>
        <v xml:space="preserve"> </v>
      </c>
      <c r="T204" s="14" t="str">
        <f>IF(F204&gt;0,IFERROR(VLOOKUP($F204,[1]Sheet1!$C$3:$L$3445,10,0),"EOSS"),"")</f>
        <v/>
      </c>
    </row>
    <row r="205" spans="1:20" x14ac:dyDescent="0.3">
      <c r="A205" s="1"/>
      <c r="B205" s="2"/>
      <c r="C205" s="5" t="str">
        <f t="shared" si="28"/>
        <v xml:space="preserve"> </v>
      </c>
      <c r="D205" s="2"/>
      <c r="E205" s="3"/>
      <c r="F205" s="4"/>
      <c r="G205" s="5"/>
      <c r="H205" s="5"/>
      <c r="I205" s="5" t="str">
        <f t="shared" si="29"/>
        <v xml:space="preserve"> </v>
      </c>
      <c r="J205" s="33"/>
      <c r="K205" s="5" t="str">
        <f t="shared" si="30"/>
        <v xml:space="preserve"> </v>
      </c>
      <c r="L205" s="3" t="str">
        <f t="shared" si="31"/>
        <v xml:space="preserve"> </v>
      </c>
      <c r="M205" s="3" t="str">
        <f>IF(E205&gt;0,IFERROR(VLOOKUP($E205,'[2]Table 1'!$B$2:$I$147,8,0),"0.00")," ")</f>
        <v xml:space="preserve"> </v>
      </c>
      <c r="N205" s="6" t="str">
        <f t="shared" si="33"/>
        <v xml:space="preserve"> </v>
      </c>
      <c r="O205" s="7" t="str">
        <f>IF(IF(COUNTIF($B$5:B205,B205)&gt;1," ",SUMIF($B$5:$B$423,B205,$J$5:$J$423))=0," ",IF(COUNTIF($B$5:B205,B205)&gt;1," ",SUMIF($B$5:$B$423,B205,$J$5:$J$423)))</f>
        <v xml:space="preserve"> </v>
      </c>
      <c r="P205" s="8" t="str">
        <f>IF(IF(COUNTIF($B$5:B205,B205)&gt;1," ",SUMIF($B$5:$B$423,B205,$L$5:$L$423))=0," ",IF(COUNTIF($B$5:B205,B205)&gt;1," ",SUMIF($B$5:$B$423,B205,$L$5:$L$423)))</f>
        <v xml:space="preserve"> </v>
      </c>
      <c r="Q205" s="8" t="str">
        <f t="shared" si="27"/>
        <v xml:space="preserve"> </v>
      </c>
      <c r="R205" s="8" t="str">
        <f t="shared" si="34"/>
        <v xml:space="preserve"> </v>
      </c>
      <c r="S205" s="48" t="str">
        <f t="shared" si="32"/>
        <v xml:space="preserve"> </v>
      </c>
      <c r="T205" s="14" t="str">
        <f>IF(F205&gt;0,IFERROR(VLOOKUP($F205,[1]Sheet1!$C$3:$L$3445,10,0),"EOSS"),"")</f>
        <v/>
      </c>
    </row>
    <row r="206" spans="1:20" x14ac:dyDescent="0.3">
      <c r="A206" s="1"/>
      <c r="B206" s="2"/>
      <c r="C206" s="5" t="str">
        <f t="shared" si="28"/>
        <v xml:space="preserve"> </v>
      </c>
      <c r="D206" s="2"/>
      <c r="E206" s="3"/>
      <c r="F206" s="4"/>
      <c r="G206" s="5"/>
      <c r="H206" s="5"/>
      <c r="I206" s="5" t="str">
        <f t="shared" si="29"/>
        <v xml:space="preserve"> </v>
      </c>
      <c r="J206" s="33"/>
      <c r="K206" s="5" t="str">
        <f t="shared" si="30"/>
        <v xml:space="preserve"> </v>
      </c>
      <c r="L206" s="3" t="str">
        <f t="shared" si="31"/>
        <v xml:space="preserve"> </v>
      </c>
      <c r="M206" s="3" t="str">
        <f>IF(E206&gt;0,IFERROR(VLOOKUP($E206,'[2]Table 1'!$B$2:$I$147,8,0),"0.00")," ")</f>
        <v xml:space="preserve"> </v>
      </c>
      <c r="N206" s="6" t="str">
        <f t="shared" si="33"/>
        <v xml:space="preserve"> </v>
      </c>
      <c r="O206" s="7" t="str">
        <f>IF(IF(COUNTIF($B$5:B206,B206)&gt;1," ",SUMIF($B$5:$B$423,B206,$J$5:$J$423))=0," ",IF(COUNTIF($B$5:B206,B206)&gt;1," ",SUMIF($B$5:$B$423,B206,$J$5:$J$423)))</f>
        <v xml:space="preserve"> </v>
      </c>
      <c r="P206" s="8" t="str">
        <f>IF(IF(COUNTIF($B$5:B206,B206)&gt;1," ",SUMIF($B$5:$B$423,B206,$L$5:$L$423))=0," ",IF(COUNTIF($B$5:B206,B206)&gt;1," ",SUMIF($B$5:$B$423,B206,$L$5:$L$423)))</f>
        <v xml:space="preserve"> </v>
      </c>
      <c r="Q206" s="8" t="str">
        <f t="shared" si="27"/>
        <v xml:space="preserve"> </v>
      </c>
      <c r="R206" s="8" t="str">
        <f t="shared" si="34"/>
        <v xml:space="preserve"> </v>
      </c>
      <c r="S206" s="48" t="str">
        <f t="shared" si="32"/>
        <v xml:space="preserve"> </v>
      </c>
      <c r="T206" s="14" t="str">
        <f>IF(F206&gt;0,IFERROR(VLOOKUP($F206,[1]Sheet1!$C$3:$L$3445,10,0),"EOSS"),"")</f>
        <v/>
      </c>
    </row>
    <row r="207" spans="1:20" x14ac:dyDescent="0.3">
      <c r="A207" s="1"/>
      <c r="B207" s="2"/>
      <c r="C207" s="5" t="str">
        <f t="shared" si="28"/>
        <v xml:space="preserve"> </v>
      </c>
      <c r="D207" s="2"/>
      <c r="E207" s="3"/>
      <c r="F207" s="4"/>
      <c r="G207" s="5"/>
      <c r="H207" s="5"/>
      <c r="I207" s="5" t="str">
        <f t="shared" si="29"/>
        <v xml:space="preserve"> </v>
      </c>
      <c r="J207" s="33"/>
      <c r="K207" s="5" t="str">
        <f t="shared" si="30"/>
        <v xml:space="preserve"> </v>
      </c>
      <c r="L207" s="3" t="str">
        <f t="shared" si="31"/>
        <v xml:space="preserve"> </v>
      </c>
      <c r="M207" s="3" t="str">
        <f>IF(E207&gt;0,IFERROR(VLOOKUP($E207,'[2]Table 1'!$B$2:$I$147,8,0),"0.00")," ")</f>
        <v xml:space="preserve"> </v>
      </c>
      <c r="N207" s="6" t="str">
        <f t="shared" si="33"/>
        <v xml:space="preserve"> </v>
      </c>
      <c r="O207" s="7" t="str">
        <f>IF(IF(COUNTIF($B$5:B207,B207)&gt;1," ",SUMIF($B$5:$B$423,B207,$J$5:$J$423))=0," ",IF(COUNTIF($B$5:B207,B207)&gt;1," ",SUMIF($B$5:$B$423,B207,$J$5:$J$423)))</f>
        <v xml:space="preserve"> </v>
      </c>
      <c r="P207" s="8" t="str">
        <f>IF(IF(COUNTIF($B$5:B207,B207)&gt;1," ",SUMIF($B$5:$B$423,B207,$L$5:$L$423))=0," ",IF(COUNTIF($B$5:B207,B207)&gt;1," ",SUMIF($B$5:$B$423,B207,$L$5:$L$423)))</f>
        <v xml:space="preserve"> </v>
      </c>
      <c r="Q207" s="8" t="str">
        <f t="shared" si="27"/>
        <v xml:space="preserve"> </v>
      </c>
      <c r="R207" s="8" t="str">
        <f t="shared" si="34"/>
        <v xml:space="preserve"> </v>
      </c>
      <c r="S207" s="48" t="str">
        <f t="shared" si="32"/>
        <v xml:space="preserve"> </v>
      </c>
      <c r="T207" s="14" t="str">
        <f>IF(F207&gt;0,IFERROR(VLOOKUP($F207,[1]Sheet1!$C$3:$L$3445,10,0),"EOSS"),"")</f>
        <v/>
      </c>
    </row>
    <row r="208" spans="1:20" x14ac:dyDescent="0.3">
      <c r="A208" s="1"/>
      <c r="B208" s="2"/>
      <c r="C208" s="5" t="str">
        <f t="shared" si="28"/>
        <v xml:space="preserve"> </v>
      </c>
      <c r="D208" s="2"/>
      <c r="E208" s="3"/>
      <c r="F208" s="4"/>
      <c r="G208" s="5"/>
      <c r="H208" s="5"/>
      <c r="I208" s="5" t="str">
        <f t="shared" si="29"/>
        <v xml:space="preserve"> </v>
      </c>
      <c r="J208" s="33"/>
      <c r="K208" s="5" t="str">
        <f t="shared" si="30"/>
        <v xml:space="preserve"> </v>
      </c>
      <c r="L208" s="3" t="str">
        <f t="shared" si="31"/>
        <v xml:space="preserve"> </v>
      </c>
      <c r="M208" s="3" t="str">
        <f>IF(E208&gt;0,IFERROR(VLOOKUP($E208,'[2]Table 1'!$B$2:$I$147,8,0),"0.00")," ")</f>
        <v xml:space="preserve"> </v>
      </c>
      <c r="N208" s="6" t="str">
        <f t="shared" si="33"/>
        <v xml:space="preserve"> </v>
      </c>
      <c r="O208" s="7" t="str">
        <f>IF(IF(COUNTIF($B$5:B208,B208)&gt;1," ",SUMIF($B$5:$B$423,B208,$J$5:$J$423))=0," ",IF(COUNTIF($B$5:B208,B208)&gt;1," ",SUMIF($B$5:$B$423,B208,$J$5:$J$423)))</f>
        <v xml:space="preserve"> </v>
      </c>
      <c r="P208" s="8" t="str">
        <f>IF(IF(COUNTIF($B$5:B208,B208)&gt;1," ",SUMIF($B$5:$B$423,B208,$L$5:$L$423))=0," ",IF(COUNTIF($B$5:B208,B208)&gt;1," ",SUMIF($B$5:$B$423,B208,$L$5:$L$423)))</f>
        <v xml:space="preserve"> </v>
      </c>
      <c r="Q208" s="8" t="str">
        <f t="shared" si="27"/>
        <v xml:space="preserve"> </v>
      </c>
      <c r="R208" s="8" t="str">
        <f t="shared" si="34"/>
        <v xml:space="preserve"> </v>
      </c>
      <c r="S208" s="48" t="str">
        <f t="shared" si="32"/>
        <v xml:space="preserve"> </v>
      </c>
      <c r="T208" s="14" t="str">
        <f>IF(F208&gt;0,IFERROR(VLOOKUP($F208,[1]Sheet1!$C$3:$L$3445,10,0),"EOSS"),"")</f>
        <v/>
      </c>
    </row>
    <row r="209" spans="1:20" x14ac:dyDescent="0.3">
      <c r="A209" s="1"/>
      <c r="B209" s="2"/>
      <c r="C209" s="5" t="str">
        <f t="shared" si="28"/>
        <v xml:space="preserve"> </v>
      </c>
      <c r="D209" s="2"/>
      <c r="E209" s="3"/>
      <c r="F209" s="4"/>
      <c r="G209" s="5"/>
      <c r="H209" s="5"/>
      <c r="I209" s="5" t="str">
        <f t="shared" si="29"/>
        <v xml:space="preserve"> </v>
      </c>
      <c r="J209" s="33"/>
      <c r="K209" s="5" t="str">
        <f t="shared" si="30"/>
        <v xml:space="preserve"> </v>
      </c>
      <c r="L209" s="3" t="str">
        <f t="shared" si="31"/>
        <v xml:space="preserve"> </v>
      </c>
      <c r="M209" s="3" t="str">
        <f>IF(E209&gt;0,IFERROR(VLOOKUP($E209,'[2]Table 1'!$B$2:$I$147,8,0),"0.00")," ")</f>
        <v xml:space="preserve"> </v>
      </c>
      <c r="N209" s="6" t="str">
        <f t="shared" si="33"/>
        <v xml:space="preserve"> </v>
      </c>
      <c r="O209" s="7" t="str">
        <f>IF(IF(COUNTIF($B$5:B209,B209)&gt;1," ",SUMIF($B$5:$B$423,B209,$J$5:$J$423))=0," ",IF(COUNTIF($B$5:B209,B209)&gt;1," ",SUMIF($B$5:$B$423,B209,$J$5:$J$423)))</f>
        <v xml:space="preserve"> </v>
      </c>
      <c r="P209" s="8" t="str">
        <f>IF(IF(COUNTIF($B$5:B209,B209)&gt;1," ",SUMIF($B$5:$B$423,B209,$L$5:$L$423))=0," ",IF(COUNTIF($B$5:B209,B209)&gt;1," ",SUMIF($B$5:$B$423,B209,$L$5:$L$423)))</f>
        <v xml:space="preserve"> </v>
      </c>
      <c r="Q209" s="8" t="str">
        <f t="shared" si="27"/>
        <v xml:space="preserve"> </v>
      </c>
      <c r="R209" s="8" t="str">
        <f t="shared" si="34"/>
        <v xml:space="preserve"> </v>
      </c>
      <c r="S209" s="48" t="str">
        <f t="shared" si="32"/>
        <v xml:space="preserve"> </v>
      </c>
      <c r="T209" s="14" t="str">
        <f>IF(F209&gt;0,IFERROR(VLOOKUP($F209,[1]Sheet1!$C$3:$L$3445,10,0),"EOSS"),"")</f>
        <v/>
      </c>
    </row>
    <row r="210" spans="1:20" x14ac:dyDescent="0.3">
      <c r="A210" s="1"/>
      <c r="B210" s="2"/>
      <c r="C210" s="5" t="str">
        <f t="shared" si="28"/>
        <v xml:space="preserve"> </v>
      </c>
      <c r="D210" s="2"/>
      <c r="E210" s="3"/>
      <c r="F210" s="4"/>
      <c r="G210" s="5"/>
      <c r="H210" s="5"/>
      <c r="I210" s="5" t="str">
        <f t="shared" si="29"/>
        <v xml:space="preserve"> </v>
      </c>
      <c r="J210" s="33"/>
      <c r="K210" s="5" t="str">
        <f t="shared" si="30"/>
        <v xml:space="preserve"> </v>
      </c>
      <c r="L210" s="3" t="str">
        <f t="shared" si="31"/>
        <v xml:space="preserve"> </v>
      </c>
      <c r="M210" s="3" t="str">
        <f>IF(E210&gt;0,IFERROR(VLOOKUP($E210,'[2]Table 1'!$B$2:$I$147,8,0),"0.00")," ")</f>
        <v xml:space="preserve"> </v>
      </c>
      <c r="N210" s="6" t="str">
        <f t="shared" si="33"/>
        <v xml:space="preserve"> </v>
      </c>
      <c r="O210" s="7" t="str">
        <f>IF(IF(COUNTIF($B$5:B210,B210)&gt;1," ",SUMIF($B$5:$B$423,B210,$J$5:$J$423))=0," ",IF(COUNTIF($B$5:B210,B210)&gt;1," ",SUMIF($B$5:$B$423,B210,$J$5:$J$423)))</f>
        <v xml:space="preserve"> </v>
      </c>
      <c r="P210" s="8" t="str">
        <f>IF(IF(COUNTIF($B$5:B210,B210)&gt;1," ",SUMIF($B$5:$B$423,B210,$L$5:$L$423))=0," ",IF(COUNTIF($B$5:B210,B210)&gt;1," ",SUMIF($B$5:$B$423,B210,$L$5:$L$423)))</f>
        <v xml:space="preserve"> </v>
      </c>
      <c r="Q210" s="8" t="str">
        <f t="shared" si="27"/>
        <v xml:space="preserve"> </v>
      </c>
      <c r="R210" s="8" t="str">
        <f t="shared" si="34"/>
        <v xml:space="preserve"> </v>
      </c>
      <c r="S210" s="48" t="str">
        <f t="shared" si="32"/>
        <v xml:space="preserve"> </v>
      </c>
      <c r="T210" s="14" t="str">
        <f>IF(F210&gt;0,IFERROR(VLOOKUP($F210,[1]Sheet1!$C$3:$L$3445,10,0),"EOSS"),"")</f>
        <v/>
      </c>
    </row>
    <row r="211" spans="1:20" x14ac:dyDescent="0.3">
      <c r="A211" s="1"/>
      <c r="B211" s="2"/>
      <c r="C211" s="5" t="str">
        <f t="shared" si="28"/>
        <v xml:space="preserve"> </v>
      </c>
      <c r="D211" s="2"/>
      <c r="E211" s="3"/>
      <c r="F211" s="4"/>
      <c r="G211" s="5"/>
      <c r="H211" s="5"/>
      <c r="I211" s="5" t="str">
        <f t="shared" si="29"/>
        <v xml:space="preserve"> </v>
      </c>
      <c r="J211" s="33"/>
      <c r="K211" s="5" t="str">
        <f t="shared" si="30"/>
        <v xml:space="preserve"> </v>
      </c>
      <c r="L211" s="3" t="str">
        <f t="shared" si="31"/>
        <v xml:space="preserve"> </v>
      </c>
      <c r="M211" s="3" t="str">
        <f>IF(E211&gt;0,IFERROR(VLOOKUP($E211,'[2]Table 1'!$B$2:$I$147,8,0),"0.00")," ")</f>
        <v xml:space="preserve"> </v>
      </c>
      <c r="N211" s="6" t="str">
        <f t="shared" si="33"/>
        <v xml:space="preserve"> </v>
      </c>
      <c r="O211" s="7" t="str">
        <f>IF(IF(COUNTIF($B$5:B211,B211)&gt;1," ",SUMIF($B$5:$B$423,B211,$J$5:$J$423))=0," ",IF(COUNTIF($B$5:B211,B211)&gt;1," ",SUMIF($B$5:$B$423,B211,$J$5:$J$423)))</f>
        <v xml:space="preserve"> </v>
      </c>
      <c r="P211" s="8" t="str">
        <f>IF(IF(COUNTIF($B$5:B211,B211)&gt;1," ",SUMIF($B$5:$B$423,B211,$L$5:$L$423))=0," ",IF(COUNTIF($B$5:B211,B211)&gt;1," ",SUMIF($B$5:$B$423,B211,$L$5:$L$423)))</f>
        <v xml:space="preserve"> </v>
      </c>
      <c r="Q211" s="8" t="str">
        <f t="shared" si="27"/>
        <v xml:space="preserve"> </v>
      </c>
      <c r="R211" s="8" t="str">
        <f t="shared" si="34"/>
        <v xml:space="preserve"> </v>
      </c>
      <c r="S211" s="48" t="str">
        <f t="shared" si="32"/>
        <v xml:space="preserve"> </v>
      </c>
      <c r="T211" s="14" t="str">
        <f>IF(F211&gt;0,IFERROR(VLOOKUP($F211,[1]Sheet1!$C$3:$L$3445,10,0),"EOSS"),"")</f>
        <v/>
      </c>
    </row>
    <row r="212" spans="1:20" x14ac:dyDescent="0.3">
      <c r="A212" s="1"/>
      <c r="B212" s="2"/>
      <c r="C212" s="5" t="str">
        <f t="shared" si="28"/>
        <v xml:space="preserve"> </v>
      </c>
      <c r="D212" s="2"/>
      <c r="E212" s="3"/>
      <c r="F212" s="4"/>
      <c r="G212" s="5"/>
      <c r="H212" s="5"/>
      <c r="I212" s="5" t="str">
        <f t="shared" si="29"/>
        <v xml:space="preserve"> </v>
      </c>
      <c r="J212" s="33"/>
      <c r="K212" s="5" t="str">
        <f t="shared" si="30"/>
        <v xml:space="preserve"> </v>
      </c>
      <c r="L212" s="3" t="str">
        <f t="shared" si="31"/>
        <v xml:space="preserve"> </v>
      </c>
      <c r="M212" s="3" t="str">
        <f>IF(E212&gt;0,IFERROR(VLOOKUP($E212,'[2]Table 1'!$B$2:$I$147,8,0),"0.00")," ")</f>
        <v xml:space="preserve"> </v>
      </c>
      <c r="N212" s="6" t="str">
        <f t="shared" si="33"/>
        <v xml:space="preserve"> </v>
      </c>
      <c r="O212" s="7" t="str">
        <f>IF(IF(COUNTIF($B$5:B212,B212)&gt;1," ",SUMIF($B$5:$B$423,B212,$J$5:$J$423))=0," ",IF(COUNTIF($B$5:B212,B212)&gt;1," ",SUMIF($B$5:$B$423,B212,$J$5:$J$423)))</f>
        <v xml:space="preserve"> </v>
      </c>
      <c r="P212" s="8" t="str">
        <f>IF(IF(COUNTIF($B$5:B212,B212)&gt;1," ",SUMIF($B$5:$B$423,B212,$L$5:$L$423))=0," ",IF(COUNTIF($B$5:B212,B212)&gt;1," ",SUMIF($B$5:$B$423,B212,$L$5:$L$423)))</f>
        <v xml:space="preserve"> </v>
      </c>
      <c r="Q212" s="8" t="str">
        <f t="shared" si="27"/>
        <v xml:space="preserve"> </v>
      </c>
      <c r="R212" s="8" t="str">
        <f t="shared" si="34"/>
        <v xml:space="preserve"> </v>
      </c>
      <c r="S212" s="48" t="str">
        <f t="shared" si="32"/>
        <v xml:space="preserve"> </v>
      </c>
      <c r="T212" s="14" t="str">
        <f>IF(F212&gt;0,IFERROR(VLOOKUP($F212,[1]Sheet1!$C$3:$L$3445,10,0),"EOSS"),"")</f>
        <v/>
      </c>
    </row>
    <row r="213" spans="1:20" x14ac:dyDescent="0.3">
      <c r="A213" s="1"/>
      <c r="B213" s="2"/>
      <c r="C213" s="5" t="str">
        <f t="shared" si="28"/>
        <v xml:space="preserve"> </v>
      </c>
      <c r="D213" s="2"/>
      <c r="E213" s="3"/>
      <c r="F213" s="4"/>
      <c r="G213" s="5"/>
      <c r="H213" s="5"/>
      <c r="I213" s="5" t="str">
        <f t="shared" si="29"/>
        <v xml:space="preserve"> </v>
      </c>
      <c r="J213" s="33"/>
      <c r="K213" s="5" t="str">
        <f t="shared" si="30"/>
        <v xml:space="preserve"> </v>
      </c>
      <c r="L213" s="3" t="str">
        <f t="shared" si="31"/>
        <v xml:space="preserve"> </v>
      </c>
      <c r="M213" s="3" t="str">
        <f>IF(E213&gt;0,IFERROR(VLOOKUP($E213,'[2]Table 1'!$B$2:$I$147,8,0),"0.00")," ")</f>
        <v xml:space="preserve"> </v>
      </c>
      <c r="N213" s="6" t="str">
        <f t="shared" si="33"/>
        <v xml:space="preserve"> </v>
      </c>
      <c r="O213" s="7" t="str">
        <f>IF(IF(COUNTIF($B$5:B213,B213)&gt;1," ",SUMIF($B$5:$B$423,B213,$J$5:$J$423))=0," ",IF(COUNTIF($B$5:B213,B213)&gt;1," ",SUMIF($B$5:$B$423,B213,$J$5:$J$423)))</f>
        <v xml:space="preserve"> </v>
      </c>
      <c r="P213" s="8" t="str">
        <f>IF(IF(COUNTIF($B$5:B213,B213)&gt;1," ",SUMIF($B$5:$B$423,B213,$L$5:$L$423))=0," ",IF(COUNTIF($B$5:B213,B213)&gt;1," ",SUMIF($B$5:$B$423,B213,$L$5:$L$423)))</f>
        <v xml:space="preserve"> </v>
      </c>
      <c r="Q213" s="8" t="str">
        <f t="shared" si="27"/>
        <v xml:space="preserve"> </v>
      </c>
      <c r="R213" s="8" t="str">
        <f t="shared" si="34"/>
        <v xml:space="preserve"> </v>
      </c>
      <c r="S213" s="48" t="str">
        <f t="shared" si="32"/>
        <v xml:space="preserve"> </v>
      </c>
      <c r="T213" s="14" t="str">
        <f>IF(F213&gt;0,IFERROR(VLOOKUP($F213,[1]Sheet1!$C$3:$L$3445,10,0),"EOSS"),"")</f>
        <v/>
      </c>
    </row>
    <row r="214" spans="1:20" x14ac:dyDescent="0.3">
      <c r="A214" s="1"/>
      <c r="B214" s="2"/>
      <c r="C214" s="5" t="str">
        <f t="shared" si="28"/>
        <v xml:space="preserve"> </v>
      </c>
      <c r="D214" s="2"/>
      <c r="E214" s="3"/>
      <c r="F214" s="4"/>
      <c r="G214" s="5"/>
      <c r="H214" s="5"/>
      <c r="I214" s="5" t="str">
        <f t="shared" si="29"/>
        <v xml:space="preserve"> </v>
      </c>
      <c r="J214" s="33"/>
      <c r="K214" s="5" t="str">
        <f t="shared" si="30"/>
        <v xml:space="preserve"> </v>
      </c>
      <c r="L214" s="3" t="str">
        <f t="shared" si="31"/>
        <v xml:space="preserve"> </v>
      </c>
      <c r="M214" s="3" t="str">
        <f>IF(E214&gt;0,IFERROR(VLOOKUP($E214,'[2]Table 1'!$B$2:$I$147,8,0),"0.00")," ")</f>
        <v xml:space="preserve"> </v>
      </c>
      <c r="N214" s="6" t="str">
        <f t="shared" si="33"/>
        <v xml:space="preserve"> </v>
      </c>
      <c r="O214" s="7" t="str">
        <f>IF(IF(COUNTIF($B$5:B214,B214)&gt;1," ",SUMIF($B$5:$B$423,B214,$J$5:$J$423))=0," ",IF(COUNTIF($B$5:B214,B214)&gt;1," ",SUMIF($B$5:$B$423,B214,$J$5:$J$423)))</f>
        <v xml:space="preserve"> </v>
      </c>
      <c r="P214" s="8" t="str">
        <f>IF(IF(COUNTIF($B$5:B214,B214)&gt;1," ",SUMIF($B$5:$B$423,B214,$L$5:$L$423))=0," ",IF(COUNTIF($B$5:B214,B214)&gt;1," ",SUMIF($B$5:$B$423,B214,$L$5:$L$423)))</f>
        <v xml:space="preserve"> </v>
      </c>
      <c r="Q214" s="8" t="str">
        <f t="shared" ref="Q214:Q277" si="35">IFERROR(IF(O214="","",  IF(O214&gt;=2,P214*50%,         IF(O214=1,P214*40%,"")        ))," ")</f>
        <v xml:space="preserve"> </v>
      </c>
      <c r="R214" s="8" t="str">
        <f t="shared" si="34"/>
        <v xml:space="preserve"> </v>
      </c>
      <c r="S214" s="48" t="str">
        <f t="shared" si="32"/>
        <v xml:space="preserve"> </v>
      </c>
      <c r="T214" s="14" t="str">
        <f>IF(F214&gt;0,IFERROR(VLOOKUP($F214,[1]Sheet1!$C$3:$L$3445,10,0),"EOSS"),"")</f>
        <v/>
      </c>
    </row>
    <row r="215" spans="1:20" x14ac:dyDescent="0.3">
      <c r="A215" s="1"/>
      <c r="B215" s="2"/>
      <c r="C215" s="5" t="str">
        <f t="shared" si="28"/>
        <v xml:space="preserve"> </v>
      </c>
      <c r="D215" s="2"/>
      <c r="E215" s="3"/>
      <c r="F215" s="4"/>
      <c r="G215" s="5"/>
      <c r="H215" s="5"/>
      <c r="I215" s="5" t="str">
        <f t="shared" si="29"/>
        <v xml:space="preserve"> </v>
      </c>
      <c r="J215" s="33"/>
      <c r="K215" s="5" t="str">
        <f t="shared" si="30"/>
        <v xml:space="preserve"> </v>
      </c>
      <c r="L215" s="3" t="str">
        <f t="shared" si="31"/>
        <v xml:space="preserve"> </v>
      </c>
      <c r="M215" s="3" t="str">
        <f>IF(E215&gt;0,IFERROR(VLOOKUP($E215,'[2]Table 1'!$B$2:$I$147,8,0),"0.00")," ")</f>
        <v xml:space="preserve"> </v>
      </c>
      <c r="N215" s="6" t="str">
        <f t="shared" si="33"/>
        <v xml:space="preserve"> </v>
      </c>
      <c r="O215" s="7" t="str">
        <f>IF(IF(COUNTIF($B$5:B215,B215)&gt;1," ",SUMIF($B$5:$B$423,B215,$J$5:$J$423))=0," ",IF(COUNTIF($B$5:B215,B215)&gt;1," ",SUMIF($B$5:$B$423,B215,$J$5:$J$423)))</f>
        <v xml:space="preserve"> </v>
      </c>
      <c r="P215" s="8" t="str">
        <f>IF(IF(COUNTIF($B$5:B215,B215)&gt;1," ",SUMIF($B$5:$B$423,B215,$L$5:$L$423))=0," ",IF(COUNTIF($B$5:B215,B215)&gt;1," ",SUMIF($B$5:$B$423,B215,$L$5:$L$423)))</f>
        <v xml:space="preserve"> </v>
      </c>
      <c r="Q215" s="8" t="str">
        <f t="shared" si="35"/>
        <v xml:space="preserve"> </v>
      </c>
      <c r="R215" s="8" t="str">
        <f t="shared" si="34"/>
        <v xml:space="preserve"> </v>
      </c>
      <c r="S215" s="48" t="str">
        <f t="shared" si="32"/>
        <v xml:space="preserve"> </v>
      </c>
      <c r="T215" s="14" t="str">
        <f>IF(F215&gt;0,IFERROR(VLOOKUP($F215,[1]Sheet1!$C$3:$L$3445,10,0),"EOSS"),"")</f>
        <v/>
      </c>
    </row>
    <row r="216" spans="1:20" x14ac:dyDescent="0.3">
      <c r="A216" s="1"/>
      <c r="B216" s="2"/>
      <c r="C216" s="5" t="str">
        <f t="shared" si="28"/>
        <v xml:space="preserve"> </v>
      </c>
      <c r="D216" s="2"/>
      <c r="E216" s="3"/>
      <c r="F216" s="4"/>
      <c r="G216" s="5"/>
      <c r="H216" s="5"/>
      <c r="I216" s="5" t="str">
        <f t="shared" si="29"/>
        <v xml:space="preserve"> </v>
      </c>
      <c r="J216" s="33"/>
      <c r="K216" s="5" t="str">
        <f t="shared" si="30"/>
        <v xml:space="preserve"> </v>
      </c>
      <c r="L216" s="3" t="str">
        <f t="shared" si="31"/>
        <v xml:space="preserve"> </v>
      </c>
      <c r="M216" s="3" t="str">
        <f>IF(E216&gt;0,IFERROR(VLOOKUP($E216,'[2]Table 1'!$B$2:$I$147,8,0),"0.00")," ")</f>
        <v xml:space="preserve"> </v>
      </c>
      <c r="N216" s="6" t="str">
        <f t="shared" si="33"/>
        <v xml:space="preserve"> </v>
      </c>
      <c r="O216" s="7" t="str">
        <f>IF(IF(COUNTIF($B$5:B216,B216)&gt;1," ",SUMIF($B$5:$B$423,B216,$J$5:$J$423))=0," ",IF(COUNTIF($B$5:B216,B216)&gt;1," ",SUMIF($B$5:$B$423,B216,$J$5:$J$423)))</f>
        <v xml:space="preserve"> </v>
      </c>
      <c r="P216" s="8" t="str">
        <f>IF(IF(COUNTIF($B$5:B216,B216)&gt;1," ",SUMIF($B$5:$B$423,B216,$L$5:$L$423))=0," ",IF(COUNTIF($B$5:B216,B216)&gt;1," ",SUMIF($B$5:$B$423,B216,$L$5:$L$423)))</f>
        <v xml:space="preserve"> </v>
      </c>
      <c r="Q216" s="8" t="str">
        <f t="shared" si="35"/>
        <v xml:space="preserve"> </v>
      </c>
      <c r="R216" s="8" t="str">
        <f t="shared" si="34"/>
        <v xml:space="preserve"> </v>
      </c>
      <c r="S216" s="48" t="str">
        <f t="shared" si="32"/>
        <v xml:space="preserve"> </v>
      </c>
      <c r="T216" s="14" t="str">
        <f>IF(F216&gt;0,IFERROR(VLOOKUP($F216,[1]Sheet1!$C$3:$L$3445,10,0),"EOSS"),"")</f>
        <v/>
      </c>
    </row>
    <row r="217" spans="1:20" x14ac:dyDescent="0.3">
      <c r="A217" s="1"/>
      <c r="B217" s="2"/>
      <c r="C217" s="5" t="str">
        <f t="shared" si="28"/>
        <v xml:space="preserve"> </v>
      </c>
      <c r="D217" s="2"/>
      <c r="E217" s="3"/>
      <c r="F217" s="4"/>
      <c r="G217" s="5"/>
      <c r="H217" s="5"/>
      <c r="I217" s="5" t="str">
        <f t="shared" si="29"/>
        <v xml:space="preserve"> </v>
      </c>
      <c r="J217" s="33"/>
      <c r="K217" s="5" t="str">
        <f t="shared" si="30"/>
        <v xml:space="preserve"> </v>
      </c>
      <c r="L217" s="3" t="str">
        <f t="shared" si="31"/>
        <v xml:space="preserve"> </v>
      </c>
      <c r="M217" s="3" t="str">
        <f>IF(E217&gt;0,IFERROR(VLOOKUP($E217,'[2]Table 1'!$B$2:$I$147,8,0),"0.00")," ")</f>
        <v xml:space="preserve"> </v>
      </c>
      <c r="N217" s="6" t="str">
        <f t="shared" si="33"/>
        <v xml:space="preserve"> </v>
      </c>
      <c r="O217" s="7" t="str">
        <f>IF(IF(COUNTIF($B$5:B217,B217)&gt;1," ",SUMIF($B$5:$B$423,B217,$J$5:$J$423))=0," ",IF(COUNTIF($B$5:B217,B217)&gt;1," ",SUMIF($B$5:$B$423,B217,$J$5:$J$423)))</f>
        <v xml:space="preserve"> </v>
      </c>
      <c r="P217" s="8" t="str">
        <f>IF(IF(COUNTIF($B$5:B217,B217)&gt;1," ",SUMIF($B$5:$B$423,B217,$L$5:$L$423))=0," ",IF(COUNTIF($B$5:B217,B217)&gt;1," ",SUMIF($B$5:$B$423,B217,$L$5:$L$423)))</f>
        <v xml:space="preserve"> </v>
      </c>
      <c r="Q217" s="8" t="str">
        <f t="shared" si="35"/>
        <v xml:space="preserve"> </v>
      </c>
      <c r="R217" s="8" t="str">
        <f t="shared" si="34"/>
        <v xml:space="preserve"> </v>
      </c>
      <c r="S217" s="48" t="str">
        <f t="shared" si="32"/>
        <v xml:space="preserve"> </v>
      </c>
      <c r="T217" s="14" t="str">
        <f>IF(F217&gt;0,IFERROR(VLOOKUP($F217,[1]Sheet1!$C$3:$L$3445,10,0),"EOSS"),"")</f>
        <v/>
      </c>
    </row>
    <row r="218" spans="1:20" x14ac:dyDescent="0.3">
      <c r="A218" s="1"/>
      <c r="B218" s="2"/>
      <c r="C218" s="5" t="str">
        <f t="shared" si="28"/>
        <v xml:space="preserve"> </v>
      </c>
      <c r="D218" s="2"/>
      <c r="E218" s="3"/>
      <c r="F218" s="4"/>
      <c r="G218" s="5"/>
      <c r="H218" s="5"/>
      <c r="I218" s="5" t="str">
        <f t="shared" si="29"/>
        <v xml:space="preserve"> </v>
      </c>
      <c r="J218" s="33"/>
      <c r="K218" s="5" t="str">
        <f t="shared" si="30"/>
        <v xml:space="preserve"> </v>
      </c>
      <c r="L218" s="3" t="str">
        <f t="shared" si="31"/>
        <v xml:space="preserve"> </v>
      </c>
      <c r="M218" s="3" t="str">
        <f>IF(E218&gt;0,IFERROR(VLOOKUP($E218,'[2]Table 1'!$B$2:$I$147,8,0),"0.00")," ")</f>
        <v xml:space="preserve"> </v>
      </c>
      <c r="N218" s="6" t="str">
        <f t="shared" si="33"/>
        <v xml:space="preserve"> </v>
      </c>
      <c r="O218" s="7" t="str">
        <f>IF(IF(COUNTIF($B$5:B218,B218)&gt;1," ",SUMIF($B$5:$B$423,B218,$J$5:$J$423))=0," ",IF(COUNTIF($B$5:B218,B218)&gt;1," ",SUMIF($B$5:$B$423,B218,$J$5:$J$423)))</f>
        <v xml:space="preserve"> </v>
      </c>
      <c r="P218" s="8" t="str">
        <f>IF(IF(COUNTIF($B$5:B218,B218)&gt;1," ",SUMIF($B$5:$B$423,B218,$L$5:$L$423))=0," ",IF(COUNTIF($B$5:B218,B218)&gt;1," ",SUMIF($B$5:$B$423,B218,$L$5:$L$423)))</f>
        <v xml:space="preserve"> </v>
      </c>
      <c r="Q218" s="8" t="str">
        <f t="shared" si="35"/>
        <v xml:space="preserve"> </v>
      </c>
      <c r="R218" s="8" t="str">
        <f t="shared" si="34"/>
        <v xml:space="preserve"> </v>
      </c>
      <c r="S218" s="48" t="str">
        <f t="shared" si="32"/>
        <v xml:space="preserve"> </v>
      </c>
      <c r="T218" s="14" t="str">
        <f>IF(F218&gt;0,IFERROR(VLOOKUP($F218,[1]Sheet1!$C$3:$L$3445,10,0),"EOSS"),"")</f>
        <v/>
      </c>
    </row>
    <row r="219" spans="1:20" x14ac:dyDescent="0.3">
      <c r="A219" s="1"/>
      <c r="B219" s="2"/>
      <c r="C219" s="5" t="str">
        <f t="shared" si="28"/>
        <v xml:space="preserve"> </v>
      </c>
      <c r="D219" s="2"/>
      <c r="E219" s="3"/>
      <c r="F219" s="4"/>
      <c r="G219" s="5"/>
      <c r="H219" s="5"/>
      <c r="I219" s="5" t="str">
        <f t="shared" si="29"/>
        <v xml:space="preserve"> </v>
      </c>
      <c r="J219" s="33"/>
      <c r="K219" s="5" t="str">
        <f t="shared" si="30"/>
        <v xml:space="preserve"> </v>
      </c>
      <c r="L219" s="3" t="str">
        <f t="shared" si="31"/>
        <v xml:space="preserve"> </v>
      </c>
      <c r="M219" s="3" t="str">
        <f>IF(E219&gt;0,IFERROR(VLOOKUP($E219,'[2]Table 1'!$B$2:$I$147,8,0),"0.00")," ")</f>
        <v xml:space="preserve"> </v>
      </c>
      <c r="N219" s="6" t="str">
        <f t="shared" si="33"/>
        <v xml:space="preserve"> </v>
      </c>
      <c r="O219" s="7" t="str">
        <f>IF(IF(COUNTIF($B$5:B219,B219)&gt;1," ",SUMIF($B$5:$B$423,B219,$J$5:$J$423))=0," ",IF(COUNTIF($B$5:B219,B219)&gt;1," ",SUMIF($B$5:$B$423,B219,$J$5:$J$423)))</f>
        <v xml:space="preserve"> </v>
      </c>
      <c r="P219" s="8" t="str">
        <f>IF(IF(COUNTIF($B$5:B219,B219)&gt;1," ",SUMIF($B$5:$B$423,B219,$L$5:$L$423))=0," ",IF(COUNTIF($B$5:B219,B219)&gt;1," ",SUMIF($B$5:$B$423,B219,$L$5:$L$423)))</f>
        <v xml:space="preserve"> </v>
      </c>
      <c r="Q219" s="8" t="str">
        <f t="shared" si="35"/>
        <v xml:space="preserve"> </v>
      </c>
      <c r="R219" s="8" t="str">
        <f t="shared" si="34"/>
        <v xml:space="preserve"> </v>
      </c>
      <c r="S219" s="48" t="str">
        <f t="shared" si="32"/>
        <v xml:space="preserve"> </v>
      </c>
      <c r="T219" s="14" t="str">
        <f>IF(F219&gt;0,IFERROR(VLOOKUP($F219,[1]Sheet1!$C$3:$L$3445,10,0),"EOSS"),"")</f>
        <v/>
      </c>
    </row>
    <row r="220" spans="1:20" x14ac:dyDescent="0.3">
      <c r="A220" s="1"/>
      <c r="B220" s="2"/>
      <c r="C220" s="5" t="str">
        <f t="shared" si="28"/>
        <v xml:space="preserve"> </v>
      </c>
      <c r="D220" s="2"/>
      <c r="E220" s="3"/>
      <c r="F220" s="4"/>
      <c r="G220" s="5"/>
      <c r="H220" s="5"/>
      <c r="I220" s="5" t="str">
        <f t="shared" si="29"/>
        <v xml:space="preserve"> </v>
      </c>
      <c r="J220" s="33"/>
      <c r="K220" s="5" t="str">
        <f t="shared" si="30"/>
        <v xml:space="preserve"> </v>
      </c>
      <c r="L220" s="3" t="str">
        <f t="shared" si="31"/>
        <v xml:space="preserve"> </v>
      </c>
      <c r="M220" s="3" t="str">
        <f>IF(E220&gt;0,IFERROR(VLOOKUP($E220,'[2]Table 1'!$B$2:$I$147,8,0),"0.00")," ")</f>
        <v xml:space="preserve"> </v>
      </c>
      <c r="N220" s="6" t="str">
        <f t="shared" si="33"/>
        <v xml:space="preserve"> </v>
      </c>
      <c r="O220" s="7" t="str">
        <f>IF(IF(COUNTIF($B$5:B220,B220)&gt;1," ",SUMIF($B$5:$B$423,B220,$J$5:$J$423))=0," ",IF(COUNTIF($B$5:B220,B220)&gt;1," ",SUMIF($B$5:$B$423,B220,$J$5:$J$423)))</f>
        <v xml:space="preserve"> </v>
      </c>
      <c r="P220" s="8" t="str">
        <f>IF(IF(COUNTIF($B$5:B220,B220)&gt;1," ",SUMIF($B$5:$B$423,B220,$L$5:$L$423))=0," ",IF(COUNTIF($B$5:B220,B220)&gt;1," ",SUMIF($B$5:$B$423,B220,$L$5:$L$423)))</f>
        <v xml:space="preserve"> </v>
      </c>
      <c r="Q220" s="8" t="str">
        <f t="shared" si="35"/>
        <v xml:space="preserve"> </v>
      </c>
      <c r="R220" s="8" t="str">
        <f t="shared" si="34"/>
        <v xml:space="preserve"> </v>
      </c>
      <c r="S220" s="48" t="str">
        <f t="shared" si="32"/>
        <v xml:space="preserve"> </v>
      </c>
      <c r="T220" s="14" t="str">
        <f>IF(F220&gt;0,IFERROR(VLOOKUP($F220,[1]Sheet1!$C$3:$L$3445,10,0),"EOSS"),"")</f>
        <v/>
      </c>
    </row>
    <row r="221" spans="1:20" x14ac:dyDescent="0.3">
      <c r="A221" s="1"/>
      <c r="B221" s="2"/>
      <c r="C221" s="5" t="str">
        <f t="shared" si="28"/>
        <v xml:space="preserve"> </v>
      </c>
      <c r="D221" s="2"/>
      <c r="E221" s="3"/>
      <c r="F221" s="4"/>
      <c r="G221" s="5"/>
      <c r="H221" s="5"/>
      <c r="I221" s="5" t="str">
        <f t="shared" si="29"/>
        <v xml:space="preserve"> </v>
      </c>
      <c r="J221" s="33"/>
      <c r="K221" s="5" t="str">
        <f t="shared" si="30"/>
        <v xml:space="preserve"> </v>
      </c>
      <c r="L221" s="3" t="str">
        <f t="shared" si="31"/>
        <v xml:space="preserve"> </v>
      </c>
      <c r="M221" s="3" t="str">
        <f>IF(E221&gt;0,IFERROR(VLOOKUP($E221,'[2]Table 1'!$B$2:$I$147,8,0),"0.00")," ")</f>
        <v xml:space="preserve"> </v>
      </c>
      <c r="N221" s="6" t="str">
        <f t="shared" si="33"/>
        <v xml:space="preserve"> </v>
      </c>
      <c r="O221" s="7" t="str">
        <f>IF(IF(COUNTIF($B$5:B221,B221)&gt;1," ",SUMIF($B$5:$B$423,B221,$J$5:$J$423))=0," ",IF(COUNTIF($B$5:B221,B221)&gt;1," ",SUMIF($B$5:$B$423,B221,$J$5:$J$423)))</f>
        <v xml:space="preserve"> </v>
      </c>
      <c r="P221" s="8" t="str">
        <f>IF(IF(COUNTIF($B$5:B221,B221)&gt;1," ",SUMIF($B$5:$B$423,B221,$L$5:$L$423))=0," ",IF(COUNTIF($B$5:B221,B221)&gt;1," ",SUMIF($B$5:$B$423,B221,$L$5:$L$423)))</f>
        <v xml:space="preserve"> </v>
      </c>
      <c r="Q221" s="8" t="str">
        <f t="shared" si="35"/>
        <v xml:space="preserve"> </v>
      </c>
      <c r="R221" s="8" t="str">
        <f t="shared" si="34"/>
        <v xml:space="preserve"> </v>
      </c>
      <c r="S221" s="48" t="str">
        <f t="shared" si="32"/>
        <v xml:space="preserve"> </v>
      </c>
      <c r="T221" s="14" t="str">
        <f>IF(F221&gt;0,IFERROR(VLOOKUP($F221,[1]Sheet1!$C$3:$L$3445,10,0),"EOSS"),"")</f>
        <v/>
      </c>
    </row>
    <row r="222" spans="1:20" x14ac:dyDescent="0.3">
      <c r="A222" s="1"/>
      <c r="B222" s="2"/>
      <c r="C222" s="5" t="str">
        <f t="shared" si="28"/>
        <v xml:space="preserve"> </v>
      </c>
      <c r="D222" s="2"/>
      <c r="E222" s="3"/>
      <c r="F222" s="4"/>
      <c r="G222" s="5"/>
      <c r="H222" s="5"/>
      <c r="I222" s="5" t="str">
        <f t="shared" si="29"/>
        <v xml:space="preserve"> </v>
      </c>
      <c r="J222" s="33"/>
      <c r="K222" s="5" t="str">
        <f t="shared" si="30"/>
        <v xml:space="preserve"> </v>
      </c>
      <c r="L222" s="3" t="str">
        <f t="shared" si="31"/>
        <v xml:space="preserve"> </v>
      </c>
      <c r="M222" s="3" t="str">
        <f>IF(E222&gt;0,IFERROR(VLOOKUP($E222,'[2]Table 1'!$B$2:$I$147,8,0),"0.00")," ")</f>
        <v xml:space="preserve"> </v>
      </c>
      <c r="N222" s="6" t="str">
        <f t="shared" si="33"/>
        <v xml:space="preserve"> </v>
      </c>
      <c r="O222" s="7" t="str">
        <f>IF(IF(COUNTIF($B$5:B222,B222)&gt;1," ",SUMIF($B$5:$B$423,B222,$J$5:$J$423))=0," ",IF(COUNTIF($B$5:B222,B222)&gt;1," ",SUMIF($B$5:$B$423,B222,$J$5:$J$423)))</f>
        <v xml:space="preserve"> </v>
      </c>
      <c r="P222" s="8" t="str">
        <f>IF(IF(COUNTIF($B$5:B222,B222)&gt;1," ",SUMIF($B$5:$B$423,B222,$L$5:$L$423))=0," ",IF(COUNTIF($B$5:B222,B222)&gt;1," ",SUMIF($B$5:$B$423,B222,$L$5:$L$423)))</f>
        <v xml:space="preserve"> </v>
      </c>
      <c r="Q222" s="8" t="str">
        <f t="shared" si="35"/>
        <v xml:space="preserve"> </v>
      </c>
      <c r="R222" s="8" t="str">
        <f t="shared" si="34"/>
        <v xml:space="preserve"> </v>
      </c>
      <c r="S222" s="48" t="str">
        <f t="shared" si="32"/>
        <v xml:space="preserve"> </v>
      </c>
      <c r="T222" s="14" t="str">
        <f>IF(F222&gt;0,IFERROR(VLOOKUP($F222,[1]Sheet1!$C$3:$L$3445,10,0),"EOSS"),"")</f>
        <v/>
      </c>
    </row>
    <row r="223" spans="1:20" x14ac:dyDescent="0.3">
      <c r="A223" s="1"/>
      <c r="B223" s="2"/>
      <c r="C223" s="5" t="str">
        <f t="shared" si="28"/>
        <v xml:space="preserve"> </v>
      </c>
      <c r="D223" s="2"/>
      <c r="E223" s="3"/>
      <c r="F223" s="4"/>
      <c r="G223" s="5"/>
      <c r="H223" s="5"/>
      <c r="I223" s="5" t="str">
        <f t="shared" si="29"/>
        <v xml:space="preserve"> </v>
      </c>
      <c r="J223" s="33"/>
      <c r="K223" s="5" t="str">
        <f t="shared" si="30"/>
        <v xml:space="preserve"> </v>
      </c>
      <c r="L223" s="3" t="str">
        <f t="shared" si="31"/>
        <v xml:space="preserve"> </v>
      </c>
      <c r="M223" s="3" t="str">
        <f>IF(E223&gt;0,IFERROR(VLOOKUP($E223,'[2]Table 1'!$B$2:$I$147,8,0),"0.00")," ")</f>
        <v xml:space="preserve"> </v>
      </c>
      <c r="N223" s="6" t="str">
        <f t="shared" si="33"/>
        <v xml:space="preserve"> </v>
      </c>
      <c r="O223" s="7" t="str">
        <f>IF(IF(COUNTIF($B$5:B223,B223)&gt;1," ",SUMIF($B$5:$B$423,B223,$J$5:$J$423))=0," ",IF(COUNTIF($B$5:B223,B223)&gt;1," ",SUMIF($B$5:$B$423,B223,$J$5:$J$423)))</f>
        <v xml:space="preserve"> </v>
      </c>
      <c r="P223" s="8" t="str">
        <f>IF(IF(COUNTIF($B$5:B223,B223)&gt;1," ",SUMIF($B$5:$B$423,B223,$L$5:$L$423))=0," ",IF(COUNTIF($B$5:B223,B223)&gt;1," ",SUMIF($B$5:$B$423,B223,$L$5:$L$423)))</f>
        <v xml:space="preserve"> </v>
      </c>
      <c r="Q223" s="8" t="str">
        <f t="shared" si="35"/>
        <v xml:space="preserve"> </v>
      </c>
      <c r="R223" s="8" t="str">
        <f t="shared" si="34"/>
        <v xml:space="preserve"> </v>
      </c>
      <c r="S223" s="48" t="str">
        <f t="shared" si="32"/>
        <v xml:space="preserve"> </v>
      </c>
      <c r="T223" s="14" t="str">
        <f>IF(F223&gt;0,IFERROR(VLOOKUP($F223,[1]Sheet1!$C$3:$L$3445,10,0),"EOSS"),"")</f>
        <v/>
      </c>
    </row>
    <row r="224" spans="1:20" x14ac:dyDescent="0.3">
      <c r="A224" s="1"/>
      <c r="B224" s="2"/>
      <c r="C224" s="5" t="str">
        <f t="shared" si="28"/>
        <v xml:space="preserve"> </v>
      </c>
      <c r="D224" s="2"/>
      <c r="E224" s="3"/>
      <c r="F224" s="4"/>
      <c r="G224" s="5"/>
      <c r="H224" s="5"/>
      <c r="I224" s="5" t="str">
        <f t="shared" si="29"/>
        <v xml:space="preserve"> </v>
      </c>
      <c r="J224" s="33"/>
      <c r="K224" s="5" t="str">
        <f t="shared" si="30"/>
        <v xml:space="preserve"> </v>
      </c>
      <c r="L224" s="3" t="str">
        <f t="shared" si="31"/>
        <v xml:space="preserve"> </v>
      </c>
      <c r="M224" s="3" t="str">
        <f>IF(E224&gt;0,IFERROR(VLOOKUP($E224,'[2]Table 1'!$B$2:$I$147,8,0),"0.00")," ")</f>
        <v xml:space="preserve"> </v>
      </c>
      <c r="N224" s="6" t="str">
        <f t="shared" si="33"/>
        <v xml:space="preserve"> </v>
      </c>
      <c r="O224" s="7" t="str">
        <f>IF(IF(COUNTIF($B$5:B224,B224)&gt;1," ",SUMIF($B$5:$B$423,B224,$J$5:$J$423))=0," ",IF(COUNTIF($B$5:B224,B224)&gt;1," ",SUMIF($B$5:$B$423,B224,$J$5:$J$423)))</f>
        <v xml:space="preserve"> </v>
      </c>
      <c r="P224" s="8" t="str">
        <f>IF(IF(COUNTIF($B$5:B224,B224)&gt;1," ",SUMIF($B$5:$B$423,B224,$L$5:$L$423))=0," ",IF(COUNTIF($B$5:B224,B224)&gt;1," ",SUMIF($B$5:$B$423,B224,$L$5:$L$423)))</f>
        <v xml:space="preserve"> </v>
      </c>
      <c r="Q224" s="8" t="str">
        <f t="shared" si="35"/>
        <v xml:space="preserve"> </v>
      </c>
      <c r="R224" s="8" t="str">
        <f t="shared" si="34"/>
        <v xml:space="preserve"> </v>
      </c>
      <c r="S224" s="48" t="str">
        <f t="shared" si="32"/>
        <v xml:space="preserve"> </v>
      </c>
      <c r="T224" s="14" t="str">
        <f>IF(F224&gt;0,IFERROR(VLOOKUP($F224,[1]Sheet1!$C$3:$L$3445,10,0),"EOSS"),"")</f>
        <v/>
      </c>
    </row>
    <row r="225" spans="1:20" x14ac:dyDescent="0.3">
      <c r="A225" s="1"/>
      <c r="B225" s="2"/>
      <c r="C225" s="5" t="str">
        <f t="shared" si="28"/>
        <v xml:space="preserve"> </v>
      </c>
      <c r="D225" s="2"/>
      <c r="E225" s="3"/>
      <c r="F225" s="4"/>
      <c r="G225" s="5"/>
      <c r="H225" s="5"/>
      <c r="I225" s="5" t="str">
        <f t="shared" si="29"/>
        <v xml:space="preserve"> </v>
      </c>
      <c r="J225" s="33"/>
      <c r="K225" s="5" t="str">
        <f t="shared" si="30"/>
        <v xml:space="preserve"> </v>
      </c>
      <c r="L225" s="3" t="str">
        <f t="shared" si="31"/>
        <v xml:space="preserve"> </v>
      </c>
      <c r="M225" s="3" t="str">
        <f>IF(E225&gt;0,IFERROR(VLOOKUP($E225,'[2]Table 1'!$B$2:$I$147,8,0),"0.00")," ")</f>
        <v xml:space="preserve"> </v>
      </c>
      <c r="N225" s="6" t="str">
        <f t="shared" si="33"/>
        <v xml:space="preserve"> </v>
      </c>
      <c r="O225" s="7" t="str">
        <f>IF(IF(COUNTIF($B$5:B225,B225)&gt;1," ",SUMIF($B$5:$B$423,B225,$J$5:$J$423))=0," ",IF(COUNTIF($B$5:B225,B225)&gt;1," ",SUMIF($B$5:$B$423,B225,$J$5:$J$423)))</f>
        <v xml:space="preserve"> </v>
      </c>
      <c r="P225" s="8" t="str">
        <f>IF(IF(COUNTIF($B$5:B225,B225)&gt;1," ",SUMIF($B$5:$B$423,B225,$L$5:$L$423))=0," ",IF(COUNTIF($B$5:B225,B225)&gt;1," ",SUMIF($B$5:$B$423,B225,$L$5:$L$423)))</f>
        <v xml:space="preserve"> </v>
      </c>
      <c r="Q225" s="8" t="str">
        <f t="shared" si="35"/>
        <v xml:space="preserve"> </v>
      </c>
      <c r="R225" s="8" t="str">
        <f t="shared" si="34"/>
        <v xml:space="preserve"> </v>
      </c>
      <c r="S225" s="48" t="str">
        <f t="shared" si="32"/>
        <v xml:space="preserve"> </v>
      </c>
      <c r="T225" s="14" t="str">
        <f>IF(F225&gt;0,IFERROR(VLOOKUP($F225,[1]Sheet1!$C$3:$L$3445,10,0),"EOSS"),"")</f>
        <v/>
      </c>
    </row>
    <row r="226" spans="1:20" x14ac:dyDescent="0.3">
      <c r="A226" s="1"/>
      <c r="B226" s="2"/>
      <c r="C226" s="5" t="str">
        <f t="shared" si="28"/>
        <v xml:space="preserve"> </v>
      </c>
      <c r="D226" s="2"/>
      <c r="E226" s="3"/>
      <c r="F226" s="4"/>
      <c r="G226" s="5"/>
      <c r="H226" s="5"/>
      <c r="I226" s="5" t="str">
        <f t="shared" si="29"/>
        <v xml:space="preserve"> </v>
      </c>
      <c r="J226" s="33"/>
      <c r="K226" s="5" t="str">
        <f t="shared" si="30"/>
        <v xml:space="preserve"> </v>
      </c>
      <c r="L226" s="3" t="str">
        <f t="shared" si="31"/>
        <v xml:space="preserve"> </v>
      </c>
      <c r="M226" s="3" t="str">
        <f>IF(E226&gt;0,IFERROR(VLOOKUP($E226,'[2]Table 1'!$B$2:$I$147,8,0),"0.00")," ")</f>
        <v xml:space="preserve"> </v>
      </c>
      <c r="N226" s="6" t="str">
        <f t="shared" si="33"/>
        <v xml:space="preserve"> </v>
      </c>
      <c r="O226" s="7" t="str">
        <f>IF(IF(COUNTIF($B$5:B226,B226)&gt;1," ",SUMIF($B$5:$B$423,B226,$J$5:$J$423))=0," ",IF(COUNTIF($B$5:B226,B226)&gt;1," ",SUMIF($B$5:$B$423,B226,$J$5:$J$423)))</f>
        <v xml:space="preserve"> </v>
      </c>
      <c r="P226" s="8" t="str">
        <f>IF(IF(COUNTIF($B$5:B226,B226)&gt;1," ",SUMIF($B$5:$B$423,B226,$L$5:$L$423))=0," ",IF(COUNTIF($B$5:B226,B226)&gt;1," ",SUMIF($B$5:$B$423,B226,$L$5:$L$423)))</f>
        <v xml:space="preserve"> </v>
      </c>
      <c r="Q226" s="8" t="str">
        <f t="shared" si="35"/>
        <v xml:space="preserve"> </v>
      </c>
      <c r="R226" s="8" t="str">
        <f t="shared" si="34"/>
        <v xml:space="preserve"> </v>
      </c>
      <c r="S226" s="48" t="str">
        <f t="shared" si="32"/>
        <v xml:space="preserve"> </v>
      </c>
      <c r="T226" s="14" t="str">
        <f>IF(F226&gt;0,IFERROR(VLOOKUP($F226,[1]Sheet1!$C$3:$L$3445,10,0),"EOSS"),"")</f>
        <v/>
      </c>
    </row>
    <row r="227" spans="1:20" x14ac:dyDescent="0.3">
      <c r="A227" s="1"/>
      <c r="B227" s="2"/>
      <c r="C227" s="5" t="str">
        <f t="shared" si="28"/>
        <v xml:space="preserve"> </v>
      </c>
      <c r="D227" s="2"/>
      <c r="E227" s="3"/>
      <c r="F227" s="4"/>
      <c r="G227" s="5"/>
      <c r="H227" s="5"/>
      <c r="I227" s="5" t="str">
        <f t="shared" si="29"/>
        <v xml:space="preserve"> </v>
      </c>
      <c r="J227" s="33"/>
      <c r="K227" s="5" t="str">
        <f t="shared" si="30"/>
        <v xml:space="preserve"> </v>
      </c>
      <c r="L227" s="3" t="str">
        <f t="shared" si="31"/>
        <v xml:space="preserve"> </v>
      </c>
      <c r="M227" s="3" t="str">
        <f>IF(E227&gt;0,IFERROR(VLOOKUP($E227,'[2]Table 1'!$B$2:$I$147,8,0),"0.00")," ")</f>
        <v xml:space="preserve"> </v>
      </c>
      <c r="N227" s="6" t="str">
        <f t="shared" si="33"/>
        <v xml:space="preserve"> </v>
      </c>
      <c r="O227" s="7" t="str">
        <f>IF(IF(COUNTIF($B$5:B227,B227)&gt;1," ",SUMIF($B$5:$B$423,B227,$J$5:$J$423))=0," ",IF(COUNTIF($B$5:B227,B227)&gt;1," ",SUMIF($B$5:$B$423,B227,$J$5:$J$423)))</f>
        <v xml:space="preserve"> </v>
      </c>
      <c r="P227" s="8" t="str">
        <f>IF(IF(COUNTIF($B$5:B227,B227)&gt;1," ",SUMIF($B$5:$B$423,B227,$L$5:$L$423))=0," ",IF(COUNTIF($B$5:B227,B227)&gt;1," ",SUMIF($B$5:$B$423,B227,$L$5:$L$423)))</f>
        <v xml:space="preserve"> </v>
      </c>
      <c r="Q227" s="8" t="str">
        <f t="shared" si="35"/>
        <v xml:space="preserve"> </v>
      </c>
      <c r="R227" s="8" t="str">
        <f t="shared" si="34"/>
        <v xml:space="preserve"> </v>
      </c>
      <c r="S227" s="48" t="str">
        <f t="shared" si="32"/>
        <v xml:space="preserve"> </v>
      </c>
      <c r="T227" s="14" t="str">
        <f>IF(F227&gt;0,IFERROR(VLOOKUP($F227,[1]Sheet1!$C$3:$L$3445,10,0),"EOSS"),"")</f>
        <v/>
      </c>
    </row>
    <row r="228" spans="1:20" x14ac:dyDescent="0.3">
      <c r="A228" s="1"/>
      <c r="B228" s="2"/>
      <c r="C228" s="5" t="str">
        <f t="shared" si="28"/>
        <v xml:space="preserve"> </v>
      </c>
      <c r="D228" s="2"/>
      <c r="E228" s="3"/>
      <c r="F228" s="4"/>
      <c r="G228" s="5"/>
      <c r="H228" s="5"/>
      <c r="I228" s="5" t="str">
        <f t="shared" si="29"/>
        <v xml:space="preserve"> </v>
      </c>
      <c r="J228" s="33"/>
      <c r="K228" s="5" t="str">
        <f t="shared" si="30"/>
        <v xml:space="preserve"> </v>
      </c>
      <c r="L228" s="3" t="str">
        <f t="shared" si="31"/>
        <v xml:space="preserve"> </v>
      </c>
      <c r="M228" s="3" t="str">
        <f>IF(E228&gt;0,IFERROR(VLOOKUP($E228,'[2]Table 1'!$B$2:$I$147,8,0),"0.00")," ")</f>
        <v xml:space="preserve"> </v>
      </c>
      <c r="N228" s="6" t="str">
        <f t="shared" si="33"/>
        <v xml:space="preserve"> </v>
      </c>
      <c r="O228" s="7" t="str">
        <f>IF(IF(COUNTIF($B$5:B228,B228)&gt;1," ",SUMIF($B$5:$B$423,B228,$J$5:$J$423))=0," ",IF(COUNTIF($B$5:B228,B228)&gt;1," ",SUMIF($B$5:$B$423,B228,$J$5:$J$423)))</f>
        <v xml:space="preserve"> </v>
      </c>
      <c r="P228" s="8" t="str">
        <f>IF(IF(COUNTIF($B$5:B228,B228)&gt;1," ",SUMIF($B$5:$B$423,B228,$L$5:$L$423))=0," ",IF(COUNTIF($B$5:B228,B228)&gt;1," ",SUMIF($B$5:$B$423,B228,$L$5:$L$423)))</f>
        <v xml:space="preserve"> </v>
      </c>
      <c r="Q228" s="8" t="str">
        <f t="shared" si="35"/>
        <v xml:space="preserve"> </v>
      </c>
      <c r="R228" s="8" t="str">
        <f t="shared" si="34"/>
        <v xml:space="preserve"> </v>
      </c>
      <c r="S228" s="48" t="str">
        <f t="shared" si="32"/>
        <v xml:space="preserve"> </v>
      </c>
      <c r="T228" s="14" t="str">
        <f>IF(F228&gt;0,IFERROR(VLOOKUP($F228,[1]Sheet1!$C$3:$L$3445,10,0),"EOSS"),"")</f>
        <v/>
      </c>
    </row>
    <row r="229" spans="1:20" x14ac:dyDescent="0.3">
      <c r="A229" s="1"/>
      <c r="B229" s="2"/>
      <c r="C229" s="5" t="str">
        <f t="shared" si="28"/>
        <v xml:space="preserve"> </v>
      </c>
      <c r="D229" s="2"/>
      <c r="E229" s="3"/>
      <c r="F229" s="4"/>
      <c r="G229" s="5"/>
      <c r="H229" s="5"/>
      <c r="I229" s="5" t="str">
        <f t="shared" si="29"/>
        <v xml:space="preserve"> </v>
      </c>
      <c r="J229" s="33"/>
      <c r="K229" s="5" t="str">
        <f t="shared" si="30"/>
        <v xml:space="preserve"> </v>
      </c>
      <c r="L229" s="3" t="str">
        <f t="shared" si="31"/>
        <v xml:space="preserve"> </v>
      </c>
      <c r="M229" s="3" t="str">
        <f>IF(E229&gt;0,IFERROR(VLOOKUP($E229,'[2]Table 1'!$B$2:$I$147,8,0),"0.00")," ")</f>
        <v xml:space="preserve"> </v>
      </c>
      <c r="N229" s="6" t="str">
        <f t="shared" si="33"/>
        <v xml:space="preserve"> </v>
      </c>
      <c r="O229" s="7" t="str">
        <f>IF(IF(COUNTIF($B$5:B229,B229)&gt;1," ",SUMIF($B$5:$B$423,B229,$J$5:$J$423))=0," ",IF(COUNTIF($B$5:B229,B229)&gt;1," ",SUMIF($B$5:$B$423,B229,$J$5:$J$423)))</f>
        <v xml:space="preserve"> </v>
      </c>
      <c r="P229" s="8" t="str">
        <f>IF(IF(COUNTIF($B$5:B229,B229)&gt;1," ",SUMIF($B$5:$B$423,B229,$L$5:$L$423))=0," ",IF(COUNTIF($B$5:B229,B229)&gt;1," ",SUMIF($B$5:$B$423,B229,$L$5:$L$423)))</f>
        <v xml:space="preserve"> </v>
      </c>
      <c r="Q229" s="8" t="str">
        <f t="shared" si="35"/>
        <v xml:space="preserve"> </v>
      </c>
      <c r="R229" s="8" t="str">
        <f t="shared" si="34"/>
        <v xml:space="preserve"> </v>
      </c>
      <c r="S229" s="48" t="str">
        <f t="shared" si="32"/>
        <v xml:space="preserve"> </v>
      </c>
      <c r="T229" s="14" t="str">
        <f>IF(F229&gt;0,IFERROR(VLOOKUP($F229,[1]Sheet1!$C$3:$L$3445,10,0),"EOSS"),"")</f>
        <v/>
      </c>
    </row>
    <row r="230" spans="1:20" x14ac:dyDescent="0.3">
      <c r="A230" s="1"/>
      <c r="B230" s="2"/>
      <c r="C230" s="5" t="str">
        <f t="shared" si="28"/>
        <v xml:space="preserve"> </v>
      </c>
      <c r="D230" s="2"/>
      <c r="E230" s="3"/>
      <c r="F230" s="4"/>
      <c r="G230" s="5"/>
      <c r="H230" s="5"/>
      <c r="I230" s="5" t="str">
        <f t="shared" si="29"/>
        <v xml:space="preserve"> </v>
      </c>
      <c r="J230" s="33"/>
      <c r="K230" s="5" t="str">
        <f t="shared" si="30"/>
        <v xml:space="preserve"> </v>
      </c>
      <c r="L230" s="3" t="str">
        <f t="shared" si="31"/>
        <v xml:space="preserve"> </v>
      </c>
      <c r="M230" s="3" t="str">
        <f>IF(E230&gt;0,IFERROR(VLOOKUP($E230,'[2]Table 1'!$B$2:$I$147,8,0),"0.00")," ")</f>
        <v xml:space="preserve"> </v>
      </c>
      <c r="N230" s="6" t="str">
        <f t="shared" si="33"/>
        <v xml:space="preserve"> </v>
      </c>
      <c r="O230" s="7" t="str">
        <f>IF(IF(COUNTIF($B$5:B230,B230)&gt;1," ",SUMIF($B$5:$B$423,B230,$J$5:$J$423))=0," ",IF(COUNTIF($B$5:B230,B230)&gt;1," ",SUMIF($B$5:$B$423,B230,$J$5:$J$423)))</f>
        <v xml:space="preserve"> </v>
      </c>
      <c r="P230" s="8" t="str">
        <f>IF(IF(COUNTIF($B$5:B230,B230)&gt;1," ",SUMIF($B$5:$B$423,B230,$L$5:$L$423))=0," ",IF(COUNTIF($B$5:B230,B230)&gt;1," ",SUMIF($B$5:$B$423,B230,$L$5:$L$423)))</f>
        <v xml:space="preserve"> </v>
      </c>
      <c r="Q230" s="8" t="str">
        <f t="shared" si="35"/>
        <v xml:space="preserve"> </v>
      </c>
      <c r="R230" s="8" t="str">
        <f t="shared" si="34"/>
        <v xml:space="preserve"> </v>
      </c>
      <c r="S230" s="48" t="str">
        <f t="shared" si="32"/>
        <v xml:space="preserve"> </v>
      </c>
      <c r="T230" s="14" t="str">
        <f>IF(F230&gt;0,IFERROR(VLOOKUP($F230,[1]Sheet1!$C$3:$L$3445,10,0),"EOSS"),"")</f>
        <v/>
      </c>
    </row>
    <row r="231" spans="1:20" x14ac:dyDescent="0.3">
      <c r="A231" s="1"/>
      <c r="B231" s="2"/>
      <c r="C231" s="5" t="str">
        <f t="shared" si="28"/>
        <v xml:space="preserve"> </v>
      </c>
      <c r="D231" s="2"/>
      <c r="E231" s="3"/>
      <c r="F231" s="4"/>
      <c r="G231" s="5"/>
      <c r="H231" s="5"/>
      <c r="I231" s="5" t="str">
        <f t="shared" si="29"/>
        <v xml:space="preserve"> </v>
      </c>
      <c r="J231" s="33"/>
      <c r="K231" s="5" t="str">
        <f t="shared" si="30"/>
        <v xml:space="preserve"> </v>
      </c>
      <c r="L231" s="3" t="str">
        <f t="shared" si="31"/>
        <v xml:space="preserve"> </v>
      </c>
      <c r="M231" s="3" t="str">
        <f>IF(E231&gt;0,IFERROR(VLOOKUP($E231,'[2]Table 1'!$B$2:$I$147,8,0),"0.00")," ")</f>
        <v xml:space="preserve"> </v>
      </c>
      <c r="N231" s="6" t="str">
        <f t="shared" si="33"/>
        <v xml:space="preserve"> </v>
      </c>
      <c r="O231" s="7" t="str">
        <f>IF(IF(COUNTIF($B$5:B231,B231)&gt;1," ",SUMIF($B$5:$B$423,B231,$J$5:$J$423))=0," ",IF(COUNTIF($B$5:B231,B231)&gt;1," ",SUMIF($B$5:$B$423,B231,$J$5:$J$423)))</f>
        <v xml:space="preserve"> </v>
      </c>
      <c r="P231" s="8" t="str">
        <f>IF(IF(COUNTIF($B$5:B231,B231)&gt;1," ",SUMIF($B$5:$B$423,B231,$L$5:$L$423))=0," ",IF(COUNTIF($B$5:B231,B231)&gt;1," ",SUMIF($B$5:$B$423,B231,$L$5:$L$423)))</f>
        <v xml:space="preserve"> </v>
      </c>
      <c r="Q231" s="8" t="str">
        <f t="shared" si="35"/>
        <v xml:space="preserve"> </v>
      </c>
      <c r="R231" s="8" t="str">
        <f t="shared" si="34"/>
        <v xml:space="preserve"> </v>
      </c>
      <c r="S231" s="48" t="str">
        <f t="shared" si="32"/>
        <v xml:space="preserve"> </v>
      </c>
      <c r="T231" s="14" t="str">
        <f>IF(F231&gt;0,IFERROR(VLOOKUP($F231,[1]Sheet1!$C$3:$L$3445,10,0),"EOSS"),"")</f>
        <v/>
      </c>
    </row>
    <row r="232" spans="1:20" x14ac:dyDescent="0.3">
      <c r="A232" s="1"/>
      <c r="B232" s="2"/>
      <c r="C232" s="5" t="str">
        <f t="shared" si="28"/>
        <v xml:space="preserve"> </v>
      </c>
      <c r="D232" s="2"/>
      <c r="E232" s="3"/>
      <c r="F232" s="4"/>
      <c r="G232" s="5"/>
      <c r="H232" s="5"/>
      <c r="I232" s="5" t="str">
        <f t="shared" si="29"/>
        <v xml:space="preserve"> </v>
      </c>
      <c r="J232" s="33"/>
      <c r="K232" s="5" t="str">
        <f t="shared" si="30"/>
        <v xml:space="preserve"> </v>
      </c>
      <c r="L232" s="3" t="str">
        <f t="shared" si="31"/>
        <v xml:space="preserve"> </v>
      </c>
      <c r="M232" s="3" t="str">
        <f>IF(E232&gt;0,IFERROR(VLOOKUP($E232,'[2]Table 1'!$B$2:$I$147,8,0),"0.00")," ")</f>
        <v xml:space="preserve"> </v>
      </c>
      <c r="N232" s="6" t="str">
        <f t="shared" si="33"/>
        <v xml:space="preserve"> </v>
      </c>
      <c r="O232" s="7" t="str">
        <f>IF(IF(COUNTIF($B$5:B232,B232)&gt;1," ",SUMIF($B$5:$B$423,B232,$J$5:$J$423))=0," ",IF(COUNTIF($B$5:B232,B232)&gt;1," ",SUMIF($B$5:$B$423,B232,$J$5:$J$423)))</f>
        <v xml:space="preserve"> </v>
      </c>
      <c r="P232" s="8" t="str">
        <f>IF(IF(COUNTIF($B$5:B232,B232)&gt;1," ",SUMIF($B$5:$B$423,B232,$L$5:$L$423))=0," ",IF(COUNTIF($B$5:B232,B232)&gt;1," ",SUMIF($B$5:$B$423,B232,$L$5:$L$423)))</f>
        <v xml:space="preserve"> </v>
      </c>
      <c r="Q232" s="8" t="str">
        <f t="shared" si="35"/>
        <v xml:space="preserve"> </v>
      </c>
      <c r="R232" s="8" t="str">
        <f t="shared" si="34"/>
        <v xml:space="preserve"> </v>
      </c>
      <c r="S232" s="48" t="str">
        <f t="shared" si="32"/>
        <v xml:space="preserve"> </v>
      </c>
      <c r="T232" s="14" t="str">
        <f>IF(F232&gt;0,IFERROR(VLOOKUP($F232,[1]Sheet1!$C$3:$L$3445,10,0),"EOSS"),"")</f>
        <v/>
      </c>
    </row>
    <row r="233" spans="1:20" x14ac:dyDescent="0.3">
      <c r="A233" s="1"/>
      <c r="B233" s="2"/>
      <c r="C233" s="5" t="str">
        <f t="shared" si="28"/>
        <v xml:space="preserve"> </v>
      </c>
      <c r="D233" s="2"/>
      <c r="E233" s="3"/>
      <c r="F233" s="4"/>
      <c r="G233" s="5"/>
      <c r="H233" s="5"/>
      <c r="I233" s="5" t="str">
        <f t="shared" si="29"/>
        <v xml:space="preserve"> </v>
      </c>
      <c r="J233" s="33"/>
      <c r="K233" s="5" t="str">
        <f t="shared" si="30"/>
        <v xml:space="preserve"> </v>
      </c>
      <c r="L233" s="3" t="str">
        <f t="shared" si="31"/>
        <v xml:space="preserve"> </v>
      </c>
      <c r="M233" s="3" t="str">
        <f>IF(E233&gt;0,IFERROR(VLOOKUP($E233,'[2]Table 1'!$B$2:$I$147,8,0),"0.00")," ")</f>
        <v xml:space="preserve"> </v>
      </c>
      <c r="N233" s="6" t="str">
        <f t="shared" si="33"/>
        <v xml:space="preserve"> </v>
      </c>
      <c r="O233" s="7" t="str">
        <f>IF(IF(COUNTIF($B$5:B233,B233)&gt;1," ",SUMIF($B$5:$B$423,B233,$J$5:$J$423))=0," ",IF(COUNTIF($B$5:B233,B233)&gt;1," ",SUMIF($B$5:$B$423,B233,$J$5:$J$423)))</f>
        <v xml:space="preserve"> </v>
      </c>
      <c r="P233" s="8" t="str">
        <f>IF(IF(COUNTIF($B$5:B233,B233)&gt;1," ",SUMIF($B$5:$B$423,B233,$L$5:$L$423))=0," ",IF(COUNTIF($B$5:B233,B233)&gt;1," ",SUMIF($B$5:$B$423,B233,$L$5:$L$423)))</f>
        <v xml:space="preserve"> </v>
      </c>
      <c r="Q233" s="8" t="str">
        <f t="shared" si="35"/>
        <v xml:space="preserve"> </v>
      </c>
      <c r="R233" s="8" t="str">
        <f t="shared" si="34"/>
        <v xml:space="preserve"> </v>
      </c>
      <c r="S233" s="48" t="str">
        <f t="shared" si="32"/>
        <v xml:space="preserve"> </v>
      </c>
      <c r="T233" s="14" t="str">
        <f>IF(F233&gt;0,IFERROR(VLOOKUP($F233,[1]Sheet1!$C$3:$L$3445,10,0),"EOSS"),"")</f>
        <v/>
      </c>
    </row>
    <row r="234" spans="1:20" x14ac:dyDescent="0.3">
      <c r="A234" s="1"/>
      <c r="B234" s="2"/>
      <c r="C234" s="5" t="str">
        <f t="shared" si="28"/>
        <v xml:space="preserve"> </v>
      </c>
      <c r="D234" s="2"/>
      <c r="E234" s="3"/>
      <c r="F234" s="4"/>
      <c r="G234" s="5"/>
      <c r="H234" s="5"/>
      <c r="I234" s="5" t="str">
        <f t="shared" si="29"/>
        <v xml:space="preserve"> </v>
      </c>
      <c r="J234" s="33"/>
      <c r="K234" s="5" t="str">
        <f t="shared" si="30"/>
        <v xml:space="preserve"> </v>
      </c>
      <c r="L234" s="3" t="str">
        <f t="shared" si="31"/>
        <v xml:space="preserve"> </v>
      </c>
      <c r="M234" s="3" t="str">
        <f>IF(E234&gt;0,IFERROR(VLOOKUP($E234,'[2]Table 1'!$B$2:$I$147,8,0),"0.00")," ")</f>
        <v xml:space="preserve"> </v>
      </c>
      <c r="N234" s="6" t="str">
        <f t="shared" si="33"/>
        <v xml:space="preserve"> </v>
      </c>
      <c r="O234" s="7" t="str">
        <f>IF(IF(COUNTIF($B$5:B234,B234)&gt;1," ",SUMIF($B$5:$B$423,B234,$J$5:$J$423))=0," ",IF(COUNTIF($B$5:B234,B234)&gt;1," ",SUMIF($B$5:$B$423,B234,$J$5:$J$423)))</f>
        <v xml:space="preserve"> </v>
      </c>
      <c r="P234" s="8" t="str">
        <f>IF(IF(COUNTIF($B$5:B234,B234)&gt;1," ",SUMIF($B$5:$B$423,B234,$L$5:$L$423))=0," ",IF(COUNTIF($B$5:B234,B234)&gt;1," ",SUMIF($B$5:$B$423,B234,$L$5:$L$423)))</f>
        <v xml:space="preserve"> </v>
      </c>
      <c r="Q234" s="8" t="str">
        <f t="shared" si="35"/>
        <v xml:space="preserve"> </v>
      </c>
      <c r="R234" s="8" t="str">
        <f t="shared" si="34"/>
        <v xml:space="preserve"> </v>
      </c>
      <c r="S234" s="48" t="str">
        <f t="shared" si="32"/>
        <v xml:space="preserve"> </v>
      </c>
      <c r="T234" s="14" t="str">
        <f>IF(F234&gt;0,IFERROR(VLOOKUP($F234,[1]Sheet1!$C$3:$L$3445,10,0),"EOSS"),"")</f>
        <v/>
      </c>
    </row>
    <row r="235" spans="1:20" x14ac:dyDescent="0.3">
      <c r="A235" s="1"/>
      <c r="B235" s="2"/>
      <c r="C235" s="5" t="str">
        <f t="shared" si="28"/>
        <v xml:space="preserve"> </v>
      </c>
      <c r="D235" s="2"/>
      <c r="E235" s="3"/>
      <c r="F235" s="4"/>
      <c r="G235" s="5"/>
      <c r="H235" s="5"/>
      <c r="I235" s="5" t="str">
        <f t="shared" si="29"/>
        <v xml:space="preserve"> </v>
      </c>
      <c r="J235" s="33"/>
      <c r="K235" s="5" t="str">
        <f t="shared" si="30"/>
        <v xml:space="preserve"> </v>
      </c>
      <c r="L235" s="3" t="str">
        <f t="shared" si="31"/>
        <v xml:space="preserve"> </v>
      </c>
      <c r="M235" s="3" t="str">
        <f>IF(E235&gt;0,IFERROR(VLOOKUP($E235,'[2]Table 1'!$B$2:$I$147,8,0),"0.00")," ")</f>
        <v xml:space="preserve"> </v>
      </c>
      <c r="N235" s="6" t="str">
        <f t="shared" si="33"/>
        <v xml:space="preserve"> </v>
      </c>
      <c r="O235" s="7" t="str">
        <f>IF(IF(COUNTIF($B$5:B235,B235)&gt;1," ",SUMIF($B$5:$B$423,B235,$J$5:$J$423))=0," ",IF(COUNTIF($B$5:B235,B235)&gt;1," ",SUMIF($B$5:$B$423,B235,$J$5:$J$423)))</f>
        <v xml:space="preserve"> </v>
      </c>
      <c r="P235" s="8" t="str">
        <f>IF(IF(COUNTIF($B$5:B235,B235)&gt;1," ",SUMIF($B$5:$B$423,B235,$L$5:$L$423))=0," ",IF(COUNTIF($B$5:B235,B235)&gt;1," ",SUMIF($B$5:$B$423,B235,$L$5:$L$423)))</f>
        <v xml:space="preserve"> </v>
      </c>
      <c r="Q235" s="8" t="str">
        <f t="shared" si="35"/>
        <v xml:space="preserve"> </v>
      </c>
      <c r="R235" s="8" t="str">
        <f t="shared" si="34"/>
        <v xml:space="preserve"> </v>
      </c>
      <c r="S235" s="48" t="str">
        <f t="shared" si="32"/>
        <v xml:space="preserve"> </v>
      </c>
      <c r="T235" s="14" t="str">
        <f>IF(F235&gt;0,IFERROR(VLOOKUP($F235,[1]Sheet1!$C$3:$L$3445,10,0),"EOSS"),"")</f>
        <v/>
      </c>
    </row>
    <row r="236" spans="1:20" x14ac:dyDescent="0.3">
      <c r="A236" s="1"/>
      <c r="B236" s="2"/>
      <c r="C236" s="5" t="str">
        <f t="shared" si="28"/>
        <v xml:space="preserve"> </v>
      </c>
      <c r="D236" s="2"/>
      <c r="E236" s="3"/>
      <c r="F236" s="4"/>
      <c r="G236" s="5"/>
      <c r="H236" s="5"/>
      <c r="I236" s="5" t="str">
        <f t="shared" si="29"/>
        <v xml:space="preserve"> </v>
      </c>
      <c r="J236" s="33"/>
      <c r="K236" s="5" t="str">
        <f t="shared" si="30"/>
        <v xml:space="preserve"> </v>
      </c>
      <c r="L236" s="3" t="str">
        <f t="shared" si="31"/>
        <v xml:space="preserve"> </v>
      </c>
      <c r="M236" s="3" t="str">
        <f>IF(E236&gt;0,IFERROR(VLOOKUP($E236,'[2]Table 1'!$B$2:$I$147,8,0),"0.00")," ")</f>
        <v xml:space="preserve"> </v>
      </c>
      <c r="N236" s="6" t="str">
        <f t="shared" si="33"/>
        <v xml:space="preserve"> </v>
      </c>
      <c r="O236" s="7" t="str">
        <f>IF(IF(COUNTIF($B$5:B236,B236)&gt;1," ",SUMIF($B$5:$B$423,B236,$J$5:$J$423))=0," ",IF(COUNTIF($B$5:B236,B236)&gt;1," ",SUMIF($B$5:$B$423,B236,$J$5:$J$423)))</f>
        <v xml:space="preserve"> </v>
      </c>
      <c r="P236" s="8" t="str">
        <f>IF(IF(COUNTIF($B$5:B236,B236)&gt;1," ",SUMIF($B$5:$B$423,B236,$L$5:$L$423))=0," ",IF(COUNTIF($B$5:B236,B236)&gt;1," ",SUMIF($B$5:$B$423,B236,$L$5:$L$423)))</f>
        <v xml:space="preserve"> </v>
      </c>
      <c r="Q236" s="8" t="str">
        <f t="shared" si="35"/>
        <v xml:space="preserve"> </v>
      </c>
      <c r="R236" s="8" t="str">
        <f t="shared" si="34"/>
        <v xml:space="preserve"> </v>
      </c>
      <c r="S236" s="48" t="str">
        <f t="shared" si="32"/>
        <v xml:space="preserve"> </v>
      </c>
      <c r="T236" s="14" t="str">
        <f>IF(F236&gt;0,IFERROR(VLOOKUP($F236,[1]Sheet1!$C$3:$L$3445,10,0),"EOSS"),"")</f>
        <v/>
      </c>
    </row>
    <row r="237" spans="1:20" x14ac:dyDescent="0.3">
      <c r="A237" s="1"/>
      <c r="B237" s="2"/>
      <c r="C237" s="5" t="str">
        <f t="shared" si="28"/>
        <v xml:space="preserve"> </v>
      </c>
      <c r="D237" s="2"/>
      <c r="E237" s="3"/>
      <c r="F237" s="4"/>
      <c r="G237" s="5"/>
      <c r="H237" s="5"/>
      <c r="I237" s="5" t="str">
        <f t="shared" si="29"/>
        <v xml:space="preserve"> </v>
      </c>
      <c r="J237" s="33"/>
      <c r="K237" s="5" t="str">
        <f t="shared" si="30"/>
        <v xml:space="preserve"> </v>
      </c>
      <c r="L237" s="3" t="str">
        <f t="shared" si="31"/>
        <v xml:space="preserve"> </v>
      </c>
      <c r="M237" s="3" t="str">
        <f>IF(E237&gt;0,IFERROR(VLOOKUP($E237,'[2]Table 1'!$B$2:$I$147,8,0),"0.00")," ")</f>
        <v xml:space="preserve"> </v>
      </c>
      <c r="N237" s="6" t="str">
        <f t="shared" si="33"/>
        <v xml:space="preserve"> </v>
      </c>
      <c r="O237" s="7" t="str">
        <f>IF(IF(COUNTIF($B$5:B237,B237)&gt;1," ",SUMIF($B$5:$B$423,B237,$J$5:$J$423))=0," ",IF(COUNTIF($B$5:B237,B237)&gt;1," ",SUMIF($B$5:$B$423,B237,$J$5:$J$423)))</f>
        <v xml:space="preserve"> </v>
      </c>
      <c r="P237" s="8" t="str">
        <f>IF(IF(COUNTIF($B$5:B237,B237)&gt;1," ",SUMIF($B$5:$B$423,B237,$L$5:$L$423))=0," ",IF(COUNTIF($B$5:B237,B237)&gt;1," ",SUMIF($B$5:$B$423,B237,$L$5:$L$423)))</f>
        <v xml:space="preserve"> </v>
      </c>
      <c r="Q237" s="8" t="str">
        <f t="shared" si="35"/>
        <v xml:space="preserve"> </v>
      </c>
      <c r="R237" s="8" t="str">
        <f t="shared" si="34"/>
        <v xml:space="preserve"> </v>
      </c>
      <c r="S237" s="48" t="str">
        <f t="shared" si="32"/>
        <v xml:space="preserve"> </v>
      </c>
      <c r="T237" s="14" t="str">
        <f>IF(F237&gt;0,IFERROR(VLOOKUP($F237,[1]Sheet1!$C$3:$L$3445,10,0),"EOSS"),"")</f>
        <v/>
      </c>
    </row>
    <row r="238" spans="1:20" x14ac:dyDescent="0.3">
      <c r="A238" s="1"/>
      <c r="B238" s="2"/>
      <c r="C238" s="5" t="str">
        <f t="shared" si="28"/>
        <v xml:space="preserve"> </v>
      </c>
      <c r="D238" s="2"/>
      <c r="E238" s="3"/>
      <c r="F238" s="4"/>
      <c r="G238" s="5"/>
      <c r="H238" s="5"/>
      <c r="I238" s="5" t="str">
        <f t="shared" si="29"/>
        <v xml:space="preserve"> </v>
      </c>
      <c r="J238" s="33"/>
      <c r="K238" s="5" t="str">
        <f t="shared" si="30"/>
        <v xml:space="preserve"> </v>
      </c>
      <c r="L238" s="3" t="str">
        <f t="shared" si="31"/>
        <v xml:space="preserve"> </v>
      </c>
      <c r="M238" s="3" t="str">
        <f>IF(E238&gt;0,IFERROR(VLOOKUP($E238,'[2]Table 1'!$B$2:$I$147,8,0),"0.00")," ")</f>
        <v xml:space="preserve"> </v>
      </c>
      <c r="N238" s="6" t="str">
        <f t="shared" si="33"/>
        <v xml:space="preserve"> </v>
      </c>
      <c r="O238" s="7" t="str">
        <f>IF(IF(COUNTIF($B$5:B238,B238)&gt;1," ",SUMIF($B$5:$B$423,B238,$J$5:$J$423))=0," ",IF(COUNTIF($B$5:B238,B238)&gt;1," ",SUMIF($B$5:$B$423,B238,$J$5:$J$423)))</f>
        <v xml:space="preserve"> </v>
      </c>
      <c r="P238" s="8" t="str">
        <f>IF(IF(COUNTIF($B$5:B238,B238)&gt;1," ",SUMIF($B$5:$B$423,B238,$L$5:$L$423))=0," ",IF(COUNTIF($B$5:B238,B238)&gt;1," ",SUMIF($B$5:$B$423,B238,$L$5:$L$423)))</f>
        <v xml:space="preserve"> </v>
      </c>
      <c r="Q238" s="8" t="str">
        <f t="shared" si="35"/>
        <v xml:space="preserve"> </v>
      </c>
      <c r="R238" s="8" t="str">
        <f t="shared" si="34"/>
        <v xml:space="preserve"> </v>
      </c>
      <c r="S238" s="48" t="str">
        <f t="shared" si="32"/>
        <v xml:space="preserve"> </v>
      </c>
      <c r="T238" s="14" t="str">
        <f>IF(F238&gt;0,IFERROR(VLOOKUP($F238,[1]Sheet1!$C$3:$L$3445,10,0),"EOSS"),"")</f>
        <v/>
      </c>
    </row>
    <row r="239" spans="1:20" x14ac:dyDescent="0.3">
      <c r="A239" s="1"/>
      <c r="B239" s="2"/>
      <c r="C239" s="5" t="str">
        <f t="shared" si="28"/>
        <v xml:space="preserve"> </v>
      </c>
      <c r="D239" s="2"/>
      <c r="E239" s="3"/>
      <c r="F239" s="4"/>
      <c r="G239" s="5"/>
      <c r="H239" s="5"/>
      <c r="I239" s="5" t="str">
        <f t="shared" si="29"/>
        <v xml:space="preserve"> </v>
      </c>
      <c r="J239" s="33"/>
      <c r="K239" s="5" t="str">
        <f t="shared" si="30"/>
        <v xml:space="preserve"> </v>
      </c>
      <c r="L239" s="3" t="str">
        <f t="shared" si="31"/>
        <v xml:space="preserve"> </v>
      </c>
      <c r="M239" s="3" t="str">
        <f>IF(E239&gt;0,IFERROR(VLOOKUP($E239,'[2]Table 1'!$B$2:$I$147,8,0),"0.00")," ")</f>
        <v xml:space="preserve"> </v>
      </c>
      <c r="N239" s="6" t="str">
        <f t="shared" si="33"/>
        <v xml:space="preserve"> </v>
      </c>
      <c r="O239" s="7" t="str">
        <f>IF(IF(COUNTIF($B$5:B239,B239)&gt;1," ",SUMIF($B$5:$B$423,B239,$J$5:$J$423))=0," ",IF(COUNTIF($B$5:B239,B239)&gt;1," ",SUMIF($B$5:$B$423,B239,$J$5:$J$423)))</f>
        <v xml:space="preserve"> </v>
      </c>
      <c r="P239" s="8" t="str">
        <f>IF(IF(COUNTIF($B$5:B239,B239)&gt;1," ",SUMIF($B$5:$B$423,B239,$L$5:$L$423))=0," ",IF(COUNTIF($B$5:B239,B239)&gt;1," ",SUMIF($B$5:$B$423,B239,$L$5:$L$423)))</f>
        <v xml:space="preserve"> </v>
      </c>
      <c r="Q239" s="8" t="str">
        <f t="shared" si="35"/>
        <v xml:space="preserve"> </v>
      </c>
      <c r="R239" s="8" t="str">
        <f t="shared" si="34"/>
        <v xml:space="preserve"> </v>
      </c>
      <c r="S239" s="48" t="str">
        <f t="shared" si="32"/>
        <v xml:space="preserve"> </v>
      </c>
      <c r="T239" s="14" t="str">
        <f>IF(F239&gt;0,IFERROR(VLOOKUP($F239,[1]Sheet1!$C$3:$L$3445,10,0),"EOSS"),"")</f>
        <v/>
      </c>
    </row>
    <row r="240" spans="1:20" x14ac:dyDescent="0.3">
      <c r="A240" s="1"/>
      <c r="B240" s="2"/>
      <c r="C240" s="5" t="str">
        <f t="shared" si="28"/>
        <v xml:space="preserve"> </v>
      </c>
      <c r="D240" s="2"/>
      <c r="E240" s="3"/>
      <c r="F240" s="4"/>
      <c r="G240" s="5"/>
      <c r="H240" s="5"/>
      <c r="I240" s="5" t="str">
        <f t="shared" si="29"/>
        <v xml:space="preserve"> </v>
      </c>
      <c r="J240" s="33"/>
      <c r="K240" s="5" t="str">
        <f t="shared" si="30"/>
        <v xml:space="preserve"> </v>
      </c>
      <c r="L240" s="3" t="str">
        <f t="shared" si="31"/>
        <v xml:space="preserve"> </v>
      </c>
      <c r="M240" s="3" t="str">
        <f>IF(E240&gt;0,IFERROR(VLOOKUP($E240,'[2]Table 1'!$B$2:$I$147,8,0),"0.00")," ")</f>
        <v xml:space="preserve"> </v>
      </c>
      <c r="N240" s="6" t="str">
        <f t="shared" si="33"/>
        <v xml:space="preserve"> </v>
      </c>
      <c r="O240" s="7" t="str">
        <f>IF(IF(COUNTIF($B$5:B240,B240)&gt;1," ",SUMIF($B$5:$B$423,B240,$J$5:$J$423))=0," ",IF(COUNTIF($B$5:B240,B240)&gt;1," ",SUMIF($B$5:$B$423,B240,$J$5:$J$423)))</f>
        <v xml:space="preserve"> </v>
      </c>
      <c r="P240" s="8" t="str">
        <f>IF(IF(COUNTIF($B$5:B240,B240)&gt;1," ",SUMIF($B$5:$B$423,B240,$L$5:$L$423))=0," ",IF(COUNTIF($B$5:B240,B240)&gt;1," ",SUMIF($B$5:$B$423,B240,$L$5:$L$423)))</f>
        <v xml:space="preserve"> </v>
      </c>
      <c r="Q240" s="8" t="str">
        <f t="shared" si="35"/>
        <v xml:space="preserve"> </v>
      </c>
      <c r="R240" s="8" t="str">
        <f t="shared" si="34"/>
        <v xml:space="preserve"> </v>
      </c>
      <c r="S240" s="48" t="str">
        <f t="shared" si="32"/>
        <v xml:space="preserve"> </v>
      </c>
      <c r="T240" s="14" t="str">
        <f>IF(F240&gt;0,IFERROR(VLOOKUP($F240,[1]Sheet1!$C$3:$L$3445,10,0),"EOSS"),"")</f>
        <v/>
      </c>
    </row>
    <row r="241" spans="1:20" x14ac:dyDescent="0.3">
      <c r="A241" s="1"/>
      <c r="B241" s="2"/>
      <c r="C241" s="5" t="str">
        <f t="shared" si="28"/>
        <v xml:space="preserve"> </v>
      </c>
      <c r="D241" s="2"/>
      <c r="E241" s="3"/>
      <c r="F241" s="4"/>
      <c r="G241" s="5"/>
      <c r="H241" s="5"/>
      <c r="I241" s="5" t="str">
        <f t="shared" si="29"/>
        <v xml:space="preserve"> </v>
      </c>
      <c r="J241" s="33"/>
      <c r="K241" s="5" t="str">
        <f t="shared" si="30"/>
        <v xml:space="preserve"> </v>
      </c>
      <c r="L241" s="3" t="str">
        <f t="shared" si="31"/>
        <v xml:space="preserve"> </v>
      </c>
      <c r="M241" s="3" t="str">
        <f>IF(E241&gt;0,IFERROR(VLOOKUP($E241,'[2]Table 1'!$B$2:$I$147,8,0),"0.00")," ")</f>
        <v xml:space="preserve"> </v>
      </c>
      <c r="N241" s="6" t="str">
        <f t="shared" si="33"/>
        <v xml:space="preserve"> </v>
      </c>
      <c r="O241" s="7" t="str">
        <f>IF(IF(COUNTIF($B$5:B241,B241)&gt;1," ",SUMIF($B$5:$B$423,B241,$J$5:$J$423))=0," ",IF(COUNTIF($B$5:B241,B241)&gt;1," ",SUMIF($B$5:$B$423,B241,$J$5:$J$423)))</f>
        <v xml:space="preserve"> </v>
      </c>
      <c r="P241" s="8" t="str">
        <f>IF(IF(COUNTIF($B$5:B241,B241)&gt;1," ",SUMIF($B$5:$B$423,B241,$L$5:$L$423))=0," ",IF(COUNTIF($B$5:B241,B241)&gt;1," ",SUMIF($B$5:$B$423,B241,$L$5:$L$423)))</f>
        <v xml:space="preserve"> </v>
      </c>
      <c r="Q241" s="8" t="str">
        <f t="shared" si="35"/>
        <v xml:space="preserve"> </v>
      </c>
      <c r="R241" s="8" t="str">
        <f t="shared" si="34"/>
        <v xml:space="preserve"> </v>
      </c>
      <c r="S241" s="48" t="str">
        <f t="shared" si="32"/>
        <v xml:space="preserve"> </v>
      </c>
      <c r="T241" s="14" t="str">
        <f>IF(F241&gt;0,IFERROR(VLOOKUP($F241,[1]Sheet1!$C$3:$L$3445,10,0),"EOSS"),"")</f>
        <v/>
      </c>
    </row>
    <row r="242" spans="1:20" x14ac:dyDescent="0.3">
      <c r="A242" s="1"/>
      <c r="B242" s="2"/>
      <c r="C242" s="5" t="str">
        <f t="shared" si="28"/>
        <v xml:space="preserve"> </v>
      </c>
      <c r="D242" s="2"/>
      <c r="E242" s="3"/>
      <c r="F242" s="4"/>
      <c r="G242" s="5"/>
      <c r="H242" s="5"/>
      <c r="I242" s="5" t="str">
        <f t="shared" si="29"/>
        <v xml:space="preserve"> </v>
      </c>
      <c r="J242" s="33"/>
      <c r="K242" s="5" t="str">
        <f t="shared" si="30"/>
        <v xml:space="preserve"> </v>
      </c>
      <c r="L242" s="3" t="str">
        <f t="shared" si="31"/>
        <v xml:space="preserve"> </v>
      </c>
      <c r="M242" s="3" t="str">
        <f>IF(E242&gt;0,IFERROR(VLOOKUP($E242,'[2]Table 1'!$B$2:$I$147,8,0),"0.00")," ")</f>
        <v xml:space="preserve"> </v>
      </c>
      <c r="N242" s="6" t="str">
        <f t="shared" si="33"/>
        <v xml:space="preserve"> </v>
      </c>
      <c r="O242" s="7" t="str">
        <f>IF(IF(COUNTIF($B$5:B242,B242)&gt;1," ",SUMIF($B$5:$B$423,B242,$J$5:$J$423))=0," ",IF(COUNTIF($B$5:B242,B242)&gt;1," ",SUMIF($B$5:$B$423,B242,$J$5:$J$423)))</f>
        <v xml:space="preserve"> </v>
      </c>
      <c r="P242" s="8" t="str">
        <f>IF(IF(COUNTIF($B$5:B242,B242)&gt;1," ",SUMIF($B$5:$B$423,B242,$L$5:$L$423))=0," ",IF(COUNTIF($B$5:B242,B242)&gt;1," ",SUMIF($B$5:$B$423,B242,$L$5:$L$423)))</f>
        <v xml:space="preserve"> </v>
      </c>
      <c r="Q242" s="8" t="str">
        <f t="shared" si="35"/>
        <v xml:space="preserve"> </v>
      </c>
      <c r="R242" s="8" t="str">
        <f t="shared" si="34"/>
        <v xml:space="preserve"> </v>
      </c>
      <c r="S242" s="48" t="str">
        <f t="shared" si="32"/>
        <v xml:space="preserve"> </v>
      </c>
      <c r="T242" s="14" t="str">
        <f>IF(F242&gt;0,IFERROR(VLOOKUP($F242,[1]Sheet1!$C$3:$L$3445,10,0),"EOSS"),"")</f>
        <v/>
      </c>
    </row>
    <row r="243" spans="1:20" x14ac:dyDescent="0.3">
      <c r="A243" s="1"/>
      <c r="B243" s="2"/>
      <c r="C243" s="5" t="str">
        <f t="shared" si="28"/>
        <v xml:space="preserve"> </v>
      </c>
      <c r="D243" s="2"/>
      <c r="E243" s="3"/>
      <c r="F243" s="4"/>
      <c r="G243" s="5"/>
      <c r="H243" s="5"/>
      <c r="I243" s="5" t="str">
        <f t="shared" si="29"/>
        <v xml:space="preserve"> </v>
      </c>
      <c r="J243" s="33"/>
      <c r="K243" s="5" t="str">
        <f t="shared" si="30"/>
        <v xml:space="preserve"> </v>
      </c>
      <c r="L243" s="3" t="str">
        <f t="shared" si="31"/>
        <v xml:space="preserve"> </v>
      </c>
      <c r="M243" s="3" t="str">
        <f>IF(E243&gt;0,IFERROR(VLOOKUP($E243,'[2]Table 1'!$B$2:$I$147,8,0),"0.00")," ")</f>
        <v xml:space="preserve"> </v>
      </c>
      <c r="N243" s="6" t="str">
        <f t="shared" si="33"/>
        <v xml:space="preserve"> </v>
      </c>
      <c r="O243" s="7" t="str">
        <f>IF(IF(COUNTIF($B$5:B243,B243)&gt;1," ",SUMIF($B$5:$B$423,B243,$J$5:$J$423))=0," ",IF(COUNTIF($B$5:B243,B243)&gt;1," ",SUMIF($B$5:$B$423,B243,$J$5:$J$423)))</f>
        <v xml:space="preserve"> </v>
      </c>
      <c r="P243" s="8" t="str">
        <f>IF(IF(COUNTIF($B$5:B243,B243)&gt;1," ",SUMIF($B$5:$B$423,B243,$L$5:$L$423))=0," ",IF(COUNTIF($B$5:B243,B243)&gt;1," ",SUMIF($B$5:$B$423,B243,$L$5:$L$423)))</f>
        <v xml:space="preserve"> </v>
      </c>
      <c r="Q243" s="8" t="str">
        <f t="shared" si="35"/>
        <v xml:space="preserve"> </v>
      </c>
      <c r="R243" s="8" t="str">
        <f t="shared" si="34"/>
        <v xml:space="preserve"> </v>
      </c>
      <c r="S243" s="48" t="str">
        <f t="shared" si="32"/>
        <v xml:space="preserve"> </v>
      </c>
      <c r="T243" s="14" t="str">
        <f>IF(F243&gt;0,IFERROR(VLOOKUP($F243,[1]Sheet1!$C$3:$L$3445,10,0),"EOSS"),"")</f>
        <v/>
      </c>
    </row>
    <row r="244" spans="1:20" x14ac:dyDescent="0.3">
      <c r="A244" s="1"/>
      <c r="B244" s="2"/>
      <c r="C244" s="5" t="str">
        <f t="shared" si="28"/>
        <v xml:space="preserve"> </v>
      </c>
      <c r="D244" s="2"/>
      <c r="E244" s="3"/>
      <c r="F244" s="4"/>
      <c r="G244" s="5"/>
      <c r="H244" s="5"/>
      <c r="I244" s="5" t="str">
        <f t="shared" si="29"/>
        <v xml:space="preserve"> </v>
      </c>
      <c r="J244" s="33"/>
      <c r="K244" s="5" t="str">
        <f t="shared" si="30"/>
        <v xml:space="preserve"> </v>
      </c>
      <c r="L244" s="3" t="str">
        <f t="shared" si="31"/>
        <v xml:space="preserve"> </v>
      </c>
      <c r="M244" s="3" t="str">
        <f>IF(E244&gt;0,IFERROR(VLOOKUP($E244,'[2]Table 1'!$B$2:$I$147,8,0),"0.00")," ")</f>
        <v xml:space="preserve"> </v>
      </c>
      <c r="N244" s="6" t="str">
        <f t="shared" si="33"/>
        <v xml:space="preserve"> </v>
      </c>
      <c r="O244" s="7" t="str">
        <f>IF(IF(COUNTIF($B$5:B244,B244)&gt;1," ",SUMIF($B$5:$B$423,B244,$J$5:$J$423))=0," ",IF(COUNTIF($B$5:B244,B244)&gt;1," ",SUMIF($B$5:$B$423,B244,$J$5:$J$423)))</f>
        <v xml:space="preserve"> </v>
      </c>
      <c r="P244" s="8" t="str">
        <f>IF(IF(COUNTIF($B$5:B244,B244)&gt;1," ",SUMIF($B$5:$B$423,B244,$L$5:$L$423))=0," ",IF(COUNTIF($B$5:B244,B244)&gt;1," ",SUMIF($B$5:$B$423,B244,$L$5:$L$423)))</f>
        <v xml:space="preserve"> </v>
      </c>
      <c r="Q244" s="8" t="str">
        <f t="shared" si="35"/>
        <v xml:space="preserve"> </v>
      </c>
      <c r="R244" s="8" t="str">
        <f t="shared" si="34"/>
        <v xml:space="preserve"> </v>
      </c>
      <c r="S244" s="48" t="str">
        <f t="shared" si="32"/>
        <v xml:space="preserve"> </v>
      </c>
      <c r="T244" s="14" t="str">
        <f>IF(F244&gt;0,IFERROR(VLOOKUP($F244,[1]Sheet1!$C$3:$L$3445,10,0),"EOSS"),"")</f>
        <v/>
      </c>
    </row>
    <row r="245" spans="1:20" x14ac:dyDescent="0.3">
      <c r="A245" s="1"/>
      <c r="B245" s="2"/>
      <c r="C245" s="5" t="str">
        <f t="shared" si="28"/>
        <v xml:space="preserve"> </v>
      </c>
      <c r="D245" s="2"/>
      <c r="E245" s="3"/>
      <c r="F245" s="4"/>
      <c r="G245" s="5"/>
      <c r="H245" s="5"/>
      <c r="I245" s="5" t="str">
        <f t="shared" si="29"/>
        <v xml:space="preserve"> </v>
      </c>
      <c r="J245" s="33"/>
      <c r="K245" s="5" t="str">
        <f t="shared" si="30"/>
        <v xml:space="preserve"> </v>
      </c>
      <c r="L245" s="3" t="str">
        <f t="shared" si="31"/>
        <v xml:space="preserve"> </v>
      </c>
      <c r="M245" s="3" t="str">
        <f>IF(E245&gt;0,IFERROR(VLOOKUP($E245,'[2]Table 1'!$B$2:$I$147,8,0),"0.00")," ")</f>
        <v xml:space="preserve"> </v>
      </c>
      <c r="N245" s="6" t="str">
        <f t="shared" si="33"/>
        <v xml:space="preserve"> </v>
      </c>
      <c r="O245" s="7" t="str">
        <f>IF(IF(COUNTIF($B$5:B245,B245)&gt;1," ",SUMIF($B$5:$B$423,B245,$J$5:$J$423))=0," ",IF(COUNTIF($B$5:B245,B245)&gt;1," ",SUMIF($B$5:$B$423,B245,$J$5:$J$423)))</f>
        <v xml:space="preserve"> </v>
      </c>
      <c r="P245" s="8" t="str">
        <f>IF(IF(COUNTIF($B$5:B245,B245)&gt;1," ",SUMIF($B$5:$B$423,B245,$L$5:$L$423))=0," ",IF(COUNTIF($B$5:B245,B245)&gt;1," ",SUMIF($B$5:$B$423,B245,$L$5:$L$423)))</f>
        <v xml:space="preserve"> </v>
      </c>
      <c r="Q245" s="8" t="str">
        <f t="shared" si="35"/>
        <v xml:space="preserve"> </v>
      </c>
      <c r="R245" s="8" t="str">
        <f t="shared" si="34"/>
        <v xml:space="preserve"> </v>
      </c>
      <c r="S245" s="48" t="str">
        <f t="shared" si="32"/>
        <v xml:space="preserve"> </v>
      </c>
      <c r="T245" s="14" t="str">
        <f>IF(F245&gt;0,IFERROR(VLOOKUP($F245,[1]Sheet1!$C$3:$L$3445,10,0),"EOSS"),"")</f>
        <v/>
      </c>
    </row>
    <row r="246" spans="1:20" x14ac:dyDescent="0.3">
      <c r="A246" s="1"/>
      <c r="B246" s="2"/>
      <c r="C246" s="5" t="str">
        <f t="shared" si="28"/>
        <v xml:space="preserve"> </v>
      </c>
      <c r="D246" s="2"/>
      <c r="E246" s="3"/>
      <c r="F246" s="4"/>
      <c r="G246" s="5"/>
      <c r="H246" s="5"/>
      <c r="I246" s="5" t="str">
        <f t="shared" si="29"/>
        <v xml:space="preserve"> </v>
      </c>
      <c r="J246" s="33"/>
      <c r="K246" s="5" t="str">
        <f t="shared" si="30"/>
        <v xml:space="preserve"> </v>
      </c>
      <c r="L246" s="3" t="str">
        <f t="shared" si="31"/>
        <v xml:space="preserve"> </v>
      </c>
      <c r="M246" s="3" t="str">
        <f>IF(E246&gt;0,IFERROR(VLOOKUP($E246,'[2]Table 1'!$B$2:$I$147,8,0),"0.00")," ")</f>
        <v xml:space="preserve"> </v>
      </c>
      <c r="N246" s="6" t="str">
        <f t="shared" si="33"/>
        <v xml:space="preserve"> </v>
      </c>
      <c r="O246" s="7" t="str">
        <f>IF(IF(COUNTIF($B$5:B246,B246)&gt;1," ",SUMIF($B$5:$B$423,B246,$J$5:$J$423))=0," ",IF(COUNTIF($B$5:B246,B246)&gt;1," ",SUMIF($B$5:$B$423,B246,$J$5:$J$423)))</f>
        <v xml:space="preserve"> </v>
      </c>
      <c r="P246" s="8" t="str">
        <f>IF(IF(COUNTIF($B$5:B246,B246)&gt;1," ",SUMIF($B$5:$B$423,B246,$L$5:$L$423))=0," ",IF(COUNTIF($B$5:B246,B246)&gt;1," ",SUMIF($B$5:$B$423,B246,$L$5:$L$423)))</f>
        <v xml:space="preserve"> </v>
      </c>
      <c r="Q246" s="8" t="str">
        <f t="shared" si="35"/>
        <v xml:space="preserve"> </v>
      </c>
      <c r="R246" s="8" t="str">
        <f t="shared" si="34"/>
        <v xml:space="preserve"> </v>
      </c>
      <c r="S246" s="48" t="str">
        <f t="shared" si="32"/>
        <v xml:space="preserve"> </v>
      </c>
      <c r="T246" s="14" t="str">
        <f>IF(F246&gt;0,IFERROR(VLOOKUP($F246,[1]Sheet1!$C$3:$L$3445,10,0),"EOSS"),"")</f>
        <v/>
      </c>
    </row>
    <row r="247" spans="1:20" x14ac:dyDescent="0.3">
      <c r="A247" s="1"/>
      <c r="B247" s="2"/>
      <c r="C247" s="5" t="str">
        <f t="shared" si="28"/>
        <v xml:space="preserve"> </v>
      </c>
      <c r="D247" s="2"/>
      <c r="E247" s="3"/>
      <c r="F247" s="4"/>
      <c r="G247" s="5"/>
      <c r="H247" s="5"/>
      <c r="I247" s="5" t="str">
        <f t="shared" si="29"/>
        <v xml:space="preserve"> </v>
      </c>
      <c r="J247" s="33"/>
      <c r="K247" s="5" t="str">
        <f t="shared" si="30"/>
        <v xml:space="preserve"> </v>
      </c>
      <c r="L247" s="3" t="str">
        <f t="shared" si="31"/>
        <v xml:space="preserve"> </v>
      </c>
      <c r="M247" s="3" t="str">
        <f>IF(E247&gt;0,IFERROR(VLOOKUP($E247,'[2]Table 1'!$B$2:$I$147,8,0),"0.00")," ")</f>
        <v xml:space="preserve"> </v>
      </c>
      <c r="N247" s="6" t="str">
        <f t="shared" si="33"/>
        <v xml:space="preserve"> </v>
      </c>
      <c r="O247" s="7" t="str">
        <f>IF(IF(COUNTIF($B$5:B247,B247)&gt;1," ",SUMIF($B$5:$B$423,B247,$J$5:$J$423))=0," ",IF(COUNTIF($B$5:B247,B247)&gt;1," ",SUMIF($B$5:$B$423,B247,$J$5:$J$423)))</f>
        <v xml:space="preserve"> </v>
      </c>
      <c r="P247" s="8" t="str">
        <f>IF(IF(COUNTIF($B$5:B247,B247)&gt;1," ",SUMIF($B$5:$B$423,B247,$L$5:$L$423))=0," ",IF(COUNTIF($B$5:B247,B247)&gt;1," ",SUMIF($B$5:$B$423,B247,$L$5:$L$423)))</f>
        <v xml:space="preserve"> </v>
      </c>
      <c r="Q247" s="8" t="str">
        <f t="shared" si="35"/>
        <v xml:space="preserve"> </v>
      </c>
      <c r="R247" s="8" t="str">
        <f t="shared" si="34"/>
        <v xml:space="preserve"> </v>
      </c>
      <c r="S247" s="48" t="str">
        <f t="shared" si="32"/>
        <v xml:space="preserve"> </v>
      </c>
      <c r="T247" s="14" t="str">
        <f>IF(F247&gt;0,IFERROR(VLOOKUP($F247,[1]Sheet1!$C$3:$L$3445,10,0),"EOSS"),"")</f>
        <v/>
      </c>
    </row>
    <row r="248" spans="1:20" x14ac:dyDescent="0.3">
      <c r="A248" s="1"/>
      <c r="B248" s="2"/>
      <c r="C248" s="5" t="str">
        <f t="shared" si="28"/>
        <v xml:space="preserve"> </v>
      </c>
      <c r="D248" s="2"/>
      <c r="E248" s="3"/>
      <c r="F248" s="4"/>
      <c r="G248" s="5"/>
      <c r="H248" s="5"/>
      <c r="I248" s="5" t="str">
        <f t="shared" si="29"/>
        <v xml:space="preserve"> </v>
      </c>
      <c r="J248" s="33"/>
      <c r="K248" s="5" t="str">
        <f t="shared" si="30"/>
        <v xml:space="preserve"> </v>
      </c>
      <c r="L248" s="3" t="str">
        <f t="shared" si="31"/>
        <v xml:space="preserve"> </v>
      </c>
      <c r="M248" s="3" t="str">
        <f>IF(E248&gt;0,IFERROR(VLOOKUP($E248,'[2]Table 1'!$B$2:$I$147,8,0),"0.00")," ")</f>
        <v xml:space="preserve"> </v>
      </c>
      <c r="N248" s="6" t="str">
        <f t="shared" si="33"/>
        <v xml:space="preserve"> </v>
      </c>
      <c r="O248" s="7" t="str">
        <f>IF(IF(COUNTIF($B$5:B248,B248)&gt;1," ",SUMIF($B$5:$B$423,B248,$J$5:$J$423))=0," ",IF(COUNTIF($B$5:B248,B248)&gt;1," ",SUMIF($B$5:$B$423,B248,$J$5:$J$423)))</f>
        <v xml:space="preserve"> </v>
      </c>
      <c r="P248" s="8" t="str">
        <f>IF(IF(COUNTIF($B$5:B248,B248)&gt;1," ",SUMIF($B$5:$B$423,B248,$L$5:$L$423))=0," ",IF(COUNTIF($B$5:B248,B248)&gt;1," ",SUMIF($B$5:$B$423,B248,$L$5:$L$423)))</f>
        <v xml:space="preserve"> </v>
      </c>
      <c r="Q248" s="8" t="str">
        <f t="shared" si="35"/>
        <v xml:space="preserve"> </v>
      </c>
      <c r="R248" s="8" t="str">
        <f t="shared" si="34"/>
        <v xml:space="preserve"> </v>
      </c>
      <c r="S248" s="48" t="str">
        <f t="shared" si="32"/>
        <v xml:space="preserve"> </v>
      </c>
      <c r="T248" s="14" t="str">
        <f>IF(F248&gt;0,IFERROR(VLOOKUP($F248,[1]Sheet1!$C$3:$L$3445,10,0),"EOSS"),"")</f>
        <v/>
      </c>
    </row>
    <row r="249" spans="1:20" x14ac:dyDescent="0.3">
      <c r="A249" s="1"/>
      <c r="B249" s="2"/>
      <c r="C249" s="5" t="str">
        <f t="shared" si="28"/>
        <v xml:space="preserve"> </v>
      </c>
      <c r="D249" s="2"/>
      <c r="E249" s="3"/>
      <c r="F249" s="4"/>
      <c r="G249" s="5"/>
      <c r="H249" s="5"/>
      <c r="I249" s="5" t="str">
        <f t="shared" si="29"/>
        <v xml:space="preserve"> </v>
      </c>
      <c r="J249" s="33"/>
      <c r="K249" s="5" t="str">
        <f t="shared" si="30"/>
        <v xml:space="preserve"> </v>
      </c>
      <c r="L249" s="3" t="str">
        <f t="shared" si="31"/>
        <v xml:space="preserve"> </v>
      </c>
      <c r="M249" s="3" t="str">
        <f>IF(E249&gt;0,IFERROR(VLOOKUP($E249,'[2]Table 1'!$B$2:$I$147,8,0),"0.00")," ")</f>
        <v xml:space="preserve"> </v>
      </c>
      <c r="N249" s="6" t="str">
        <f t="shared" si="33"/>
        <v xml:space="preserve"> </v>
      </c>
      <c r="O249" s="7" t="str">
        <f>IF(IF(COUNTIF($B$5:B249,B249)&gt;1," ",SUMIF($B$5:$B$423,B249,$J$5:$J$423))=0," ",IF(COUNTIF($B$5:B249,B249)&gt;1," ",SUMIF($B$5:$B$423,B249,$J$5:$J$423)))</f>
        <v xml:space="preserve"> </v>
      </c>
      <c r="P249" s="8" t="str">
        <f>IF(IF(COUNTIF($B$5:B249,B249)&gt;1," ",SUMIF($B$5:$B$423,B249,$L$5:$L$423))=0," ",IF(COUNTIF($B$5:B249,B249)&gt;1," ",SUMIF($B$5:$B$423,B249,$L$5:$L$423)))</f>
        <v xml:space="preserve"> </v>
      </c>
      <c r="Q249" s="8" t="str">
        <f t="shared" si="35"/>
        <v xml:space="preserve"> </v>
      </c>
      <c r="R249" s="8" t="str">
        <f t="shared" si="34"/>
        <v xml:space="preserve"> </v>
      </c>
      <c r="S249" s="48" t="str">
        <f t="shared" si="32"/>
        <v xml:space="preserve"> </v>
      </c>
      <c r="T249" s="14" t="str">
        <f>IF(F249&gt;0,IFERROR(VLOOKUP($F249,[1]Sheet1!$C$3:$L$3445,10,0),"EOSS"),"")</f>
        <v/>
      </c>
    </row>
    <row r="250" spans="1:20" x14ac:dyDescent="0.3">
      <c r="A250" s="1"/>
      <c r="B250" s="2"/>
      <c r="C250" s="5" t="str">
        <f t="shared" si="28"/>
        <v xml:space="preserve"> </v>
      </c>
      <c r="D250" s="2"/>
      <c r="E250" s="3"/>
      <c r="F250" s="4"/>
      <c r="G250" s="5"/>
      <c r="H250" s="5"/>
      <c r="I250" s="5" t="str">
        <f t="shared" si="29"/>
        <v xml:space="preserve"> </v>
      </c>
      <c r="J250" s="33"/>
      <c r="K250" s="5" t="str">
        <f t="shared" si="30"/>
        <v xml:space="preserve"> </v>
      </c>
      <c r="L250" s="3" t="str">
        <f t="shared" si="31"/>
        <v xml:space="preserve"> </v>
      </c>
      <c r="M250" s="3" t="str">
        <f>IF(E250&gt;0,IFERROR(VLOOKUP($E250,'[2]Table 1'!$B$2:$I$147,8,0),"0.00")," ")</f>
        <v xml:space="preserve"> </v>
      </c>
      <c r="N250" s="6" t="str">
        <f t="shared" si="33"/>
        <v xml:space="preserve"> </v>
      </c>
      <c r="O250" s="7" t="str">
        <f>IF(IF(COUNTIF($B$5:B250,B250)&gt;1," ",SUMIF($B$5:$B$423,B250,$J$5:$J$423))=0," ",IF(COUNTIF($B$5:B250,B250)&gt;1," ",SUMIF($B$5:$B$423,B250,$J$5:$J$423)))</f>
        <v xml:space="preserve"> </v>
      </c>
      <c r="P250" s="8" t="str">
        <f>IF(IF(COUNTIF($B$5:B250,B250)&gt;1," ",SUMIF($B$5:$B$423,B250,$L$5:$L$423))=0," ",IF(COUNTIF($B$5:B250,B250)&gt;1," ",SUMIF($B$5:$B$423,B250,$L$5:$L$423)))</f>
        <v xml:space="preserve"> </v>
      </c>
      <c r="Q250" s="8" t="str">
        <f t="shared" si="35"/>
        <v xml:space="preserve"> </v>
      </c>
      <c r="R250" s="8" t="str">
        <f t="shared" si="34"/>
        <v xml:space="preserve"> </v>
      </c>
      <c r="S250" s="48" t="str">
        <f t="shared" si="32"/>
        <v xml:space="preserve"> </v>
      </c>
      <c r="T250" s="14" t="str">
        <f>IF(F250&gt;0,IFERROR(VLOOKUP($F250,[1]Sheet1!$C$3:$L$3445,10,0),"EOSS"),"")</f>
        <v/>
      </c>
    </row>
    <row r="251" spans="1:20" x14ac:dyDescent="0.3">
      <c r="A251" s="1"/>
      <c r="B251" s="2"/>
      <c r="C251" s="5" t="str">
        <f t="shared" si="28"/>
        <v xml:space="preserve"> </v>
      </c>
      <c r="D251" s="2"/>
      <c r="E251" s="3"/>
      <c r="F251" s="4"/>
      <c r="G251" s="5"/>
      <c r="H251" s="5"/>
      <c r="I251" s="5" t="str">
        <f t="shared" si="29"/>
        <v xml:space="preserve"> </v>
      </c>
      <c r="J251" s="33"/>
      <c r="K251" s="5" t="str">
        <f t="shared" si="30"/>
        <v xml:space="preserve"> </v>
      </c>
      <c r="L251" s="3" t="str">
        <f t="shared" si="31"/>
        <v xml:space="preserve"> </v>
      </c>
      <c r="M251" s="3" t="str">
        <f>IF(E251&gt;0,IFERROR(VLOOKUP($E251,'[2]Table 1'!$B$2:$I$147,8,0),"0.00")," ")</f>
        <v xml:space="preserve"> </v>
      </c>
      <c r="N251" s="6" t="str">
        <f t="shared" si="33"/>
        <v xml:space="preserve"> </v>
      </c>
      <c r="O251" s="7" t="str">
        <f>IF(IF(COUNTIF($B$5:B251,B251)&gt;1," ",SUMIF($B$5:$B$423,B251,$J$5:$J$423))=0," ",IF(COUNTIF($B$5:B251,B251)&gt;1," ",SUMIF($B$5:$B$423,B251,$J$5:$J$423)))</f>
        <v xml:space="preserve"> </v>
      </c>
      <c r="P251" s="8" t="str">
        <f>IF(IF(COUNTIF($B$5:B251,B251)&gt;1," ",SUMIF($B$5:$B$423,B251,$L$5:$L$423))=0," ",IF(COUNTIF($B$5:B251,B251)&gt;1," ",SUMIF($B$5:$B$423,B251,$L$5:$L$423)))</f>
        <v xml:space="preserve"> </v>
      </c>
      <c r="Q251" s="8" t="str">
        <f t="shared" si="35"/>
        <v xml:space="preserve"> </v>
      </c>
      <c r="R251" s="8" t="str">
        <f t="shared" si="34"/>
        <v xml:space="preserve"> </v>
      </c>
      <c r="S251" s="48" t="str">
        <f t="shared" si="32"/>
        <v xml:space="preserve"> </v>
      </c>
      <c r="T251" s="14" t="str">
        <f>IF(F251&gt;0,IFERROR(VLOOKUP($F251,[1]Sheet1!$C$3:$L$3445,10,0),"EOSS"),"")</f>
        <v/>
      </c>
    </row>
    <row r="252" spans="1:20" x14ac:dyDescent="0.3">
      <c r="A252" s="1"/>
      <c r="B252" s="2"/>
      <c r="C252" s="5" t="str">
        <f t="shared" si="28"/>
        <v xml:space="preserve"> </v>
      </c>
      <c r="D252" s="2"/>
      <c r="E252" s="3"/>
      <c r="F252" s="4"/>
      <c r="G252" s="5"/>
      <c r="H252" s="5"/>
      <c r="I252" s="5" t="str">
        <f t="shared" si="29"/>
        <v xml:space="preserve"> </v>
      </c>
      <c r="J252" s="33"/>
      <c r="K252" s="5" t="str">
        <f t="shared" si="30"/>
        <v xml:space="preserve"> </v>
      </c>
      <c r="L252" s="3" t="str">
        <f t="shared" si="31"/>
        <v xml:space="preserve"> </v>
      </c>
      <c r="M252" s="3" t="str">
        <f>IF(E252&gt;0,IFERROR(VLOOKUP($E252,'[2]Table 1'!$B$2:$I$147,8,0),"0.00")," ")</f>
        <v xml:space="preserve"> </v>
      </c>
      <c r="N252" s="6" t="str">
        <f t="shared" si="33"/>
        <v xml:space="preserve"> </v>
      </c>
      <c r="O252" s="7" t="str">
        <f>IF(IF(COUNTIF($B$5:B252,B252)&gt;1," ",SUMIF($B$5:$B$423,B252,$J$5:$J$423))=0," ",IF(COUNTIF($B$5:B252,B252)&gt;1," ",SUMIF($B$5:$B$423,B252,$J$5:$J$423)))</f>
        <v xml:space="preserve"> </v>
      </c>
      <c r="P252" s="8" t="str">
        <f>IF(IF(COUNTIF($B$5:B252,B252)&gt;1," ",SUMIF($B$5:$B$423,B252,$L$5:$L$423))=0," ",IF(COUNTIF($B$5:B252,B252)&gt;1," ",SUMIF($B$5:$B$423,B252,$L$5:$L$423)))</f>
        <v xml:space="preserve"> </v>
      </c>
      <c r="Q252" s="8" t="str">
        <f t="shared" si="35"/>
        <v xml:space="preserve"> </v>
      </c>
      <c r="R252" s="8" t="str">
        <f t="shared" si="34"/>
        <v xml:space="preserve"> </v>
      </c>
      <c r="S252" s="48" t="str">
        <f t="shared" si="32"/>
        <v xml:space="preserve"> </v>
      </c>
      <c r="T252" s="14" t="str">
        <f>IF(F252&gt;0,IFERROR(VLOOKUP($F252,[1]Sheet1!$C$3:$L$3445,10,0),"EOSS"),"")</f>
        <v/>
      </c>
    </row>
    <row r="253" spans="1:20" x14ac:dyDescent="0.3">
      <c r="A253" s="1"/>
      <c r="B253" s="2"/>
      <c r="C253" s="5" t="str">
        <f t="shared" si="28"/>
        <v xml:space="preserve"> </v>
      </c>
      <c r="D253" s="2"/>
      <c r="E253" s="3"/>
      <c r="F253" s="4"/>
      <c r="G253" s="5"/>
      <c r="H253" s="5"/>
      <c r="I253" s="5" t="str">
        <f t="shared" si="29"/>
        <v xml:space="preserve"> </v>
      </c>
      <c r="J253" s="33"/>
      <c r="K253" s="5" t="str">
        <f t="shared" si="30"/>
        <v xml:space="preserve"> </v>
      </c>
      <c r="L253" s="3" t="str">
        <f t="shared" si="31"/>
        <v xml:space="preserve"> </v>
      </c>
      <c r="M253" s="3" t="str">
        <f>IF(E253&gt;0,IFERROR(VLOOKUP($E253,'[2]Table 1'!$B$2:$I$147,8,0),"0.00")," ")</f>
        <v xml:space="preserve"> </v>
      </c>
      <c r="N253" s="6" t="str">
        <f t="shared" si="33"/>
        <v xml:space="preserve"> </v>
      </c>
      <c r="O253" s="7" t="str">
        <f>IF(IF(COUNTIF($B$5:B253,B253)&gt;1," ",SUMIF($B$5:$B$423,B253,$J$5:$J$423))=0," ",IF(COUNTIF($B$5:B253,B253)&gt;1," ",SUMIF($B$5:$B$423,B253,$J$5:$J$423)))</f>
        <v xml:space="preserve"> </v>
      </c>
      <c r="P253" s="8" t="str">
        <f>IF(IF(COUNTIF($B$5:B253,B253)&gt;1," ",SUMIF($B$5:$B$423,B253,$L$5:$L$423))=0," ",IF(COUNTIF($B$5:B253,B253)&gt;1," ",SUMIF($B$5:$B$423,B253,$L$5:$L$423)))</f>
        <v xml:space="preserve"> </v>
      </c>
      <c r="Q253" s="8" t="str">
        <f t="shared" si="35"/>
        <v xml:space="preserve"> </v>
      </c>
      <c r="R253" s="8" t="str">
        <f t="shared" si="34"/>
        <v xml:space="preserve"> </v>
      </c>
      <c r="S253" s="48" t="str">
        <f t="shared" si="32"/>
        <v xml:space="preserve"> </v>
      </c>
      <c r="T253" s="14" t="str">
        <f>IF(F253&gt;0,IFERROR(VLOOKUP($F253,[1]Sheet1!$C$3:$L$3445,10,0),"EOSS"),"")</f>
        <v/>
      </c>
    </row>
    <row r="254" spans="1:20" x14ac:dyDescent="0.3">
      <c r="A254" s="1"/>
      <c r="B254" s="2"/>
      <c r="C254" s="5" t="str">
        <f t="shared" si="28"/>
        <v xml:space="preserve"> </v>
      </c>
      <c r="D254" s="2"/>
      <c r="E254" s="3"/>
      <c r="F254" s="4"/>
      <c r="G254" s="5"/>
      <c r="H254" s="5"/>
      <c r="I254" s="5" t="str">
        <f t="shared" si="29"/>
        <v xml:space="preserve"> </v>
      </c>
      <c r="J254" s="33"/>
      <c r="K254" s="5" t="str">
        <f t="shared" si="30"/>
        <v xml:space="preserve"> </v>
      </c>
      <c r="L254" s="3" t="str">
        <f t="shared" si="31"/>
        <v xml:space="preserve"> </v>
      </c>
      <c r="M254" s="3" t="str">
        <f>IF(E254&gt;0,IFERROR(VLOOKUP($E254,'[2]Table 1'!$B$2:$I$147,8,0),"0.00")," ")</f>
        <v xml:space="preserve"> </v>
      </c>
      <c r="N254" s="6" t="str">
        <f t="shared" si="33"/>
        <v xml:space="preserve"> </v>
      </c>
      <c r="O254" s="7" t="str">
        <f>IF(IF(COUNTIF($B$5:B254,B254)&gt;1," ",SUMIF($B$5:$B$423,B254,$J$5:$J$423))=0," ",IF(COUNTIF($B$5:B254,B254)&gt;1," ",SUMIF($B$5:$B$423,B254,$J$5:$J$423)))</f>
        <v xml:space="preserve"> </v>
      </c>
      <c r="P254" s="8" t="str">
        <f>IF(IF(COUNTIF($B$5:B254,B254)&gt;1," ",SUMIF($B$5:$B$423,B254,$L$5:$L$423))=0," ",IF(COUNTIF($B$5:B254,B254)&gt;1," ",SUMIF($B$5:$B$423,B254,$L$5:$L$423)))</f>
        <v xml:space="preserve"> </v>
      </c>
      <c r="Q254" s="8" t="str">
        <f t="shared" si="35"/>
        <v xml:space="preserve"> </v>
      </c>
      <c r="R254" s="8" t="str">
        <f t="shared" si="34"/>
        <v xml:space="preserve"> </v>
      </c>
      <c r="S254" s="48" t="str">
        <f t="shared" si="32"/>
        <v xml:space="preserve"> </v>
      </c>
      <c r="T254" s="14" t="str">
        <f>IF(F254&gt;0,IFERROR(VLOOKUP($F254,[1]Sheet1!$C$3:$L$3445,10,0),"EOSS"),"")</f>
        <v/>
      </c>
    </row>
    <row r="255" spans="1:20" x14ac:dyDescent="0.3">
      <c r="A255" s="1"/>
      <c r="B255" s="2"/>
      <c r="C255" s="5" t="str">
        <f t="shared" si="28"/>
        <v xml:space="preserve"> </v>
      </c>
      <c r="D255" s="2"/>
      <c r="E255" s="3"/>
      <c r="F255" s="4"/>
      <c r="G255" s="5"/>
      <c r="H255" s="5"/>
      <c r="I255" s="5" t="str">
        <f t="shared" si="29"/>
        <v xml:space="preserve"> </v>
      </c>
      <c r="J255" s="33"/>
      <c r="K255" s="5" t="str">
        <f t="shared" si="30"/>
        <v xml:space="preserve"> </v>
      </c>
      <c r="L255" s="3" t="str">
        <f t="shared" si="31"/>
        <v xml:space="preserve"> </v>
      </c>
      <c r="M255" s="3" t="str">
        <f>IF(E255&gt;0,IFERROR(VLOOKUP($E255,'[2]Table 1'!$B$2:$I$147,8,0),"0.00")," ")</f>
        <v xml:space="preserve"> </v>
      </c>
      <c r="N255" s="6" t="str">
        <f t="shared" si="33"/>
        <v xml:space="preserve"> </v>
      </c>
      <c r="O255" s="7" t="str">
        <f>IF(IF(COUNTIF($B$5:B255,B255)&gt;1," ",SUMIF($B$5:$B$423,B255,$J$5:$J$423))=0," ",IF(COUNTIF($B$5:B255,B255)&gt;1," ",SUMIF($B$5:$B$423,B255,$J$5:$J$423)))</f>
        <v xml:space="preserve"> </v>
      </c>
      <c r="P255" s="8" t="str">
        <f>IF(IF(COUNTIF($B$5:B255,B255)&gt;1," ",SUMIF($B$5:$B$423,B255,$L$5:$L$423))=0," ",IF(COUNTIF($B$5:B255,B255)&gt;1," ",SUMIF($B$5:$B$423,B255,$L$5:$L$423)))</f>
        <v xml:space="preserve"> </v>
      </c>
      <c r="Q255" s="8" t="str">
        <f t="shared" si="35"/>
        <v xml:space="preserve"> </v>
      </c>
      <c r="R255" s="8" t="str">
        <f t="shared" si="34"/>
        <v xml:space="preserve"> </v>
      </c>
      <c r="S255" s="48" t="str">
        <f t="shared" si="32"/>
        <v xml:space="preserve"> </v>
      </c>
      <c r="T255" s="14" t="str">
        <f>IF(F255&gt;0,IFERROR(VLOOKUP($F255,[1]Sheet1!$C$3:$L$3445,10,0),"EOSS"),"")</f>
        <v/>
      </c>
    </row>
    <row r="256" spans="1:20" x14ac:dyDescent="0.3">
      <c r="A256" s="1"/>
      <c r="B256" s="2"/>
      <c r="C256" s="5" t="str">
        <f t="shared" si="28"/>
        <v xml:space="preserve"> </v>
      </c>
      <c r="D256" s="2"/>
      <c r="E256" s="3"/>
      <c r="F256" s="4"/>
      <c r="G256" s="5"/>
      <c r="H256" s="5"/>
      <c r="I256" s="5" t="str">
        <f t="shared" si="29"/>
        <v xml:space="preserve"> </v>
      </c>
      <c r="J256" s="33"/>
      <c r="K256" s="5" t="str">
        <f t="shared" si="30"/>
        <v xml:space="preserve"> </v>
      </c>
      <c r="L256" s="3" t="str">
        <f t="shared" si="31"/>
        <v xml:space="preserve"> </v>
      </c>
      <c r="M256" s="3" t="str">
        <f>IF(E256&gt;0,IFERROR(VLOOKUP($E256,'[2]Table 1'!$B$2:$I$147,8,0),"0.00")," ")</f>
        <v xml:space="preserve"> </v>
      </c>
      <c r="N256" s="6" t="str">
        <f t="shared" si="33"/>
        <v xml:space="preserve"> </v>
      </c>
      <c r="O256" s="7" t="str">
        <f>IF(IF(COUNTIF($B$5:B256,B256)&gt;1," ",SUMIF($B$5:$B$423,B256,$J$5:$J$423))=0," ",IF(COUNTIF($B$5:B256,B256)&gt;1," ",SUMIF($B$5:$B$423,B256,$J$5:$J$423)))</f>
        <v xml:space="preserve"> </v>
      </c>
      <c r="P256" s="8" t="str">
        <f>IF(IF(COUNTIF($B$5:B256,B256)&gt;1," ",SUMIF($B$5:$B$423,B256,$L$5:$L$423))=0," ",IF(COUNTIF($B$5:B256,B256)&gt;1," ",SUMIF($B$5:$B$423,B256,$L$5:$L$423)))</f>
        <v xml:space="preserve"> </v>
      </c>
      <c r="Q256" s="8" t="str">
        <f t="shared" si="35"/>
        <v xml:space="preserve"> </v>
      </c>
      <c r="R256" s="8" t="str">
        <f t="shared" si="34"/>
        <v xml:space="preserve"> </v>
      </c>
      <c r="S256" s="48" t="str">
        <f t="shared" si="32"/>
        <v xml:space="preserve"> </v>
      </c>
      <c r="T256" s="14" t="str">
        <f>IF(F256&gt;0,IFERROR(VLOOKUP($F256,[1]Sheet1!$C$3:$L$3445,10,0),"EOSS"),"")</f>
        <v/>
      </c>
    </row>
    <row r="257" spans="1:20" x14ac:dyDescent="0.3">
      <c r="A257" s="1"/>
      <c r="B257" s="2"/>
      <c r="C257" s="5" t="str">
        <f t="shared" si="28"/>
        <v xml:space="preserve"> </v>
      </c>
      <c r="D257" s="2"/>
      <c r="E257" s="3"/>
      <c r="F257" s="4"/>
      <c r="G257" s="5"/>
      <c r="H257" s="5"/>
      <c r="I257" s="5" t="str">
        <f t="shared" si="29"/>
        <v xml:space="preserve"> </v>
      </c>
      <c r="J257" s="33"/>
      <c r="K257" s="5" t="str">
        <f t="shared" si="30"/>
        <v xml:space="preserve"> </v>
      </c>
      <c r="L257" s="3" t="str">
        <f t="shared" si="31"/>
        <v xml:space="preserve"> </v>
      </c>
      <c r="M257" s="3" t="str">
        <f>IF(E257&gt;0,IFERROR(VLOOKUP($E257,'[2]Table 1'!$B$2:$I$147,8,0),"0.00")," ")</f>
        <v xml:space="preserve"> </v>
      </c>
      <c r="N257" s="6" t="str">
        <f t="shared" si="33"/>
        <v xml:space="preserve"> </v>
      </c>
      <c r="O257" s="7" t="str">
        <f>IF(IF(COUNTIF($B$5:B257,B257)&gt;1," ",SUMIF($B$5:$B$423,B257,$J$5:$J$423))=0," ",IF(COUNTIF($B$5:B257,B257)&gt;1," ",SUMIF($B$5:$B$423,B257,$J$5:$J$423)))</f>
        <v xml:space="preserve"> </v>
      </c>
      <c r="P257" s="8" t="str">
        <f>IF(IF(COUNTIF($B$5:B257,B257)&gt;1," ",SUMIF($B$5:$B$423,B257,$L$5:$L$423))=0," ",IF(COUNTIF($B$5:B257,B257)&gt;1," ",SUMIF($B$5:$B$423,B257,$L$5:$L$423)))</f>
        <v xml:space="preserve"> </v>
      </c>
      <c r="Q257" s="8" t="str">
        <f t="shared" si="35"/>
        <v xml:space="preserve"> </v>
      </c>
      <c r="R257" s="8" t="str">
        <f t="shared" si="34"/>
        <v xml:space="preserve"> </v>
      </c>
      <c r="S257" s="48" t="str">
        <f t="shared" si="32"/>
        <v xml:space="preserve"> </v>
      </c>
      <c r="T257" s="14" t="str">
        <f>IF(F257&gt;0,IFERROR(VLOOKUP($F257,[1]Sheet1!$C$3:$L$3445,10,0),"EOSS"),"")</f>
        <v/>
      </c>
    </row>
    <row r="258" spans="1:20" x14ac:dyDescent="0.3">
      <c r="A258" s="1"/>
      <c r="B258" s="2"/>
      <c r="C258" s="5" t="str">
        <f t="shared" si="28"/>
        <v xml:space="preserve"> </v>
      </c>
      <c r="D258" s="2"/>
      <c r="E258" s="3"/>
      <c r="F258" s="4"/>
      <c r="G258" s="5"/>
      <c r="H258" s="5"/>
      <c r="I258" s="5" t="str">
        <f t="shared" si="29"/>
        <v xml:space="preserve"> </v>
      </c>
      <c r="J258" s="33"/>
      <c r="K258" s="5" t="str">
        <f t="shared" si="30"/>
        <v xml:space="preserve"> </v>
      </c>
      <c r="L258" s="3" t="str">
        <f t="shared" si="31"/>
        <v xml:space="preserve"> </v>
      </c>
      <c r="M258" s="3" t="str">
        <f>IF(E258&gt;0,IFERROR(VLOOKUP($E258,'[2]Table 1'!$B$2:$I$147,8,0),"0.00")," ")</f>
        <v xml:space="preserve"> </v>
      </c>
      <c r="N258" s="6" t="str">
        <f t="shared" si="33"/>
        <v xml:space="preserve"> </v>
      </c>
      <c r="O258" s="7" t="str">
        <f>IF(IF(COUNTIF($B$5:B258,B258)&gt;1," ",SUMIF($B$5:$B$423,B258,$J$5:$J$423))=0," ",IF(COUNTIF($B$5:B258,B258)&gt;1," ",SUMIF($B$5:$B$423,B258,$J$5:$J$423)))</f>
        <v xml:space="preserve"> </v>
      </c>
      <c r="P258" s="8" t="str">
        <f>IF(IF(COUNTIF($B$5:B258,B258)&gt;1," ",SUMIF($B$5:$B$423,B258,$L$5:$L$423))=0," ",IF(COUNTIF($B$5:B258,B258)&gt;1," ",SUMIF($B$5:$B$423,B258,$L$5:$L$423)))</f>
        <v xml:space="preserve"> </v>
      </c>
      <c r="Q258" s="8" t="str">
        <f t="shared" si="35"/>
        <v xml:space="preserve"> </v>
      </c>
      <c r="R258" s="8" t="str">
        <f t="shared" si="34"/>
        <v xml:space="preserve"> </v>
      </c>
      <c r="S258" s="48" t="str">
        <f t="shared" si="32"/>
        <v xml:space="preserve"> </v>
      </c>
      <c r="T258" s="14" t="str">
        <f>IF(F258&gt;0,IFERROR(VLOOKUP($F258,[1]Sheet1!$C$3:$L$3445,10,0),"EOSS"),"")</f>
        <v/>
      </c>
    </row>
    <row r="259" spans="1:20" x14ac:dyDescent="0.3">
      <c r="A259" s="1"/>
      <c r="B259" s="2"/>
      <c r="C259" s="5" t="str">
        <f t="shared" si="28"/>
        <v xml:space="preserve"> </v>
      </c>
      <c r="D259" s="2"/>
      <c r="E259" s="3"/>
      <c r="F259" s="4"/>
      <c r="G259" s="5"/>
      <c r="H259" s="5"/>
      <c r="I259" s="5" t="str">
        <f t="shared" si="29"/>
        <v xml:space="preserve"> </v>
      </c>
      <c r="J259" s="33"/>
      <c r="K259" s="5" t="str">
        <f t="shared" si="30"/>
        <v xml:space="preserve"> </v>
      </c>
      <c r="L259" s="3" t="str">
        <f t="shared" si="31"/>
        <v xml:space="preserve"> </v>
      </c>
      <c r="M259" s="3" t="str">
        <f>IF(E259&gt;0,IFERROR(VLOOKUP($E259,'[2]Table 1'!$B$2:$I$147,8,0),"0.00")," ")</f>
        <v xml:space="preserve"> </v>
      </c>
      <c r="N259" s="6" t="str">
        <f t="shared" si="33"/>
        <v xml:space="preserve"> </v>
      </c>
      <c r="O259" s="7" t="str">
        <f>IF(IF(COUNTIF($B$5:B259,B259)&gt;1," ",SUMIF($B$5:$B$423,B259,$J$5:$J$423))=0," ",IF(COUNTIF($B$5:B259,B259)&gt;1," ",SUMIF($B$5:$B$423,B259,$J$5:$J$423)))</f>
        <v xml:space="preserve"> </v>
      </c>
      <c r="P259" s="8" t="str">
        <f>IF(IF(COUNTIF($B$5:B259,B259)&gt;1," ",SUMIF($B$5:$B$423,B259,$L$5:$L$423))=0," ",IF(COUNTIF($B$5:B259,B259)&gt;1," ",SUMIF($B$5:$B$423,B259,$L$5:$L$423)))</f>
        <v xml:space="preserve"> </v>
      </c>
      <c r="Q259" s="8" t="str">
        <f t="shared" si="35"/>
        <v xml:space="preserve"> </v>
      </c>
      <c r="R259" s="8" t="str">
        <f t="shared" si="34"/>
        <v xml:space="preserve"> </v>
      </c>
      <c r="S259" s="48" t="str">
        <f t="shared" si="32"/>
        <v xml:space="preserve"> </v>
      </c>
      <c r="T259" s="14" t="str">
        <f>IF(F259&gt;0,IFERROR(VLOOKUP($F259,[1]Sheet1!$C$3:$L$3445,10,0),"EOSS"),"")</f>
        <v/>
      </c>
    </row>
    <row r="260" spans="1:20" x14ac:dyDescent="0.3">
      <c r="A260" s="1"/>
      <c r="B260" s="2"/>
      <c r="C260" s="5" t="str">
        <f t="shared" si="28"/>
        <v xml:space="preserve"> </v>
      </c>
      <c r="D260" s="2"/>
      <c r="E260" s="3"/>
      <c r="F260" s="4"/>
      <c r="G260" s="5"/>
      <c r="H260" s="5"/>
      <c r="I260" s="5" t="str">
        <f t="shared" si="29"/>
        <v xml:space="preserve"> </v>
      </c>
      <c r="J260" s="33"/>
      <c r="K260" s="5" t="str">
        <f t="shared" si="30"/>
        <v xml:space="preserve"> </v>
      </c>
      <c r="L260" s="3" t="str">
        <f t="shared" si="31"/>
        <v xml:space="preserve"> </v>
      </c>
      <c r="M260" s="3" t="str">
        <f>IF(E260&gt;0,IFERROR(VLOOKUP($E260,'[2]Table 1'!$B$2:$I$147,8,0),"0.00")," ")</f>
        <v xml:space="preserve"> </v>
      </c>
      <c r="N260" s="6" t="str">
        <f t="shared" si="33"/>
        <v xml:space="preserve"> </v>
      </c>
      <c r="O260" s="7" t="str">
        <f>IF(IF(COUNTIF($B$5:B260,B260)&gt;1," ",SUMIF($B$5:$B$423,B260,$J$5:$J$423))=0," ",IF(COUNTIF($B$5:B260,B260)&gt;1," ",SUMIF($B$5:$B$423,B260,$J$5:$J$423)))</f>
        <v xml:space="preserve"> </v>
      </c>
      <c r="P260" s="8" t="str">
        <f>IF(IF(COUNTIF($B$5:B260,B260)&gt;1," ",SUMIF($B$5:$B$423,B260,$L$5:$L$423))=0," ",IF(COUNTIF($B$5:B260,B260)&gt;1," ",SUMIF($B$5:$B$423,B260,$L$5:$L$423)))</f>
        <v xml:space="preserve"> </v>
      </c>
      <c r="Q260" s="8" t="str">
        <f t="shared" si="35"/>
        <v xml:space="preserve"> </v>
      </c>
      <c r="R260" s="8" t="str">
        <f t="shared" si="34"/>
        <v xml:space="preserve"> </v>
      </c>
      <c r="S260" s="48" t="str">
        <f t="shared" si="32"/>
        <v xml:space="preserve"> </v>
      </c>
      <c r="T260" s="14" t="str">
        <f>IF(F260&gt;0,IFERROR(VLOOKUP($F260,[1]Sheet1!$C$3:$L$3445,10,0),"EOSS"),"")</f>
        <v/>
      </c>
    </row>
    <row r="261" spans="1:20" x14ac:dyDescent="0.3">
      <c r="A261" s="1"/>
      <c r="B261" s="2"/>
      <c r="C261" s="5" t="str">
        <f t="shared" ref="C261:C324" si="36">IF($B261=0," ","Cash")</f>
        <v xml:space="preserve"> </v>
      </c>
      <c r="D261" s="2"/>
      <c r="E261" s="3"/>
      <c r="F261" s="4"/>
      <c r="G261" s="5"/>
      <c r="H261" s="5"/>
      <c r="I261" s="5" t="str">
        <f t="shared" ref="I261:I324" si="37">IF(H261&gt;0,$C$3," ")</f>
        <v xml:space="preserve"> </v>
      </c>
      <c r="J261" s="33"/>
      <c r="K261" s="5" t="str">
        <f t="shared" ref="K261:K324" si="38">IF($F261=0," ","Pcs.")</f>
        <v xml:space="preserve"> </v>
      </c>
      <c r="L261" s="3" t="str">
        <f t="shared" ref="L261:L324" si="39">IF(J261*E261=0," ",J261*E261)</f>
        <v xml:space="preserve"> </v>
      </c>
      <c r="M261" s="3" t="str">
        <f>IF(E261&gt;0,IFERROR(VLOOKUP($E261,'[2]Table 1'!$B$2:$I$147,8,0),"0.00")," ")</f>
        <v xml:space="preserve"> </v>
      </c>
      <c r="N261" s="6" t="str">
        <f t="shared" si="33"/>
        <v xml:space="preserve"> </v>
      </c>
      <c r="O261" s="7" t="str">
        <f>IF(IF(COUNTIF($B$5:B261,B261)&gt;1," ",SUMIF($B$5:$B$423,B261,$J$5:$J$423))=0," ",IF(COUNTIF($B$5:B261,B261)&gt;1," ",SUMIF($B$5:$B$423,B261,$J$5:$J$423)))</f>
        <v xml:space="preserve"> </v>
      </c>
      <c r="P261" s="8" t="str">
        <f>IF(IF(COUNTIF($B$5:B261,B261)&gt;1," ",SUMIF($B$5:$B$423,B261,$L$5:$L$423))=0," ",IF(COUNTIF($B$5:B261,B261)&gt;1," ",SUMIF($B$5:$B$423,B261,$L$5:$L$423)))</f>
        <v xml:space="preserve"> </v>
      </c>
      <c r="Q261" s="8" t="str">
        <f t="shared" si="35"/>
        <v xml:space="preserve"> </v>
      </c>
      <c r="R261" s="8" t="str">
        <f t="shared" si="34"/>
        <v xml:space="preserve"> </v>
      </c>
      <c r="S261" s="48" t="str">
        <f t="shared" ref="S261:S324" si="40">IFERROR(Q261/P261," ")</f>
        <v xml:space="preserve"> </v>
      </c>
      <c r="T261" s="14" t="str">
        <f>IF(F261&gt;0,IFERROR(VLOOKUP($F261,[1]Sheet1!$C$3:$L$3445,10,0),"EOSS"),"")</f>
        <v/>
      </c>
    </row>
    <row r="262" spans="1:20" x14ac:dyDescent="0.3">
      <c r="A262" s="1"/>
      <c r="B262" s="2"/>
      <c r="C262" s="5" t="str">
        <f t="shared" si="36"/>
        <v xml:space="preserve"> </v>
      </c>
      <c r="D262" s="2"/>
      <c r="E262" s="3"/>
      <c r="F262" s="4"/>
      <c r="G262" s="5"/>
      <c r="H262" s="5"/>
      <c r="I262" s="5" t="str">
        <f t="shared" si="37"/>
        <v xml:space="preserve"> </v>
      </c>
      <c r="J262" s="33"/>
      <c r="K262" s="5" t="str">
        <f t="shared" si="38"/>
        <v xml:space="preserve"> </v>
      </c>
      <c r="L262" s="3" t="str">
        <f t="shared" si="39"/>
        <v xml:space="preserve"> </v>
      </c>
      <c r="M262" s="3" t="str">
        <f>IF(E262&gt;0,IFERROR(VLOOKUP($E262,'[2]Table 1'!$B$2:$I$147,8,0),"0.00")," ")</f>
        <v xml:space="preserve"> </v>
      </c>
      <c r="N262" s="6" t="str">
        <f t="shared" ref="N262:N325" si="41">IFERROR(L262+M262," ")</f>
        <v xml:space="preserve"> </v>
      </c>
      <c r="O262" s="7" t="str">
        <f>IF(IF(COUNTIF($B$5:B262,B262)&gt;1," ",SUMIF($B$5:$B$423,B262,$J$5:$J$423))=0," ",IF(COUNTIF($B$5:B262,B262)&gt;1," ",SUMIF($B$5:$B$423,B262,$J$5:$J$423)))</f>
        <v xml:space="preserve"> </v>
      </c>
      <c r="P262" s="8" t="str">
        <f>IF(IF(COUNTIF($B$5:B262,B262)&gt;1," ",SUMIF($B$5:$B$423,B262,$L$5:$L$423))=0," ",IF(COUNTIF($B$5:B262,B262)&gt;1," ",SUMIF($B$5:$B$423,B262,$L$5:$L$423)))</f>
        <v xml:space="preserve"> </v>
      </c>
      <c r="Q262" s="8" t="str">
        <f t="shared" si="35"/>
        <v xml:space="preserve"> </v>
      </c>
      <c r="R262" s="8" t="str">
        <f t="shared" ref="R262:R325" si="42">IF(B262=""," ",IF(OR(L262="",P262="",Q262=""),"",IFERROR(L262/$P$26*$Q$26,"")))</f>
        <v xml:space="preserve"> </v>
      </c>
      <c r="S262" s="48" t="str">
        <f t="shared" si="40"/>
        <v xml:space="preserve"> </v>
      </c>
      <c r="T262" s="14" t="str">
        <f>IF(F262&gt;0,IFERROR(VLOOKUP($F262,[1]Sheet1!$C$3:$L$3445,10,0),"EOSS"),"")</f>
        <v/>
      </c>
    </row>
    <row r="263" spans="1:20" x14ac:dyDescent="0.3">
      <c r="A263" s="1"/>
      <c r="B263" s="2"/>
      <c r="C263" s="5" t="str">
        <f t="shared" si="36"/>
        <v xml:space="preserve"> </v>
      </c>
      <c r="D263" s="2"/>
      <c r="E263" s="3"/>
      <c r="F263" s="4"/>
      <c r="G263" s="5"/>
      <c r="H263" s="5"/>
      <c r="I263" s="5" t="str">
        <f t="shared" si="37"/>
        <v xml:space="preserve"> </v>
      </c>
      <c r="J263" s="33"/>
      <c r="K263" s="5" t="str">
        <f t="shared" si="38"/>
        <v xml:space="preserve"> </v>
      </c>
      <c r="L263" s="3" t="str">
        <f t="shared" si="39"/>
        <v xml:space="preserve"> </v>
      </c>
      <c r="M263" s="3" t="str">
        <f>IF(E263&gt;0,IFERROR(VLOOKUP($E263,'[2]Table 1'!$B$2:$I$147,8,0),"0.00")," ")</f>
        <v xml:space="preserve"> </v>
      </c>
      <c r="N263" s="6" t="str">
        <f t="shared" si="41"/>
        <v xml:space="preserve"> </v>
      </c>
      <c r="O263" s="7" t="str">
        <f>IF(IF(COUNTIF($B$5:B263,B263)&gt;1," ",SUMIF($B$5:$B$423,B263,$J$5:$J$423))=0," ",IF(COUNTIF($B$5:B263,B263)&gt;1," ",SUMIF($B$5:$B$423,B263,$J$5:$J$423)))</f>
        <v xml:space="preserve"> </v>
      </c>
      <c r="P263" s="8" t="str">
        <f>IF(IF(COUNTIF($B$5:B263,B263)&gt;1," ",SUMIF($B$5:$B$423,B263,$L$5:$L$423))=0," ",IF(COUNTIF($B$5:B263,B263)&gt;1," ",SUMIF($B$5:$B$423,B263,$L$5:$L$423)))</f>
        <v xml:space="preserve"> </v>
      </c>
      <c r="Q263" s="8" t="str">
        <f t="shared" si="35"/>
        <v xml:space="preserve"> </v>
      </c>
      <c r="R263" s="8" t="str">
        <f t="shared" si="42"/>
        <v xml:space="preserve"> </v>
      </c>
      <c r="S263" s="48" t="str">
        <f t="shared" si="40"/>
        <v xml:space="preserve"> </v>
      </c>
      <c r="T263" s="14" t="str">
        <f>IF(F263&gt;0,IFERROR(VLOOKUP($F263,[1]Sheet1!$C$3:$L$3445,10,0),"EOSS"),"")</f>
        <v/>
      </c>
    </row>
    <row r="264" spans="1:20" x14ac:dyDescent="0.3">
      <c r="A264" s="1"/>
      <c r="B264" s="2"/>
      <c r="C264" s="5" t="str">
        <f t="shared" si="36"/>
        <v xml:space="preserve"> </v>
      </c>
      <c r="D264" s="2"/>
      <c r="E264" s="3"/>
      <c r="F264" s="4"/>
      <c r="G264" s="5"/>
      <c r="H264" s="5"/>
      <c r="I264" s="5" t="str">
        <f t="shared" si="37"/>
        <v xml:space="preserve"> </v>
      </c>
      <c r="J264" s="33"/>
      <c r="K264" s="5" t="str">
        <f t="shared" si="38"/>
        <v xml:space="preserve"> </v>
      </c>
      <c r="L264" s="3" t="str">
        <f t="shared" si="39"/>
        <v xml:space="preserve"> </v>
      </c>
      <c r="M264" s="3" t="str">
        <f>IF(E264&gt;0,IFERROR(VLOOKUP($E264,'[2]Table 1'!$B$2:$I$147,8,0),"0.00")," ")</f>
        <v xml:space="preserve"> </v>
      </c>
      <c r="N264" s="6" t="str">
        <f t="shared" si="41"/>
        <v xml:space="preserve"> </v>
      </c>
      <c r="O264" s="7" t="str">
        <f>IF(IF(COUNTIF($B$5:B264,B264)&gt;1," ",SUMIF($B$5:$B$423,B264,$J$5:$J$423))=0," ",IF(COUNTIF($B$5:B264,B264)&gt;1," ",SUMIF($B$5:$B$423,B264,$J$5:$J$423)))</f>
        <v xml:space="preserve"> </v>
      </c>
      <c r="P264" s="8" t="str">
        <f>IF(IF(COUNTIF($B$5:B264,B264)&gt;1," ",SUMIF($B$5:$B$423,B264,$L$5:$L$423))=0," ",IF(COUNTIF($B$5:B264,B264)&gt;1," ",SUMIF($B$5:$B$423,B264,$L$5:$L$423)))</f>
        <v xml:space="preserve"> </v>
      </c>
      <c r="Q264" s="8" t="str">
        <f t="shared" si="35"/>
        <v xml:space="preserve"> </v>
      </c>
      <c r="R264" s="8" t="str">
        <f t="shared" si="42"/>
        <v xml:space="preserve"> </v>
      </c>
      <c r="S264" s="48" t="str">
        <f t="shared" si="40"/>
        <v xml:space="preserve"> </v>
      </c>
      <c r="T264" s="14" t="str">
        <f>IF(F264&gt;0,IFERROR(VLOOKUP($F264,[1]Sheet1!$C$3:$L$3445,10,0),"EOSS"),"")</f>
        <v/>
      </c>
    </row>
    <row r="265" spans="1:20" x14ac:dyDescent="0.3">
      <c r="A265" s="1"/>
      <c r="B265" s="2"/>
      <c r="C265" s="5" t="str">
        <f t="shared" si="36"/>
        <v xml:space="preserve"> </v>
      </c>
      <c r="D265" s="2"/>
      <c r="E265" s="3"/>
      <c r="F265" s="4"/>
      <c r="G265" s="5"/>
      <c r="H265" s="5"/>
      <c r="I265" s="5" t="str">
        <f t="shared" si="37"/>
        <v xml:space="preserve"> </v>
      </c>
      <c r="J265" s="33"/>
      <c r="K265" s="5" t="str">
        <f t="shared" si="38"/>
        <v xml:space="preserve"> </v>
      </c>
      <c r="L265" s="3" t="str">
        <f t="shared" si="39"/>
        <v xml:space="preserve"> </v>
      </c>
      <c r="M265" s="3" t="str">
        <f>IF(E265&gt;0,IFERROR(VLOOKUP($E265,'[2]Table 1'!$B$2:$I$147,8,0),"0.00")," ")</f>
        <v xml:space="preserve"> </v>
      </c>
      <c r="N265" s="6" t="str">
        <f t="shared" si="41"/>
        <v xml:space="preserve"> </v>
      </c>
      <c r="O265" s="7" t="str">
        <f>IF(IF(COUNTIF($B$5:B265,B265)&gt;1," ",SUMIF($B$5:$B$423,B265,$J$5:$J$423))=0," ",IF(COUNTIF($B$5:B265,B265)&gt;1," ",SUMIF($B$5:$B$423,B265,$J$5:$J$423)))</f>
        <v xml:space="preserve"> </v>
      </c>
      <c r="P265" s="8" t="str">
        <f>IF(IF(COUNTIF($B$5:B265,B265)&gt;1," ",SUMIF($B$5:$B$423,B265,$L$5:$L$423))=0," ",IF(COUNTIF($B$5:B265,B265)&gt;1," ",SUMIF($B$5:$B$423,B265,$L$5:$L$423)))</f>
        <v xml:space="preserve"> </v>
      </c>
      <c r="Q265" s="8" t="str">
        <f t="shared" si="35"/>
        <v xml:space="preserve"> </v>
      </c>
      <c r="R265" s="8" t="str">
        <f t="shared" si="42"/>
        <v xml:space="preserve"> </v>
      </c>
      <c r="S265" s="48" t="str">
        <f t="shared" si="40"/>
        <v xml:space="preserve"> </v>
      </c>
      <c r="T265" s="14" t="str">
        <f>IF(F265&gt;0,IFERROR(VLOOKUP($F265,[1]Sheet1!$C$3:$L$3445,10,0),"EOSS"),"")</f>
        <v/>
      </c>
    </row>
    <row r="266" spans="1:20" x14ac:dyDescent="0.3">
      <c r="A266" s="1"/>
      <c r="B266" s="2"/>
      <c r="C266" s="5" t="str">
        <f t="shared" si="36"/>
        <v xml:space="preserve"> </v>
      </c>
      <c r="D266" s="2"/>
      <c r="E266" s="3"/>
      <c r="F266" s="4"/>
      <c r="G266" s="5"/>
      <c r="H266" s="5"/>
      <c r="I266" s="5" t="str">
        <f t="shared" si="37"/>
        <v xml:space="preserve"> </v>
      </c>
      <c r="J266" s="33"/>
      <c r="K266" s="5" t="str">
        <f t="shared" si="38"/>
        <v xml:space="preserve"> </v>
      </c>
      <c r="L266" s="3" t="str">
        <f t="shared" si="39"/>
        <v xml:space="preserve"> </v>
      </c>
      <c r="M266" s="3" t="str">
        <f>IF(E266&gt;0,IFERROR(VLOOKUP($E266,'[2]Table 1'!$B$2:$I$147,8,0),"0.00")," ")</f>
        <v xml:space="preserve"> </v>
      </c>
      <c r="N266" s="6" t="str">
        <f t="shared" si="41"/>
        <v xml:space="preserve"> </v>
      </c>
      <c r="O266" s="7" t="str">
        <f>IF(IF(COUNTIF($B$5:B266,B266)&gt;1," ",SUMIF($B$5:$B$423,B266,$J$5:$J$423))=0," ",IF(COUNTIF($B$5:B266,B266)&gt;1," ",SUMIF($B$5:$B$423,B266,$J$5:$J$423)))</f>
        <v xml:space="preserve"> </v>
      </c>
      <c r="P266" s="8" t="str">
        <f>IF(IF(COUNTIF($B$5:B266,B266)&gt;1," ",SUMIF($B$5:$B$423,B266,$L$5:$L$423))=0," ",IF(COUNTIF($B$5:B266,B266)&gt;1," ",SUMIF($B$5:$B$423,B266,$L$5:$L$423)))</f>
        <v xml:space="preserve"> </v>
      </c>
      <c r="Q266" s="8" t="str">
        <f t="shared" si="35"/>
        <v xml:space="preserve"> </v>
      </c>
      <c r="R266" s="8" t="str">
        <f t="shared" si="42"/>
        <v xml:space="preserve"> </v>
      </c>
      <c r="S266" s="48" t="str">
        <f t="shared" si="40"/>
        <v xml:space="preserve"> </v>
      </c>
      <c r="T266" s="14" t="str">
        <f>IF(F266&gt;0,IFERROR(VLOOKUP($F266,[1]Sheet1!$C$3:$L$3445,10,0),"EOSS"),"")</f>
        <v/>
      </c>
    </row>
    <row r="267" spans="1:20" x14ac:dyDescent="0.3">
      <c r="A267" s="1"/>
      <c r="B267" s="2"/>
      <c r="C267" s="5" t="str">
        <f t="shared" si="36"/>
        <v xml:space="preserve"> </v>
      </c>
      <c r="D267" s="2"/>
      <c r="E267" s="3"/>
      <c r="F267" s="4"/>
      <c r="G267" s="5"/>
      <c r="H267" s="5"/>
      <c r="I267" s="5" t="str">
        <f t="shared" si="37"/>
        <v xml:space="preserve"> </v>
      </c>
      <c r="J267" s="33"/>
      <c r="K267" s="5" t="str">
        <f t="shared" si="38"/>
        <v xml:space="preserve"> </v>
      </c>
      <c r="L267" s="3" t="str">
        <f t="shared" si="39"/>
        <v xml:space="preserve"> </v>
      </c>
      <c r="M267" s="3" t="str">
        <f>IF(E267&gt;0,IFERROR(VLOOKUP($E267,'[2]Table 1'!$B$2:$I$147,8,0),"0.00")," ")</f>
        <v xml:space="preserve"> </v>
      </c>
      <c r="N267" s="6" t="str">
        <f t="shared" si="41"/>
        <v xml:space="preserve"> </v>
      </c>
      <c r="O267" s="7" t="str">
        <f>IF(IF(COUNTIF($B$5:B267,B267)&gt;1," ",SUMIF($B$5:$B$423,B267,$J$5:$J$423))=0," ",IF(COUNTIF($B$5:B267,B267)&gt;1," ",SUMIF($B$5:$B$423,B267,$J$5:$J$423)))</f>
        <v xml:space="preserve"> </v>
      </c>
      <c r="P267" s="8" t="str">
        <f>IF(IF(COUNTIF($B$5:B267,B267)&gt;1," ",SUMIF($B$5:$B$423,B267,$L$5:$L$423))=0," ",IF(COUNTIF($B$5:B267,B267)&gt;1," ",SUMIF($B$5:$B$423,B267,$L$5:$L$423)))</f>
        <v xml:space="preserve"> </v>
      </c>
      <c r="Q267" s="8" t="str">
        <f t="shared" si="35"/>
        <v xml:space="preserve"> </v>
      </c>
      <c r="R267" s="8" t="str">
        <f t="shared" si="42"/>
        <v xml:space="preserve"> </v>
      </c>
      <c r="S267" s="48" t="str">
        <f t="shared" si="40"/>
        <v xml:space="preserve"> </v>
      </c>
      <c r="T267" s="14" t="str">
        <f>IF(F267&gt;0,IFERROR(VLOOKUP($F267,[1]Sheet1!$C$3:$L$3445,10,0),"EOSS"),"")</f>
        <v/>
      </c>
    </row>
    <row r="268" spans="1:20" x14ac:dyDescent="0.3">
      <c r="A268" s="1"/>
      <c r="B268" s="2"/>
      <c r="C268" s="5" t="str">
        <f t="shared" si="36"/>
        <v xml:space="preserve"> </v>
      </c>
      <c r="D268" s="2"/>
      <c r="E268" s="3"/>
      <c r="F268" s="4"/>
      <c r="G268" s="5"/>
      <c r="H268" s="5"/>
      <c r="I268" s="5" t="str">
        <f t="shared" si="37"/>
        <v xml:space="preserve"> </v>
      </c>
      <c r="J268" s="33"/>
      <c r="K268" s="5" t="str">
        <f t="shared" si="38"/>
        <v xml:space="preserve"> </v>
      </c>
      <c r="L268" s="3" t="str">
        <f t="shared" si="39"/>
        <v xml:space="preserve"> </v>
      </c>
      <c r="M268" s="3" t="str">
        <f>IF(E268&gt;0,IFERROR(VLOOKUP($E268,'[2]Table 1'!$B$2:$I$147,8,0),"0.00")," ")</f>
        <v xml:space="preserve"> </v>
      </c>
      <c r="N268" s="6" t="str">
        <f t="shared" si="41"/>
        <v xml:space="preserve"> </v>
      </c>
      <c r="O268" s="7" t="str">
        <f>IF(IF(COUNTIF($B$5:B268,B268)&gt;1," ",SUMIF($B$5:$B$423,B268,$J$5:$J$423))=0," ",IF(COUNTIF($B$5:B268,B268)&gt;1," ",SUMIF($B$5:$B$423,B268,$J$5:$J$423)))</f>
        <v xml:space="preserve"> </v>
      </c>
      <c r="P268" s="8" t="str">
        <f>IF(IF(COUNTIF($B$5:B268,B268)&gt;1," ",SUMIF($B$5:$B$423,B268,$L$5:$L$423))=0," ",IF(COUNTIF($B$5:B268,B268)&gt;1," ",SUMIF($B$5:$B$423,B268,$L$5:$L$423)))</f>
        <v xml:space="preserve"> </v>
      </c>
      <c r="Q268" s="8" t="str">
        <f t="shared" si="35"/>
        <v xml:space="preserve"> </v>
      </c>
      <c r="R268" s="8" t="str">
        <f t="shared" si="42"/>
        <v xml:space="preserve"> </v>
      </c>
      <c r="S268" s="48" t="str">
        <f t="shared" si="40"/>
        <v xml:space="preserve"> </v>
      </c>
      <c r="T268" s="14" t="str">
        <f>IF(F268&gt;0,IFERROR(VLOOKUP($F268,[1]Sheet1!$C$3:$L$3445,10,0),"EOSS"),"")</f>
        <v/>
      </c>
    </row>
    <row r="269" spans="1:20" x14ac:dyDescent="0.3">
      <c r="A269" s="1"/>
      <c r="B269" s="2"/>
      <c r="C269" s="5" t="str">
        <f t="shared" si="36"/>
        <v xml:space="preserve"> </v>
      </c>
      <c r="D269" s="2"/>
      <c r="E269" s="3"/>
      <c r="F269" s="4"/>
      <c r="G269" s="5"/>
      <c r="H269" s="5"/>
      <c r="I269" s="5" t="str">
        <f t="shared" si="37"/>
        <v xml:space="preserve"> </v>
      </c>
      <c r="J269" s="33"/>
      <c r="K269" s="5" t="str">
        <f t="shared" si="38"/>
        <v xml:space="preserve"> </v>
      </c>
      <c r="L269" s="3" t="str">
        <f t="shared" si="39"/>
        <v xml:space="preserve"> </v>
      </c>
      <c r="M269" s="3" t="str">
        <f>IF(E269&gt;0,IFERROR(VLOOKUP($E269,'[2]Table 1'!$B$2:$I$147,8,0),"0.00")," ")</f>
        <v xml:space="preserve"> </v>
      </c>
      <c r="N269" s="6" t="str">
        <f t="shared" si="41"/>
        <v xml:space="preserve"> </v>
      </c>
      <c r="O269" s="7" t="str">
        <f>IF(IF(COUNTIF($B$5:B269,B269)&gt;1," ",SUMIF($B$5:$B$423,B269,$J$5:$J$423))=0," ",IF(COUNTIF($B$5:B269,B269)&gt;1," ",SUMIF($B$5:$B$423,B269,$J$5:$J$423)))</f>
        <v xml:space="preserve"> </v>
      </c>
      <c r="P269" s="8" t="str">
        <f>IF(IF(COUNTIF($B$5:B269,B269)&gt;1," ",SUMIF($B$5:$B$423,B269,$L$5:$L$423))=0," ",IF(COUNTIF($B$5:B269,B269)&gt;1," ",SUMIF($B$5:$B$423,B269,$L$5:$L$423)))</f>
        <v xml:space="preserve"> </v>
      </c>
      <c r="Q269" s="8" t="str">
        <f t="shared" si="35"/>
        <v xml:space="preserve"> </v>
      </c>
      <c r="R269" s="8" t="str">
        <f t="shared" si="42"/>
        <v xml:space="preserve"> </v>
      </c>
      <c r="S269" s="48" t="str">
        <f t="shared" si="40"/>
        <v xml:space="preserve"> </v>
      </c>
      <c r="T269" s="14" t="str">
        <f>IF(F269&gt;0,IFERROR(VLOOKUP($F269,[1]Sheet1!$C$3:$L$3445,10,0),"EOSS"),"")</f>
        <v/>
      </c>
    </row>
    <row r="270" spans="1:20" x14ac:dyDescent="0.3">
      <c r="A270" s="1"/>
      <c r="B270" s="2"/>
      <c r="C270" s="5" t="str">
        <f t="shared" si="36"/>
        <v xml:space="preserve"> </v>
      </c>
      <c r="D270" s="2"/>
      <c r="E270" s="3"/>
      <c r="F270" s="4"/>
      <c r="G270" s="5"/>
      <c r="H270" s="5"/>
      <c r="I270" s="5" t="str">
        <f t="shared" si="37"/>
        <v xml:space="preserve"> </v>
      </c>
      <c r="J270" s="33"/>
      <c r="K270" s="5" t="str">
        <f t="shared" si="38"/>
        <v xml:space="preserve"> </v>
      </c>
      <c r="L270" s="3" t="str">
        <f t="shared" si="39"/>
        <v xml:space="preserve"> </v>
      </c>
      <c r="M270" s="3" t="str">
        <f>IF(E270&gt;0,IFERROR(VLOOKUP($E270,'[2]Table 1'!$B$2:$I$147,8,0),"0.00")," ")</f>
        <v xml:space="preserve"> </v>
      </c>
      <c r="N270" s="6" t="str">
        <f t="shared" si="41"/>
        <v xml:space="preserve"> </v>
      </c>
      <c r="O270" s="7" t="str">
        <f>IF(IF(COUNTIF($B$5:B270,B270)&gt;1," ",SUMIF($B$5:$B$423,B270,$J$5:$J$423))=0," ",IF(COUNTIF($B$5:B270,B270)&gt;1," ",SUMIF($B$5:$B$423,B270,$J$5:$J$423)))</f>
        <v xml:space="preserve"> </v>
      </c>
      <c r="P270" s="8" t="str">
        <f>IF(IF(COUNTIF($B$5:B270,B270)&gt;1," ",SUMIF($B$5:$B$423,B270,$L$5:$L$423))=0," ",IF(COUNTIF($B$5:B270,B270)&gt;1," ",SUMIF($B$5:$B$423,B270,$L$5:$L$423)))</f>
        <v xml:space="preserve"> </v>
      </c>
      <c r="Q270" s="8" t="str">
        <f t="shared" si="35"/>
        <v xml:space="preserve"> </v>
      </c>
      <c r="R270" s="8" t="str">
        <f t="shared" si="42"/>
        <v xml:space="preserve"> </v>
      </c>
      <c r="S270" s="48" t="str">
        <f t="shared" si="40"/>
        <v xml:space="preserve"> </v>
      </c>
      <c r="T270" s="14" t="str">
        <f>IF(F270&gt;0,IFERROR(VLOOKUP($F270,[1]Sheet1!$C$3:$L$3445,10,0),"EOSS"),"")</f>
        <v/>
      </c>
    </row>
    <row r="271" spans="1:20" x14ac:dyDescent="0.3">
      <c r="A271" s="1"/>
      <c r="B271" s="2"/>
      <c r="C271" s="5" t="str">
        <f t="shared" si="36"/>
        <v xml:space="preserve"> </v>
      </c>
      <c r="D271" s="2"/>
      <c r="E271" s="3"/>
      <c r="F271" s="4"/>
      <c r="G271" s="5"/>
      <c r="H271" s="5"/>
      <c r="I271" s="5" t="str">
        <f t="shared" si="37"/>
        <v xml:space="preserve"> </v>
      </c>
      <c r="J271" s="33"/>
      <c r="K271" s="5" t="str">
        <f t="shared" si="38"/>
        <v xml:space="preserve"> </v>
      </c>
      <c r="L271" s="3" t="str">
        <f t="shared" si="39"/>
        <v xml:space="preserve"> </v>
      </c>
      <c r="M271" s="3" t="str">
        <f>IF(E271&gt;0,IFERROR(VLOOKUP($E271,'[2]Table 1'!$B$2:$I$147,8,0),"0.00")," ")</f>
        <v xml:space="preserve"> </v>
      </c>
      <c r="N271" s="6" t="str">
        <f t="shared" si="41"/>
        <v xml:space="preserve"> </v>
      </c>
      <c r="O271" s="7" t="str">
        <f>IF(IF(COUNTIF($B$5:B271,B271)&gt;1," ",SUMIF($B$5:$B$423,B271,$J$5:$J$423))=0," ",IF(COUNTIF($B$5:B271,B271)&gt;1," ",SUMIF($B$5:$B$423,B271,$J$5:$J$423)))</f>
        <v xml:space="preserve"> </v>
      </c>
      <c r="P271" s="8" t="str">
        <f>IF(IF(COUNTIF($B$5:B271,B271)&gt;1," ",SUMIF($B$5:$B$423,B271,$L$5:$L$423))=0," ",IF(COUNTIF($B$5:B271,B271)&gt;1," ",SUMIF($B$5:$B$423,B271,$L$5:$L$423)))</f>
        <v xml:space="preserve"> </v>
      </c>
      <c r="Q271" s="8" t="str">
        <f t="shared" si="35"/>
        <v xml:space="preserve"> </v>
      </c>
      <c r="R271" s="8" t="str">
        <f t="shared" si="42"/>
        <v xml:space="preserve"> </v>
      </c>
      <c r="S271" s="48" t="str">
        <f t="shared" si="40"/>
        <v xml:space="preserve"> </v>
      </c>
      <c r="T271" s="14" t="str">
        <f>IF(F271&gt;0,IFERROR(VLOOKUP($F271,[1]Sheet1!$C$3:$L$3445,10,0),"EOSS"),"")</f>
        <v/>
      </c>
    </row>
    <row r="272" spans="1:20" x14ac:dyDescent="0.3">
      <c r="A272" s="1"/>
      <c r="B272" s="2"/>
      <c r="C272" s="5" t="str">
        <f t="shared" si="36"/>
        <v xml:space="preserve"> </v>
      </c>
      <c r="D272" s="2"/>
      <c r="E272" s="3"/>
      <c r="F272" s="4"/>
      <c r="G272" s="5"/>
      <c r="H272" s="5"/>
      <c r="I272" s="5" t="str">
        <f t="shared" si="37"/>
        <v xml:space="preserve"> </v>
      </c>
      <c r="J272" s="33"/>
      <c r="K272" s="5" t="str">
        <f t="shared" si="38"/>
        <v xml:space="preserve"> </v>
      </c>
      <c r="L272" s="3" t="str">
        <f t="shared" si="39"/>
        <v xml:space="preserve"> </v>
      </c>
      <c r="M272" s="3" t="str">
        <f>IF(E272&gt;0,IFERROR(VLOOKUP($E272,'[2]Table 1'!$B$2:$I$147,8,0),"0.00")," ")</f>
        <v xml:space="preserve"> </v>
      </c>
      <c r="N272" s="6" t="str">
        <f t="shared" si="41"/>
        <v xml:space="preserve"> </v>
      </c>
      <c r="O272" s="7" t="str">
        <f>IF(IF(COUNTIF($B$5:B272,B272)&gt;1," ",SUMIF($B$5:$B$423,B272,$J$5:$J$423))=0," ",IF(COUNTIF($B$5:B272,B272)&gt;1," ",SUMIF($B$5:$B$423,B272,$J$5:$J$423)))</f>
        <v xml:space="preserve"> </v>
      </c>
      <c r="P272" s="8" t="str">
        <f>IF(IF(COUNTIF($B$5:B272,B272)&gt;1," ",SUMIF($B$5:$B$423,B272,$L$5:$L$423))=0," ",IF(COUNTIF($B$5:B272,B272)&gt;1," ",SUMIF($B$5:$B$423,B272,$L$5:$L$423)))</f>
        <v xml:space="preserve"> </v>
      </c>
      <c r="Q272" s="8" t="str">
        <f t="shared" si="35"/>
        <v xml:space="preserve"> </v>
      </c>
      <c r="R272" s="8" t="str">
        <f t="shared" si="42"/>
        <v xml:space="preserve"> </v>
      </c>
      <c r="S272" s="48" t="str">
        <f t="shared" si="40"/>
        <v xml:space="preserve"> </v>
      </c>
      <c r="T272" s="14" t="str">
        <f>IF(F272&gt;0,IFERROR(VLOOKUP($F272,[1]Sheet1!$C$3:$L$3445,10,0),"EOSS"),"")</f>
        <v/>
      </c>
    </row>
    <row r="273" spans="1:20" x14ac:dyDescent="0.3">
      <c r="A273" s="1"/>
      <c r="B273" s="2"/>
      <c r="C273" s="5" t="str">
        <f t="shared" si="36"/>
        <v xml:space="preserve"> </v>
      </c>
      <c r="D273" s="2"/>
      <c r="E273" s="3"/>
      <c r="F273" s="4"/>
      <c r="G273" s="5"/>
      <c r="H273" s="5"/>
      <c r="I273" s="5" t="str">
        <f t="shared" si="37"/>
        <v xml:space="preserve"> </v>
      </c>
      <c r="J273" s="33"/>
      <c r="K273" s="5" t="str">
        <f t="shared" si="38"/>
        <v xml:space="preserve"> </v>
      </c>
      <c r="L273" s="3" t="str">
        <f t="shared" si="39"/>
        <v xml:space="preserve"> </v>
      </c>
      <c r="M273" s="3" t="str">
        <f>IF(E273&gt;0,IFERROR(VLOOKUP($E273,'[2]Table 1'!$B$2:$I$147,8,0),"0.00")," ")</f>
        <v xml:space="preserve"> </v>
      </c>
      <c r="N273" s="6" t="str">
        <f t="shared" si="41"/>
        <v xml:space="preserve"> </v>
      </c>
      <c r="O273" s="7" t="str">
        <f>IF(IF(COUNTIF($B$5:B273,B273)&gt;1," ",SUMIF($B$5:$B$423,B273,$J$5:$J$423))=0," ",IF(COUNTIF($B$5:B273,B273)&gt;1," ",SUMIF($B$5:$B$423,B273,$J$5:$J$423)))</f>
        <v xml:space="preserve"> </v>
      </c>
      <c r="P273" s="8" t="str">
        <f>IF(IF(COUNTIF($B$5:B273,B273)&gt;1," ",SUMIF($B$5:$B$423,B273,$L$5:$L$423))=0," ",IF(COUNTIF($B$5:B273,B273)&gt;1," ",SUMIF($B$5:$B$423,B273,$L$5:$L$423)))</f>
        <v xml:space="preserve"> </v>
      </c>
      <c r="Q273" s="8" t="str">
        <f t="shared" si="35"/>
        <v xml:space="preserve"> </v>
      </c>
      <c r="R273" s="8" t="str">
        <f t="shared" si="42"/>
        <v xml:space="preserve"> </v>
      </c>
      <c r="S273" s="48" t="str">
        <f t="shared" si="40"/>
        <v xml:space="preserve"> </v>
      </c>
      <c r="T273" s="14" t="str">
        <f>IF(F273&gt;0,IFERROR(VLOOKUP($F273,[1]Sheet1!$C$3:$L$3445,10,0),"EOSS"),"")</f>
        <v/>
      </c>
    </row>
    <row r="274" spans="1:20" x14ac:dyDescent="0.3">
      <c r="A274" s="1"/>
      <c r="B274" s="2"/>
      <c r="C274" s="5" t="str">
        <f t="shared" si="36"/>
        <v xml:space="preserve"> </v>
      </c>
      <c r="D274" s="2"/>
      <c r="E274" s="3"/>
      <c r="F274" s="4"/>
      <c r="G274" s="5"/>
      <c r="H274" s="5"/>
      <c r="I274" s="5" t="str">
        <f t="shared" si="37"/>
        <v xml:space="preserve"> </v>
      </c>
      <c r="J274" s="33"/>
      <c r="K274" s="5" t="str">
        <f t="shared" si="38"/>
        <v xml:space="preserve"> </v>
      </c>
      <c r="L274" s="3" t="str">
        <f t="shared" si="39"/>
        <v xml:space="preserve"> </v>
      </c>
      <c r="M274" s="3" t="str">
        <f>IF(E274&gt;0,IFERROR(VLOOKUP($E274,'[2]Table 1'!$B$2:$I$147,8,0),"0.00")," ")</f>
        <v xml:space="preserve"> </v>
      </c>
      <c r="N274" s="6" t="str">
        <f t="shared" si="41"/>
        <v xml:space="preserve"> </v>
      </c>
      <c r="O274" s="7" t="str">
        <f>IF(IF(COUNTIF($B$5:B274,B274)&gt;1," ",SUMIF($B$5:$B$423,B274,$J$5:$J$423))=0," ",IF(COUNTIF($B$5:B274,B274)&gt;1," ",SUMIF($B$5:$B$423,B274,$J$5:$J$423)))</f>
        <v xml:space="preserve"> </v>
      </c>
      <c r="P274" s="8" t="str">
        <f>IF(IF(COUNTIF($B$5:B274,B274)&gt;1," ",SUMIF($B$5:$B$423,B274,$L$5:$L$423))=0," ",IF(COUNTIF($B$5:B274,B274)&gt;1," ",SUMIF($B$5:$B$423,B274,$L$5:$L$423)))</f>
        <v xml:space="preserve"> </v>
      </c>
      <c r="Q274" s="8" t="str">
        <f t="shared" si="35"/>
        <v xml:space="preserve"> </v>
      </c>
      <c r="R274" s="8" t="str">
        <f t="shared" si="42"/>
        <v xml:space="preserve"> </v>
      </c>
      <c r="S274" s="48" t="str">
        <f t="shared" si="40"/>
        <v xml:space="preserve"> </v>
      </c>
      <c r="T274" s="14" t="str">
        <f>IF(F274&gt;0,IFERROR(VLOOKUP($F274,[1]Sheet1!$C$3:$L$3445,10,0),"EOSS"),"")</f>
        <v/>
      </c>
    </row>
    <row r="275" spans="1:20" x14ac:dyDescent="0.3">
      <c r="A275" s="1"/>
      <c r="B275" s="2"/>
      <c r="C275" s="5" t="str">
        <f t="shared" si="36"/>
        <v xml:space="preserve"> </v>
      </c>
      <c r="D275" s="2"/>
      <c r="E275" s="3"/>
      <c r="F275" s="4"/>
      <c r="G275" s="5"/>
      <c r="H275" s="5"/>
      <c r="I275" s="5" t="str">
        <f t="shared" si="37"/>
        <v xml:space="preserve"> </v>
      </c>
      <c r="J275" s="33"/>
      <c r="K275" s="5" t="str">
        <f t="shared" si="38"/>
        <v xml:space="preserve"> </v>
      </c>
      <c r="L275" s="3" t="str">
        <f t="shared" si="39"/>
        <v xml:space="preserve"> </v>
      </c>
      <c r="M275" s="3" t="str">
        <f>IF(E275&gt;0,IFERROR(VLOOKUP($E275,'[2]Table 1'!$B$2:$I$147,8,0),"0.00")," ")</f>
        <v xml:space="preserve"> </v>
      </c>
      <c r="N275" s="6" t="str">
        <f t="shared" si="41"/>
        <v xml:space="preserve"> </v>
      </c>
      <c r="O275" s="7" t="str">
        <f>IF(IF(COUNTIF($B$5:B275,B275)&gt;1," ",SUMIF($B$5:$B$423,B275,$J$5:$J$423))=0," ",IF(COUNTIF($B$5:B275,B275)&gt;1," ",SUMIF($B$5:$B$423,B275,$J$5:$J$423)))</f>
        <v xml:space="preserve"> </v>
      </c>
      <c r="P275" s="8" t="str">
        <f>IF(IF(COUNTIF($B$5:B275,B275)&gt;1," ",SUMIF($B$5:$B$423,B275,$L$5:$L$423))=0," ",IF(COUNTIF($B$5:B275,B275)&gt;1," ",SUMIF($B$5:$B$423,B275,$L$5:$L$423)))</f>
        <v xml:space="preserve"> </v>
      </c>
      <c r="Q275" s="8" t="str">
        <f t="shared" si="35"/>
        <v xml:space="preserve"> </v>
      </c>
      <c r="R275" s="8" t="str">
        <f t="shared" si="42"/>
        <v xml:space="preserve"> </v>
      </c>
      <c r="S275" s="48" t="str">
        <f t="shared" si="40"/>
        <v xml:space="preserve"> </v>
      </c>
      <c r="T275" s="14" t="str">
        <f>IF(F275&gt;0,IFERROR(VLOOKUP($F275,[1]Sheet1!$C$3:$L$3445,10,0),"EOSS"),"")</f>
        <v/>
      </c>
    </row>
    <row r="276" spans="1:20" x14ac:dyDescent="0.3">
      <c r="A276" s="1"/>
      <c r="B276" s="2"/>
      <c r="C276" s="5" t="str">
        <f t="shared" si="36"/>
        <v xml:space="preserve"> </v>
      </c>
      <c r="D276" s="2"/>
      <c r="E276" s="3"/>
      <c r="F276" s="4"/>
      <c r="G276" s="5"/>
      <c r="H276" s="5"/>
      <c r="I276" s="5" t="str">
        <f t="shared" si="37"/>
        <v xml:space="preserve"> </v>
      </c>
      <c r="J276" s="33"/>
      <c r="K276" s="5" t="str">
        <f t="shared" si="38"/>
        <v xml:space="preserve"> </v>
      </c>
      <c r="L276" s="3" t="str">
        <f t="shared" si="39"/>
        <v xml:space="preserve"> </v>
      </c>
      <c r="M276" s="3" t="str">
        <f>IF(E276&gt;0,IFERROR(VLOOKUP($E276,'[2]Table 1'!$B$2:$I$147,8,0),"0.00")," ")</f>
        <v xml:space="preserve"> </v>
      </c>
      <c r="N276" s="6" t="str">
        <f t="shared" si="41"/>
        <v xml:space="preserve"> </v>
      </c>
      <c r="O276" s="7" t="str">
        <f>IF(IF(COUNTIF($B$5:B276,B276)&gt;1," ",SUMIF($B$5:$B$423,B276,$J$5:$J$423))=0," ",IF(COUNTIF($B$5:B276,B276)&gt;1," ",SUMIF($B$5:$B$423,B276,$J$5:$J$423)))</f>
        <v xml:space="preserve"> </v>
      </c>
      <c r="P276" s="8" t="str">
        <f>IF(IF(COUNTIF($B$5:B276,B276)&gt;1," ",SUMIF($B$5:$B$423,B276,$L$5:$L$423))=0," ",IF(COUNTIF($B$5:B276,B276)&gt;1," ",SUMIF($B$5:$B$423,B276,$L$5:$L$423)))</f>
        <v xml:space="preserve"> </v>
      </c>
      <c r="Q276" s="8" t="str">
        <f t="shared" si="35"/>
        <v xml:space="preserve"> </v>
      </c>
      <c r="R276" s="8" t="str">
        <f t="shared" si="42"/>
        <v xml:space="preserve"> </v>
      </c>
      <c r="S276" s="48" t="str">
        <f t="shared" si="40"/>
        <v xml:space="preserve"> </v>
      </c>
      <c r="T276" s="14" t="str">
        <f>IF(F276&gt;0,IFERROR(VLOOKUP($F276,[1]Sheet1!$C$3:$L$3445,10,0),"EOSS"),"")</f>
        <v/>
      </c>
    </row>
    <row r="277" spans="1:20" x14ac:dyDescent="0.3">
      <c r="A277" s="1"/>
      <c r="B277" s="2"/>
      <c r="C277" s="5" t="str">
        <f t="shared" si="36"/>
        <v xml:space="preserve"> </v>
      </c>
      <c r="D277" s="2"/>
      <c r="E277" s="3"/>
      <c r="F277" s="4"/>
      <c r="G277" s="5"/>
      <c r="H277" s="5"/>
      <c r="I277" s="5" t="str">
        <f t="shared" si="37"/>
        <v xml:space="preserve"> </v>
      </c>
      <c r="J277" s="33"/>
      <c r="K277" s="5" t="str">
        <f t="shared" si="38"/>
        <v xml:space="preserve"> </v>
      </c>
      <c r="L277" s="3" t="str">
        <f t="shared" si="39"/>
        <v xml:space="preserve"> </v>
      </c>
      <c r="M277" s="3" t="str">
        <f>IF(E277&gt;0,IFERROR(VLOOKUP($E277,'[2]Table 1'!$B$2:$I$147,8,0),"0.00")," ")</f>
        <v xml:space="preserve"> </v>
      </c>
      <c r="N277" s="6" t="str">
        <f t="shared" si="41"/>
        <v xml:space="preserve"> </v>
      </c>
      <c r="O277" s="7" t="str">
        <f>IF(IF(COUNTIF($B$5:B277,B277)&gt;1," ",SUMIF($B$5:$B$423,B277,$J$5:$J$423))=0," ",IF(COUNTIF($B$5:B277,B277)&gt;1," ",SUMIF($B$5:$B$423,B277,$J$5:$J$423)))</f>
        <v xml:space="preserve"> </v>
      </c>
      <c r="P277" s="8" t="str">
        <f>IF(IF(COUNTIF($B$5:B277,B277)&gt;1," ",SUMIF($B$5:$B$423,B277,$L$5:$L$423))=0," ",IF(COUNTIF($B$5:B277,B277)&gt;1," ",SUMIF($B$5:$B$423,B277,$L$5:$L$423)))</f>
        <v xml:space="preserve"> </v>
      </c>
      <c r="Q277" s="8" t="str">
        <f t="shared" si="35"/>
        <v xml:space="preserve"> </v>
      </c>
      <c r="R277" s="8" t="str">
        <f t="shared" si="42"/>
        <v xml:space="preserve"> </v>
      </c>
      <c r="S277" s="48" t="str">
        <f t="shared" si="40"/>
        <v xml:space="preserve"> </v>
      </c>
      <c r="T277" s="14" t="str">
        <f>IF(F277&gt;0,IFERROR(VLOOKUP($F277,[1]Sheet1!$C$3:$L$3445,10,0),"EOSS"),"")</f>
        <v/>
      </c>
    </row>
    <row r="278" spans="1:20" x14ac:dyDescent="0.3">
      <c r="A278" s="1"/>
      <c r="B278" s="2"/>
      <c r="C278" s="5" t="str">
        <f t="shared" si="36"/>
        <v xml:space="preserve"> </v>
      </c>
      <c r="D278" s="2"/>
      <c r="E278" s="3"/>
      <c r="F278" s="4"/>
      <c r="G278" s="5"/>
      <c r="H278" s="5"/>
      <c r="I278" s="5" t="str">
        <f t="shared" si="37"/>
        <v xml:space="preserve"> </v>
      </c>
      <c r="J278" s="33"/>
      <c r="K278" s="5" t="str">
        <f t="shared" si="38"/>
        <v xml:space="preserve"> </v>
      </c>
      <c r="L278" s="3" t="str">
        <f t="shared" si="39"/>
        <v xml:space="preserve"> </v>
      </c>
      <c r="M278" s="3" t="str">
        <f>IF(E278&gt;0,IFERROR(VLOOKUP($E278,'[2]Table 1'!$B$2:$I$147,8,0),"0.00")," ")</f>
        <v xml:space="preserve"> </v>
      </c>
      <c r="N278" s="6" t="str">
        <f t="shared" si="41"/>
        <v xml:space="preserve"> </v>
      </c>
      <c r="O278" s="7" t="str">
        <f>IF(IF(COUNTIF($B$5:B278,B278)&gt;1," ",SUMIF($B$5:$B$423,B278,$J$5:$J$423))=0," ",IF(COUNTIF($B$5:B278,B278)&gt;1," ",SUMIF($B$5:$B$423,B278,$J$5:$J$423)))</f>
        <v xml:space="preserve"> </v>
      </c>
      <c r="P278" s="8" t="str">
        <f>IF(IF(COUNTIF($B$5:B278,B278)&gt;1," ",SUMIF($B$5:$B$423,B278,$L$5:$L$423))=0," ",IF(COUNTIF($B$5:B278,B278)&gt;1," ",SUMIF($B$5:$B$423,B278,$L$5:$L$423)))</f>
        <v xml:space="preserve"> </v>
      </c>
      <c r="Q278" s="8" t="str">
        <f t="shared" ref="Q278:Q341" si="43">IFERROR(IF(O278="","",  IF(O278&gt;=2,P278*50%,         IF(O278=1,P278*40%,"")        ))," ")</f>
        <v xml:space="preserve"> </v>
      </c>
      <c r="R278" s="8" t="str">
        <f t="shared" si="42"/>
        <v xml:space="preserve"> </v>
      </c>
      <c r="S278" s="48" t="str">
        <f t="shared" si="40"/>
        <v xml:space="preserve"> </v>
      </c>
      <c r="T278" s="14" t="str">
        <f>IF(F278&gt;0,IFERROR(VLOOKUP($F278,[1]Sheet1!$C$3:$L$3445,10,0),"EOSS"),"")</f>
        <v/>
      </c>
    </row>
    <row r="279" spans="1:20" x14ac:dyDescent="0.3">
      <c r="A279" s="1"/>
      <c r="B279" s="2"/>
      <c r="C279" s="5" t="str">
        <f t="shared" si="36"/>
        <v xml:space="preserve"> </v>
      </c>
      <c r="D279" s="2"/>
      <c r="E279" s="3"/>
      <c r="F279" s="4"/>
      <c r="G279" s="5"/>
      <c r="H279" s="5"/>
      <c r="I279" s="5" t="str">
        <f t="shared" si="37"/>
        <v xml:space="preserve"> </v>
      </c>
      <c r="J279" s="33"/>
      <c r="K279" s="5" t="str">
        <f t="shared" si="38"/>
        <v xml:space="preserve"> </v>
      </c>
      <c r="L279" s="3" t="str">
        <f t="shared" si="39"/>
        <v xml:space="preserve"> </v>
      </c>
      <c r="M279" s="3" t="str">
        <f>IF(E279&gt;0,IFERROR(VLOOKUP($E279,'[2]Table 1'!$B$2:$I$147,8,0),"0.00")," ")</f>
        <v xml:space="preserve"> </v>
      </c>
      <c r="N279" s="6" t="str">
        <f t="shared" si="41"/>
        <v xml:space="preserve"> </v>
      </c>
      <c r="O279" s="7" t="str">
        <f>IF(IF(COUNTIF($B$5:B279,B279)&gt;1," ",SUMIF($B$5:$B$423,B279,$J$5:$J$423))=0," ",IF(COUNTIF($B$5:B279,B279)&gt;1," ",SUMIF($B$5:$B$423,B279,$J$5:$J$423)))</f>
        <v xml:space="preserve"> </v>
      </c>
      <c r="P279" s="8" t="str">
        <f>IF(IF(COUNTIF($B$5:B279,B279)&gt;1," ",SUMIF($B$5:$B$423,B279,$L$5:$L$423))=0," ",IF(COUNTIF($B$5:B279,B279)&gt;1," ",SUMIF($B$5:$B$423,B279,$L$5:$L$423)))</f>
        <v xml:space="preserve"> </v>
      </c>
      <c r="Q279" s="8" t="str">
        <f t="shared" si="43"/>
        <v xml:space="preserve"> </v>
      </c>
      <c r="R279" s="8" t="str">
        <f t="shared" si="42"/>
        <v xml:space="preserve"> </v>
      </c>
      <c r="S279" s="48" t="str">
        <f t="shared" si="40"/>
        <v xml:space="preserve"> </v>
      </c>
      <c r="T279" s="14" t="str">
        <f>IF(F279&gt;0,IFERROR(VLOOKUP($F279,[1]Sheet1!$C$3:$L$3445,10,0),"EOSS"),"")</f>
        <v/>
      </c>
    </row>
    <row r="280" spans="1:20" x14ac:dyDescent="0.3">
      <c r="A280" s="1"/>
      <c r="B280" s="2"/>
      <c r="C280" s="5" t="str">
        <f t="shared" si="36"/>
        <v xml:space="preserve"> </v>
      </c>
      <c r="D280" s="2"/>
      <c r="E280" s="3"/>
      <c r="F280" s="4"/>
      <c r="G280" s="5"/>
      <c r="H280" s="5"/>
      <c r="I280" s="5" t="str">
        <f t="shared" si="37"/>
        <v xml:space="preserve"> </v>
      </c>
      <c r="J280" s="33"/>
      <c r="K280" s="5" t="str">
        <f t="shared" si="38"/>
        <v xml:space="preserve"> </v>
      </c>
      <c r="L280" s="3" t="str">
        <f t="shared" si="39"/>
        <v xml:space="preserve"> </v>
      </c>
      <c r="M280" s="3" t="str">
        <f>IF(E280&gt;0,IFERROR(VLOOKUP($E280,'[2]Table 1'!$B$2:$I$147,8,0),"0.00")," ")</f>
        <v xml:space="preserve"> </v>
      </c>
      <c r="N280" s="6" t="str">
        <f t="shared" si="41"/>
        <v xml:space="preserve"> </v>
      </c>
      <c r="O280" s="7" t="str">
        <f>IF(IF(COUNTIF($B$5:B280,B280)&gt;1," ",SUMIF($B$5:$B$423,B280,$J$5:$J$423))=0," ",IF(COUNTIF($B$5:B280,B280)&gt;1," ",SUMIF($B$5:$B$423,B280,$J$5:$J$423)))</f>
        <v xml:space="preserve"> </v>
      </c>
      <c r="P280" s="8" t="str">
        <f>IF(IF(COUNTIF($B$5:B280,B280)&gt;1," ",SUMIF($B$5:$B$423,B280,$L$5:$L$423))=0," ",IF(COUNTIF($B$5:B280,B280)&gt;1," ",SUMIF($B$5:$B$423,B280,$L$5:$L$423)))</f>
        <v xml:space="preserve"> </v>
      </c>
      <c r="Q280" s="8" t="str">
        <f t="shared" si="43"/>
        <v xml:space="preserve"> </v>
      </c>
      <c r="R280" s="8" t="str">
        <f t="shared" si="42"/>
        <v xml:space="preserve"> </v>
      </c>
      <c r="S280" s="48" t="str">
        <f t="shared" si="40"/>
        <v xml:space="preserve"> </v>
      </c>
      <c r="T280" s="14" t="str">
        <f>IF(F280&gt;0,IFERROR(VLOOKUP($F280,[1]Sheet1!$C$3:$L$3445,10,0),"EOSS"),"")</f>
        <v/>
      </c>
    </row>
    <row r="281" spans="1:20" x14ac:dyDescent="0.3">
      <c r="A281" s="1"/>
      <c r="B281" s="2"/>
      <c r="C281" s="5" t="str">
        <f t="shared" si="36"/>
        <v xml:space="preserve"> </v>
      </c>
      <c r="D281" s="2"/>
      <c r="E281" s="3"/>
      <c r="F281" s="4"/>
      <c r="G281" s="5"/>
      <c r="H281" s="5"/>
      <c r="I281" s="5" t="str">
        <f t="shared" si="37"/>
        <v xml:space="preserve"> </v>
      </c>
      <c r="J281" s="33"/>
      <c r="K281" s="5" t="str">
        <f t="shared" si="38"/>
        <v xml:space="preserve"> </v>
      </c>
      <c r="L281" s="3" t="str">
        <f t="shared" si="39"/>
        <v xml:space="preserve"> </v>
      </c>
      <c r="M281" s="3" t="str">
        <f>IF(E281&gt;0,IFERROR(VLOOKUP($E281,'[2]Table 1'!$B$2:$I$147,8,0),"0.00")," ")</f>
        <v xml:space="preserve"> </v>
      </c>
      <c r="N281" s="6" t="str">
        <f t="shared" si="41"/>
        <v xml:space="preserve"> </v>
      </c>
      <c r="O281" s="7" t="str">
        <f>IF(IF(COUNTIF($B$5:B281,B281)&gt;1," ",SUMIF($B$5:$B$423,B281,$J$5:$J$423))=0," ",IF(COUNTIF($B$5:B281,B281)&gt;1," ",SUMIF($B$5:$B$423,B281,$J$5:$J$423)))</f>
        <v xml:space="preserve"> </v>
      </c>
      <c r="P281" s="8" t="str">
        <f>IF(IF(COUNTIF($B$5:B281,B281)&gt;1," ",SUMIF($B$5:$B$423,B281,$L$5:$L$423))=0," ",IF(COUNTIF($B$5:B281,B281)&gt;1," ",SUMIF($B$5:$B$423,B281,$L$5:$L$423)))</f>
        <v xml:space="preserve"> </v>
      </c>
      <c r="Q281" s="8" t="str">
        <f t="shared" si="43"/>
        <v xml:space="preserve"> </v>
      </c>
      <c r="R281" s="8" t="str">
        <f t="shared" si="42"/>
        <v xml:space="preserve"> </v>
      </c>
      <c r="S281" s="48" t="str">
        <f t="shared" si="40"/>
        <v xml:space="preserve"> </v>
      </c>
      <c r="T281" s="14" t="str">
        <f>IF(F281&gt;0,IFERROR(VLOOKUP($F281,[1]Sheet1!$C$3:$L$3445,10,0),"EOSS"),"")</f>
        <v/>
      </c>
    </row>
    <row r="282" spans="1:20" x14ac:dyDescent="0.3">
      <c r="A282" s="1"/>
      <c r="B282" s="2"/>
      <c r="C282" s="5" t="str">
        <f t="shared" si="36"/>
        <v xml:space="preserve"> </v>
      </c>
      <c r="D282" s="2"/>
      <c r="E282" s="3"/>
      <c r="F282" s="4"/>
      <c r="G282" s="5"/>
      <c r="H282" s="5"/>
      <c r="I282" s="5" t="str">
        <f t="shared" si="37"/>
        <v xml:space="preserve"> </v>
      </c>
      <c r="J282" s="33"/>
      <c r="K282" s="5" t="str">
        <f t="shared" si="38"/>
        <v xml:space="preserve"> </v>
      </c>
      <c r="L282" s="3" t="str">
        <f t="shared" si="39"/>
        <v xml:space="preserve"> </v>
      </c>
      <c r="M282" s="3" t="str">
        <f>IF(E282&gt;0,IFERROR(VLOOKUP($E282,'[2]Table 1'!$B$2:$I$147,8,0),"0.00")," ")</f>
        <v xml:space="preserve"> </v>
      </c>
      <c r="N282" s="6" t="str">
        <f t="shared" si="41"/>
        <v xml:space="preserve"> </v>
      </c>
      <c r="O282" s="7" t="str">
        <f>IF(IF(COUNTIF($B$5:B282,B282)&gt;1," ",SUMIF($B$5:$B$423,B282,$J$5:$J$423))=0," ",IF(COUNTIF($B$5:B282,B282)&gt;1," ",SUMIF($B$5:$B$423,B282,$J$5:$J$423)))</f>
        <v xml:space="preserve"> </v>
      </c>
      <c r="P282" s="8" t="str">
        <f>IF(IF(COUNTIF($B$5:B282,B282)&gt;1," ",SUMIF($B$5:$B$423,B282,$L$5:$L$423))=0," ",IF(COUNTIF($B$5:B282,B282)&gt;1," ",SUMIF($B$5:$B$423,B282,$L$5:$L$423)))</f>
        <v xml:space="preserve"> </v>
      </c>
      <c r="Q282" s="8" t="str">
        <f t="shared" si="43"/>
        <v xml:space="preserve"> </v>
      </c>
      <c r="R282" s="8" t="str">
        <f t="shared" si="42"/>
        <v xml:space="preserve"> </v>
      </c>
      <c r="S282" s="48" t="str">
        <f t="shared" si="40"/>
        <v xml:space="preserve"> </v>
      </c>
      <c r="T282" s="14" t="str">
        <f>IF(F282&gt;0,IFERROR(VLOOKUP($F282,[1]Sheet1!$C$3:$L$3445,10,0),"EOSS"),"")</f>
        <v/>
      </c>
    </row>
    <row r="283" spans="1:20" x14ac:dyDescent="0.3">
      <c r="A283" s="1"/>
      <c r="B283" s="2"/>
      <c r="C283" s="5" t="str">
        <f t="shared" si="36"/>
        <v xml:space="preserve"> </v>
      </c>
      <c r="D283" s="2"/>
      <c r="E283" s="3"/>
      <c r="F283" s="4"/>
      <c r="G283" s="5"/>
      <c r="H283" s="5"/>
      <c r="I283" s="5" t="str">
        <f t="shared" si="37"/>
        <v xml:space="preserve"> </v>
      </c>
      <c r="J283" s="33"/>
      <c r="K283" s="5" t="str">
        <f t="shared" si="38"/>
        <v xml:space="preserve"> </v>
      </c>
      <c r="L283" s="3" t="str">
        <f t="shared" si="39"/>
        <v xml:space="preserve"> </v>
      </c>
      <c r="M283" s="3" t="str">
        <f>IF(E283&gt;0,IFERROR(VLOOKUP($E283,'[2]Table 1'!$B$2:$I$147,8,0),"0.00")," ")</f>
        <v xml:space="preserve"> </v>
      </c>
      <c r="N283" s="6" t="str">
        <f t="shared" si="41"/>
        <v xml:space="preserve"> </v>
      </c>
      <c r="O283" s="7" t="str">
        <f>IF(IF(COUNTIF($B$5:B283,B283)&gt;1," ",SUMIF($B$5:$B$423,B283,$J$5:$J$423))=0," ",IF(COUNTIF($B$5:B283,B283)&gt;1," ",SUMIF($B$5:$B$423,B283,$J$5:$J$423)))</f>
        <v xml:space="preserve"> </v>
      </c>
      <c r="P283" s="8" t="str">
        <f>IF(IF(COUNTIF($B$5:B283,B283)&gt;1," ",SUMIF($B$5:$B$423,B283,$L$5:$L$423))=0," ",IF(COUNTIF($B$5:B283,B283)&gt;1," ",SUMIF($B$5:$B$423,B283,$L$5:$L$423)))</f>
        <v xml:space="preserve"> </v>
      </c>
      <c r="Q283" s="8" t="str">
        <f t="shared" si="43"/>
        <v xml:space="preserve"> </v>
      </c>
      <c r="R283" s="8" t="str">
        <f t="shared" si="42"/>
        <v xml:space="preserve"> </v>
      </c>
      <c r="S283" s="48" t="str">
        <f t="shared" si="40"/>
        <v xml:space="preserve"> </v>
      </c>
      <c r="T283" s="14" t="str">
        <f>IF(F283&gt;0,IFERROR(VLOOKUP($F283,[1]Sheet1!$C$3:$L$3445,10,0),"EOSS"),"")</f>
        <v/>
      </c>
    </row>
    <row r="284" spans="1:20" x14ac:dyDescent="0.3">
      <c r="A284" s="1"/>
      <c r="B284" s="2"/>
      <c r="C284" s="5" t="str">
        <f t="shared" si="36"/>
        <v xml:space="preserve"> </v>
      </c>
      <c r="D284" s="2"/>
      <c r="E284" s="3"/>
      <c r="F284" s="4"/>
      <c r="G284" s="5"/>
      <c r="H284" s="5"/>
      <c r="I284" s="5" t="str">
        <f t="shared" si="37"/>
        <v xml:space="preserve"> </v>
      </c>
      <c r="J284" s="33"/>
      <c r="K284" s="5" t="str">
        <f t="shared" si="38"/>
        <v xml:space="preserve"> </v>
      </c>
      <c r="L284" s="3" t="str">
        <f t="shared" si="39"/>
        <v xml:space="preserve"> </v>
      </c>
      <c r="M284" s="3" t="str">
        <f>IF(E284&gt;0,IFERROR(VLOOKUP($E284,'[2]Table 1'!$B$2:$I$147,8,0),"0.00")," ")</f>
        <v xml:space="preserve"> </v>
      </c>
      <c r="N284" s="6" t="str">
        <f t="shared" si="41"/>
        <v xml:space="preserve"> </v>
      </c>
      <c r="O284" s="7" t="str">
        <f>IF(IF(COUNTIF($B$5:B284,B284)&gt;1," ",SUMIF($B$5:$B$423,B284,$J$5:$J$423))=0," ",IF(COUNTIF($B$5:B284,B284)&gt;1," ",SUMIF($B$5:$B$423,B284,$J$5:$J$423)))</f>
        <v xml:space="preserve"> </v>
      </c>
      <c r="P284" s="8" t="str">
        <f>IF(IF(COUNTIF($B$5:B284,B284)&gt;1," ",SUMIF($B$5:$B$423,B284,$L$5:$L$423))=0," ",IF(COUNTIF($B$5:B284,B284)&gt;1," ",SUMIF($B$5:$B$423,B284,$L$5:$L$423)))</f>
        <v xml:space="preserve"> </v>
      </c>
      <c r="Q284" s="8" t="str">
        <f t="shared" si="43"/>
        <v xml:space="preserve"> </v>
      </c>
      <c r="R284" s="8" t="str">
        <f t="shared" si="42"/>
        <v xml:space="preserve"> </v>
      </c>
      <c r="S284" s="48" t="str">
        <f t="shared" si="40"/>
        <v xml:space="preserve"> </v>
      </c>
      <c r="T284" s="14" t="str">
        <f>IF(F284&gt;0,IFERROR(VLOOKUP($F284,[1]Sheet1!$C$3:$L$3445,10,0),"EOSS"),"")</f>
        <v/>
      </c>
    </row>
    <row r="285" spans="1:20" x14ac:dyDescent="0.3">
      <c r="A285" s="1"/>
      <c r="B285" s="2"/>
      <c r="C285" s="5" t="str">
        <f t="shared" si="36"/>
        <v xml:space="preserve"> </v>
      </c>
      <c r="D285" s="2"/>
      <c r="E285" s="3"/>
      <c r="F285" s="4"/>
      <c r="G285" s="5"/>
      <c r="H285" s="5"/>
      <c r="I285" s="5" t="str">
        <f t="shared" si="37"/>
        <v xml:space="preserve"> </v>
      </c>
      <c r="J285" s="33"/>
      <c r="K285" s="5" t="str">
        <f t="shared" si="38"/>
        <v xml:space="preserve"> </v>
      </c>
      <c r="L285" s="3" t="str">
        <f t="shared" si="39"/>
        <v xml:space="preserve"> </v>
      </c>
      <c r="M285" s="3" t="str">
        <f>IF(E285&gt;0,IFERROR(VLOOKUP($E285,'[2]Table 1'!$B$2:$I$147,8,0),"0.00")," ")</f>
        <v xml:space="preserve"> </v>
      </c>
      <c r="N285" s="6" t="str">
        <f t="shared" si="41"/>
        <v xml:space="preserve"> </v>
      </c>
      <c r="O285" s="7" t="str">
        <f>IF(IF(COUNTIF($B$5:B285,B285)&gt;1," ",SUMIF($B$5:$B$423,B285,$J$5:$J$423))=0," ",IF(COUNTIF($B$5:B285,B285)&gt;1," ",SUMIF($B$5:$B$423,B285,$J$5:$J$423)))</f>
        <v xml:space="preserve"> </v>
      </c>
      <c r="P285" s="8" t="str">
        <f>IF(IF(COUNTIF($B$5:B285,B285)&gt;1," ",SUMIF($B$5:$B$423,B285,$L$5:$L$423))=0," ",IF(COUNTIF($B$5:B285,B285)&gt;1," ",SUMIF($B$5:$B$423,B285,$L$5:$L$423)))</f>
        <v xml:space="preserve"> </v>
      </c>
      <c r="Q285" s="8" t="str">
        <f t="shared" si="43"/>
        <v xml:space="preserve"> </v>
      </c>
      <c r="R285" s="8" t="str">
        <f t="shared" si="42"/>
        <v xml:space="preserve"> </v>
      </c>
      <c r="S285" s="48" t="str">
        <f t="shared" si="40"/>
        <v xml:space="preserve"> </v>
      </c>
      <c r="T285" s="14" t="str">
        <f>IF(F285&gt;0,IFERROR(VLOOKUP($F285,[1]Sheet1!$C$3:$L$3445,10,0),"EOSS"),"")</f>
        <v/>
      </c>
    </row>
    <row r="286" spans="1:20" x14ac:dyDescent="0.3">
      <c r="A286" s="1"/>
      <c r="B286" s="2"/>
      <c r="C286" s="5" t="str">
        <f t="shared" si="36"/>
        <v xml:space="preserve"> </v>
      </c>
      <c r="D286" s="2"/>
      <c r="E286" s="3"/>
      <c r="F286" s="4"/>
      <c r="G286" s="5"/>
      <c r="H286" s="5"/>
      <c r="I286" s="5" t="str">
        <f t="shared" si="37"/>
        <v xml:space="preserve"> </v>
      </c>
      <c r="J286" s="33"/>
      <c r="K286" s="5" t="str">
        <f t="shared" si="38"/>
        <v xml:space="preserve"> </v>
      </c>
      <c r="L286" s="3" t="str">
        <f t="shared" si="39"/>
        <v xml:space="preserve"> </v>
      </c>
      <c r="M286" s="3" t="str">
        <f>IF(E286&gt;0,IFERROR(VLOOKUP($E286,'[2]Table 1'!$B$2:$I$147,8,0),"0.00")," ")</f>
        <v xml:space="preserve"> </v>
      </c>
      <c r="N286" s="6" t="str">
        <f t="shared" si="41"/>
        <v xml:space="preserve"> </v>
      </c>
      <c r="O286" s="7" t="str">
        <f>IF(IF(COUNTIF($B$5:B286,B286)&gt;1," ",SUMIF($B$5:$B$423,B286,$J$5:$J$423))=0," ",IF(COUNTIF($B$5:B286,B286)&gt;1," ",SUMIF($B$5:$B$423,B286,$J$5:$J$423)))</f>
        <v xml:space="preserve"> </v>
      </c>
      <c r="P286" s="8" t="str">
        <f>IF(IF(COUNTIF($B$5:B286,B286)&gt;1," ",SUMIF($B$5:$B$423,B286,$L$5:$L$423))=0," ",IF(COUNTIF($B$5:B286,B286)&gt;1," ",SUMIF($B$5:$B$423,B286,$L$5:$L$423)))</f>
        <v xml:space="preserve"> </v>
      </c>
      <c r="Q286" s="8" t="str">
        <f t="shared" si="43"/>
        <v xml:space="preserve"> </v>
      </c>
      <c r="R286" s="8" t="str">
        <f t="shared" si="42"/>
        <v xml:space="preserve"> </v>
      </c>
      <c r="S286" s="48" t="str">
        <f t="shared" si="40"/>
        <v xml:space="preserve"> </v>
      </c>
      <c r="T286" s="14" t="str">
        <f>IF(F286&gt;0,IFERROR(VLOOKUP($F286,[1]Sheet1!$C$3:$L$3445,10,0),"EOSS"),"")</f>
        <v/>
      </c>
    </row>
    <row r="287" spans="1:20" x14ac:dyDescent="0.3">
      <c r="A287" s="1"/>
      <c r="B287" s="2"/>
      <c r="C287" s="5" t="str">
        <f t="shared" si="36"/>
        <v xml:space="preserve"> </v>
      </c>
      <c r="D287" s="2"/>
      <c r="E287" s="3"/>
      <c r="F287" s="4"/>
      <c r="G287" s="5"/>
      <c r="H287" s="5"/>
      <c r="I287" s="5" t="str">
        <f t="shared" si="37"/>
        <v xml:space="preserve"> </v>
      </c>
      <c r="J287" s="33"/>
      <c r="K287" s="5" t="str">
        <f t="shared" si="38"/>
        <v xml:space="preserve"> </v>
      </c>
      <c r="L287" s="3" t="str">
        <f t="shared" si="39"/>
        <v xml:space="preserve"> </v>
      </c>
      <c r="M287" s="3" t="str">
        <f>IF(E287&gt;0,IFERROR(VLOOKUP($E287,'[2]Table 1'!$B$2:$I$147,8,0),"0.00")," ")</f>
        <v xml:space="preserve"> </v>
      </c>
      <c r="N287" s="6" t="str">
        <f t="shared" si="41"/>
        <v xml:space="preserve"> </v>
      </c>
      <c r="O287" s="7" t="str">
        <f>IF(IF(COUNTIF($B$5:B287,B287)&gt;1," ",SUMIF($B$5:$B$423,B287,$J$5:$J$423))=0," ",IF(COUNTIF($B$5:B287,B287)&gt;1," ",SUMIF($B$5:$B$423,B287,$J$5:$J$423)))</f>
        <v xml:space="preserve"> </v>
      </c>
      <c r="P287" s="8" t="str">
        <f>IF(IF(COUNTIF($B$5:B287,B287)&gt;1," ",SUMIF($B$5:$B$423,B287,$L$5:$L$423))=0," ",IF(COUNTIF($B$5:B287,B287)&gt;1," ",SUMIF($B$5:$B$423,B287,$L$5:$L$423)))</f>
        <v xml:space="preserve"> </v>
      </c>
      <c r="Q287" s="8" t="str">
        <f t="shared" si="43"/>
        <v xml:space="preserve"> </v>
      </c>
      <c r="R287" s="8" t="str">
        <f t="shared" si="42"/>
        <v xml:space="preserve"> </v>
      </c>
      <c r="S287" s="48" t="str">
        <f t="shared" si="40"/>
        <v xml:space="preserve"> </v>
      </c>
      <c r="T287" s="14" t="str">
        <f>IF(F287&gt;0,IFERROR(VLOOKUP($F287,[1]Sheet1!$C$3:$L$3445,10,0),"EOSS"),"")</f>
        <v/>
      </c>
    </row>
    <row r="288" spans="1:20" x14ac:dyDescent="0.3">
      <c r="A288" s="1"/>
      <c r="B288" s="2"/>
      <c r="C288" s="5" t="str">
        <f t="shared" si="36"/>
        <v xml:space="preserve"> </v>
      </c>
      <c r="D288" s="2"/>
      <c r="E288" s="3"/>
      <c r="F288" s="4"/>
      <c r="G288" s="5"/>
      <c r="H288" s="5"/>
      <c r="I288" s="5" t="str">
        <f t="shared" si="37"/>
        <v xml:space="preserve"> </v>
      </c>
      <c r="J288" s="33"/>
      <c r="K288" s="5" t="str">
        <f t="shared" si="38"/>
        <v xml:space="preserve"> </v>
      </c>
      <c r="L288" s="3" t="str">
        <f t="shared" si="39"/>
        <v xml:space="preserve"> </v>
      </c>
      <c r="M288" s="3" t="str">
        <f>IF(E288&gt;0,IFERROR(VLOOKUP($E288,'[2]Table 1'!$B$2:$I$147,8,0),"0.00")," ")</f>
        <v xml:space="preserve"> </v>
      </c>
      <c r="N288" s="6" t="str">
        <f t="shared" si="41"/>
        <v xml:space="preserve"> </v>
      </c>
      <c r="O288" s="7" t="str">
        <f>IF(IF(COUNTIF($B$5:B288,B288)&gt;1," ",SUMIF($B$5:$B$423,B288,$J$5:$J$423))=0," ",IF(COUNTIF($B$5:B288,B288)&gt;1," ",SUMIF($B$5:$B$423,B288,$J$5:$J$423)))</f>
        <v xml:space="preserve"> </v>
      </c>
      <c r="P288" s="8" t="str">
        <f>IF(IF(COUNTIF($B$5:B288,B288)&gt;1," ",SUMIF($B$5:$B$423,B288,$L$5:$L$423))=0," ",IF(COUNTIF($B$5:B288,B288)&gt;1," ",SUMIF($B$5:$B$423,B288,$L$5:$L$423)))</f>
        <v xml:space="preserve"> </v>
      </c>
      <c r="Q288" s="8" t="str">
        <f t="shared" si="43"/>
        <v xml:space="preserve"> </v>
      </c>
      <c r="R288" s="8" t="str">
        <f t="shared" si="42"/>
        <v xml:space="preserve"> </v>
      </c>
      <c r="S288" s="48" t="str">
        <f t="shared" si="40"/>
        <v xml:space="preserve"> </v>
      </c>
      <c r="T288" s="14" t="str">
        <f>IF(F288&gt;0,IFERROR(VLOOKUP($F288,[1]Sheet1!$C$3:$L$3445,10,0),"EOSS"),"")</f>
        <v/>
      </c>
    </row>
    <row r="289" spans="1:20" x14ac:dyDescent="0.3">
      <c r="A289" s="1"/>
      <c r="B289" s="2"/>
      <c r="C289" s="5" t="str">
        <f t="shared" si="36"/>
        <v xml:space="preserve"> </v>
      </c>
      <c r="D289" s="2"/>
      <c r="E289" s="3"/>
      <c r="F289" s="4"/>
      <c r="G289" s="5"/>
      <c r="H289" s="5"/>
      <c r="I289" s="5" t="str">
        <f t="shared" si="37"/>
        <v xml:space="preserve"> </v>
      </c>
      <c r="J289" s="33"/>
      <c r="K289" s="5" t="str">
        <f t="shared" si="38"/>
        <v xml:space="preserve"> </v>
      </c>
      <c r="L289" s="3" t="str">
        <f t="shared" si="39"/>
        <v xml:space="preserve"> </v>
      </c>
      <c r="M289" s="3" t="str">
        <f>IF(E289&gt;0,IFERROR(VLOOKUP($E289,'[2]Table 1'!$B$2:$I$147,8,0),"0.00")," ")</f>
        <v xml:space="preserve"> </v>
      </c>
      <c r="N289" s="6" t="str">
        <f t="shared" si="41"/>
        <v xml:space="preserve"> </v>
      </c>
      <c r="O289" s="7" t="str">
        <f>IF(IF(COUNTIF($B$5:B289,B289)&gt;1," ",SUMIF($B$5:$B$423,B289,$J$5:$J$423))=0," ",IF(COUNTIF($B$5:B289,B289)&gt;1," ",SUMIF($B$5:$B$423,B289,$J$5:$J$423)))</f>
        <v xml:space="preserve"> </v>
      </c>
      <c r="P289" s="8" t="str">
        <f>IF(IF(COUNTIF($B$5:B289,B289)&gt;1," ",SUMIF($B$5:$B$423,B289,$L$5:$L$423))=0," ",IF(COUNTIF($B$5:B289,B289)&gt;1," ",SUMIF($B$5:$B$423,B289,$L$5:$L$423)))</f>
        <v xml:space="preserve"> </v>
      </c>
      <c r="Q289" s="8" t="str">
        <f t="shared" si="43"/>
        <v xml:space="preserve"> </v>
      </c>
      <c r="R289" s="8" t="str">
        <f t="shared" si="42"/>
        <v xml:space="preserve"> </v>
      </c>
      <c r="S289" s="48" t="str">
        <f t="shared" si="40"/>
        <v xml:space="preserve"> </v>
      </c>
      <c r="T289" s="14" t="str">
        <f>IF(F289&gt;0,IFERROR(VLOOKUP($F289,[1]Sheet1!$C$3:$L$3445,10,0),"EOSS"),"")</f>
        <v/>
      </c>
    </row>
    <row r="290" spans="1:20" x14ac:dyDescent="0.3">
      <c r="A290" s="1"/>
      <c r="B290" s="2"/>
      <c r="C290" s="5" t="str">
        <f t="shared" si="36"/>
        <v xml:space="preserve"> </v>
      </c>
      <c r="D290" s="2"/>
      <c r="E290" s="3"/>
      <c r="F290" s="4"/>
      <c r="G290" s="5"/>
      <c r="H290" s="5"/>
      <c r="I290" s="5" t="str">
        <f t="shared" si="37"/>
        <v xml:space="preserve"> </v>
      </c>
      <c r="J290" s="33"/>
      <c r="K290" s="5" t="str">
        <f t="shared" si="38"/>
        <v xml:space="preserve"> </v>
      </c>
      <c r="L290" s="3" t="str">
        <f t="shared" si="39"/>
        <v xml:space="preserve"> </v>
      </c>
      <c r="M290" s="3" t="str">
        <f>IF(E290&gt;0,IFERROR(VLOOKUP($E290,'[2]Table 1'!$B$2:$I$147,8,0),"0.00")," ")</f>
        <v xml:space="preserve"> </v>
      </c>
      <c r="N290" s="6" t="str">
        <f t="shared" si="41"/>
        <v xml:space="preserve"> </v>
      </c>
      <c r="O290" s="7" t="str">
        <f>IF(IF(COUNTIF($B$5:B290,B290)&gt;1," ",SUMIF($B$5:$B$423,B290,$J$5:$J$423))=0," ",IF(COUNTIF($B$5:B290,B290)&gt;1," ",SUMIF($B$5:$B$423,B290,$J$5:$J$423)))</f>
        <v xml:space="preserve"> </v>
      </c>
      <c r="P290" s="8" t="str">
        <f>IF(IF(COUNTIF($B$5:B290,B290)&gt;1," ",SUMIF($B$5:$B$423,B290,$L$5:$L$423))=0," ",IF(COUNTIF($B$5:B290,B290)&gt;1," ",SUMIF($B$5:$B$423,B290,$L$5:$L$423)))</f>
        <v xml:space="preserve"> </v>
      </c>
      <c r="Q290" s="8" t="str">
        <f t="shared" si="43"/>
        <v xml:space="preserve"> </v>
      </c>
      <c r="R290" s="8" t="str">
        <f t="shared" si="42"/>
        <v xml:space="preserve"> </v>
      </c>
      <c r="S290" s="48" t="str">
        <f t="shared" si="40"/>
        <v xml:space="preserve"> </v>
      </c>
      <c r="T290" s="14" t="str">
        <f>IF(F290&gt;0,IFERROR(VLOOKUP($F290,[1]Sheet1!$C$3:$L$3445,10,0),"EOSS"),"")</f>
        <v/>
      </c>
    </row>
    <row r="291" spans="1:20" x14ac:dyDescent="0.3">
      <c r="A291" s="1"/>
      <c r="B291" s="2"/>
      <c r="C291" s="5" t="str">
        <f t="shared" si="36"/>
        <v xml:space="preserve"> </v>
      </c>
      <c r="D291" s="2"/>
      <c r="E291" s="3"/>
      <c r="F291" s="4"/>
      <c r="G291" s="5"/>
      <c r="H291" s="5"/>
      <c r="I291" s="5" t="str">
        <f t="shared" si="37"/>
        <v xml:space="preserve"> </v>
      </c>
      <c r="J291" s="33"/>
      <c r="K291" s="5" t="str">
        <f t="shared" si="38"/>
        <v xml:space="preserve"> </v>
      </c>
      <c r="L291" s="3" t="str">
        <f t="shared" si="39"/>
        <v xml:space="preserve"> </v>
      </c>
      <c r="M291" s="3" t="str">
        <f>IF(E291&gt;0,IFERROR(VLOOKUP($E291,'[2]Table 1'!$B$2:$I$147,8,0),"0.00")," ")</f>
        <v xml:space="preserve"> </v>
      </c>
      <c r="N291" s="6" t="str">
        <f t="shared" si="41"/>
        <v xml:space="preserve"> </v>
      </c>
      <c r="O291" s="7" t="str">
        <f>IF(IF(COUNTIF($B$5:B291,B291)&gt;1," ",SUMIF($B$5:$B$423,B291,$J$5:$J$423))=0," ",IF(COUNTIF($B$5:B291,B291)&gt;1," ",SUMIF($B$5:$B$423,B291,$J$5:$J$423)))</f>
        <v xml:space="preserve"> </v>
      </c>
      <c r="P291" s="8" t="str">
        <f>IF(IF(COUNTIF($B$5:B291,B291)&gt;1," ",SUMIF($B$5:$B$423,B291,$L$5:$L$423))=0," ",IF(COUNTIF($B$5:B291,B291)&gt;1," ",SUMIF($B$5:$B$423,B291,$L$5:$L$423)))</f>
        <v xml:space="preserve"> </v>
      </c>
      <c r="Q291" s="8" t="str">
        <f t="shared" si="43"/>
        <v xml:space="preserve"> </v>
      </c>
      <c r="R291" s="8" t="str">
        <f t="shared" si="42"/>
        <v xml:space="preserve"> </v>
      </c>
      <c r="S291" s="48" t="str">
        <f t="shared" si="40"/>
        <v xml:space="preserve"> </v>
      </c>
      <c r="T291" s="14" t="str">
        <f>IF(F291&gt;0,IFERROR(VLOOKUP($F291,[1]Sheet1!$C$3:$L$3445,10,0),"EOSS"),"")</f>
        <v/>
      </c>
    </row>
    <row r="292" spans="1:20" x14ac:dyDescent="0.3">
      <c r="A292" s="1"/>
      <c r="B292" s="2"/>
      <c r="C292" s="5" t="str">
        <f t="shared" si="36"/>
        <v xml:space="preserve"> </v>
      </c>
      <c r="D292" s="2"/>
      <c r="E292" s="3"/>
      <c r="F292" s="4"/>
      <c r="G292" s="5"/>
      <c r="H292" s="5"/>
      <c r="I292" s="5" t="str">
        <f t="shared" si="37"/>
        <v xml:space="preserve"> </v>
      </c>
      <c r="J292" s="33"/>
      <c r="K292" s="5" t="str">
        <f t="shared" si="38"/>
        <v xml:space="preserve"> </v>
      </c>
      <c r="L292" s="3" t="str">
        <f t="shared" si="39"/>
        <v xml:space="preserve"> </v>
      </c>
      <c r="M292" s="3" t="str">
        <f>IF(E292&gt;0,IFERROR(VLOOKUP($E292,'[2]Table 1'!$B$2:$I$147,8,0),"0.00")," ")</f>
        <v xml:space="preserve"> </v>
      </c>
      <c r="N292" s="6" t="str">
        <f t="shared" si="41"/>
        <v xml:space="preserve"> </v>
      </c>
      <c r="O292" s="7" t="str">
        <f>IF(IF(COUNTIF($B$5:B292,B292)&gt;1," ",SUMIF($B$5:$B$423,B292,$J$5:$J$423))=0," ",IF(COUNTIF($B$5:B292,B292)&gt;1," ",SUMIF($B$5:$B$423,B292,$J$5:$J$423)))</f>
        <v xml:space="preserve"> </v>
      </c>
      <c r="P292" s="8" t="str">
        <f>IF(IF(COUNTIF($B$5:B292,B292)&gt;1," ",SUMIF($B$5:$B$423,B292,$L$5:$L$423))=0," ",IF(COUNTIF($B$5:B292,B292)&gt;1," ",SUMIF($B$5:$B$423,B292,$L$5:$L$423)))</f>
        <v xml:space="preserve"> </v>
      </c>
      <c r="Q292" s="8" t="str">
        <f t="shared" si="43"/>
        <v xml:space="preserve"> </v>
      </c>
      <c r="R292" s="8" t="str">
        <f t="shared" si="42"/>
        <v xml:space="preserve"> </v>
      </c>
      <c r="S292" s="48" t="str">
        <f t="shared" si="40"/>
        <v xml:space="preserve"> </v>
      </c>
      <c r="T292" s="14" t="str">
        <f>IF(F292&gt;0,IFERROR(VLOOKUP($F292,[1]Sheet1!$C$3:$L$3445,10,0),"EOSS"),"")</f>
        <v/>
      </c>
    </row>
    <row r="293" spans="1:20" x14ac:dyDescent="0.3">
      <c r="A293" s="1"/>
      <c r="B293" s="2"/>
      <c r="C293" s="5" t="str">
        <f t="shared" si="36"/>
        <v xml:space="preserve"> </v>
      </c>
      <c r="D293" s="2"/>
      <c r="E293" s="3"/>
      <c r="F293" s="4"/>
      <c r="G293" s="5"/>
      <c r="H293" s="5"/>
      <c r="I293" s="5" t="str">
        <f t="shared" si="37"/>
        <v xml:space="preserve"> </v>
      </c>
      <c r="J293" s="33"/>
      <c r="K293" s="5" t="str">
        <f t="shared" si="38"/>
        <v xml:space="preserve"> </v>
      </c>
      <c r="L293" s="3" t="str">
        <f t="shared" si="39"/>
        <v xml:space="preserve"> </v>
      </c>
      <c r="M293" s="3" t="str">
        <f>IF(E293&gt;0,IFERROR(VLOOKUP($E293,'[2]Table 1'!$B$2:$I$147,8,0),"0.00")," ")</f>
        <v xml:space="preserve"> </v>
      </c>
      <c r="N293" s="6" t="str">
        <f t="shared" si="41"/>
        <v xml:space="preserve"> </v>
      </c>
      <c r="O293" s="7" t="str">
        <f>IF(IF(COUNTIF($B$5:B293,B293)&gt;1," ",SUMIF($B$5:$B$423,B293,$J$5:$J$423))=0," ",IF(COUNTIF($B$5:B293,B293)&gt;1," ",SUMIF($B$5:$B$423,B293,$J$5:$J$423)))</f>
        <v xml:space="preserve"> </v>
      </c>
      <c r="P293" s="8" t="str">
        <f>IF(IF(COUNTIF($B$5:B293,B293)&gt;1," ",SUMIF($B$5:$B$423,B293,$L$5:$L$423))=0," ",IF(COUNTIF($B$5:B293,B293)&gt;1," ",SUMIF($B$5:$B$423,B293,$L$5:$L$423)))</f>
        <v xml:space="preserve"> </v>
      </c>
      <c r="Q293" s="8" t="str">
        <f t="shared" si="43"/>
        <v xml:space="preserve"> </v>
      </c>
      <c r="R293" s="8" t="str">
        <f t="shared" si="42"/>
        <v xml:space="preserve"> </v>
      </c>
      <c r="S293" s="48" t="str">
        <f t="shared" si="40"/>
        <v xml:space="preserve"> </v>
      </c>
      <c r="T293" s="14" t="str">
        <f>IF(F293&gt;0,IFERROR(VLOOKUP($F293,[1]Sheet1!$C$3:$L$3445,10,0),"EOSS"),"")</f>
        <v/>
      </c>
    </row>
    <row r="294" spans="1:20" x14ac:dyDescent="0.3">
      <c r="A294" s="1"/>
      <c r="B294" s="2"/>
      <c r="C294" s="5" t="str">
        <f t="shared" si="36"/>
        <v xml:space="preserve"> </v>
      </c>
      <c r="D294" s="2"/>
      <c r="E294" s="3"/>
      <c r="F294" s="4"/>
      <c r="G294" s="5"/>
      <c r="H294" s="5"/>
      <c r="I294" s="5" t="str">
        <f t="shared" si="37"/>
        <v xml:space="preserve"> </v>
      </c>
      <c r="J294" s="33"/>
      <c r="K294" s="5" t="str">
        <f t="shared" si="38"/>
        <v xml:space="preserve"> </v>
      </c>
      <c r="L294" s="3" t="str">
        <f t="shared" si="39"/>
        <v xml:space="preserve"> </v>
      </c>
      <c r="M294" s="3" t="str">
        <f>IF(E294&gt;0,IFERROR(VLOOKUP($E294,'[2]Table 1'!$B$2:$I$147,8,0),"0.00")," ")</f>
        <v xml:space="preserve"> </v>
      </c>
      <c r="N294" s="6" t="str">
        <f t="shared" si="41"/>
        <v xml:space="preserve"> </v>
      </c>
      <c r="O294" s="7" t="str">
        <f>IF(IF(COUNTIF($B$5:B294,B294)&gt;1," ",SUMIF($B$5:$B$423,B294,$J$5:$J$423))=0," ",IF(COUNTIF($B$5:B294,B294)&gt;1," ",SUMIF($B$5:$B$423,B294,$J$5:$J$423)))</f>
        <v xml:space="preserve"> </v>
      </c>
      <c r="P294" s="8" t="str">
        <f>IF(IF(COUNTIF($B$5:B294,B294)&gt;1," ",SUMIF($B$5:$B$423,B294,$L$5:$L$423))=0," ",IF(COUNTIF($B$5:B294,B294)&gt;1," ",SUMIF($B$5:$B$423,B294,$L$5:$L$423)))</f>
        <v xml:space="preserve"> </v>
      </c>
      <c r="Q294" s="8" t="str">
        <f t="shared" si="43"/>
        <v xml:space="preserve"> </v>
      </c>
      <c r="R294" s="8" t="str">
        <f t="shared" si="42"/>
        <v xml:space="preserve"> </v>
      </c>
      <c r="S294" s="48" t="str">
        <f t="shared" si="40"/>
        <v xml:space="preserve"> </v>
      </c>
      <c r="T294" s="14" t="str">
        <f>IF(F294&gt;0,IFERROR(VLOOKUP($F294,[1]Sheet1!$C$3:$L$3445,10,0),"EOSS"),"")</f>
        <v/>
      </c>
    </row>
    <row r="295" spans="1:20" x14ac:dyDescent="0.3">
      <c r="A295" s="1"/>
      <c r="B295" s="2"/>
      <c r="C295" s="5" t="str">
        <f t="shared" si="36"/>
        <v xml:space="preserve"> </v>
      </c>
      <c r="D295" s="2"/>
      <c r="E295" s="3"/>
      <c r="F295" s="4"/>
      <c r="G295" s="5"/>
      <c r="H295" s="5"/>
      <c r="I295" s="5" t="str">
        <f t="shared" si="37"/>
        <v xml:space="preserve"> </v>
      </c>
      <c r="J295" s="33"/>
      <c r="K295" s="5" t="str">
        <f t="shared" si="38"/>
        <v xml:space="preserve"> </v>
      </c>
      <c r="L295" s="3" t="str">
        <f t="shared" si="39"/>
        <v xml:space="preserve"> </v>
      </c>
      <c r="M295" s="3" t="str">
        <f>IF(E295&gt;0,IFERROR(VLOOKUP($E295,'[2]Table 1'!$B$2:$I$147,8,0),"0.00")," ")</f>
        <v xml:space="preserve"> </v>
      </c>
      <c r="N295" s="6" t="str">
        <f t="shared" si="41"/>
        <v xml:space="preserve"> </v>
      </c>
      <c r="O295" s="7" t="str">
        <f>IF(IF(COUNTIF($B$5:B295,B295)&gt;1," ",SUMIF($B$5:$B$423,B295,$J$5:$J$423))=0," ",IF(COUNTIF($B$5:B295,B295)&gt;1," ",SUMIF($B$5:$B$423,B295,$J$5:$J$423)))</f>
        <v xml:space="preserve"> </v>
      </c>
      <c r="P295" s="8" t="str">
        <f>IF(IF(COUNTIF($B$5:B295,B295)&gt;1," ",SUMIF($B$5:$B$423,B295,$L$5:$L$423))=0," ",IF(COUNTIF($B$5:B295,B295)&gt;1," ",SUMIF($B$5:$B$423,B295,$L$5:$L$423)))</f>
        <v xml:space="preserve"> </v>
      </c>
      <c r="Q295" s="8" t="str">
        <f t="shared" si="43"/>
        <v xml:space="preserve"> </v>
      </c>
      <c r="R295" s="8" t="str">
        <f t="shared" si="42"/>
        <v xml:space="preserve"> </v>
      </c>
      <c r="S295" s="48" t="str">
        <f t="shared" si="40"/>
        <v xml:space="preserve"> </v>
      </c>
      <c r="T295" s="14" t="str">
        <f>IF(F295&gt;0,IFERROR(VLOOKUP($F295,[1]Sheet1!$C$3:$L$3445,10,0),"EOSS"),"")</f>
        <v/>
      </c>
    </row>
    <row r="296" spans="1:20" x14ac:dyDescent="0.3">
      <c r="A296" s="1"/>
      <c r="B296" s="2"/>
      <c r="C296" s="5" t="str">
        <f t="shared" si="36"/>
        <v xml:space="preserve"> </v>
      </c>
      <c r="D296" s="2"/>
      <c r="E296" s="3"/>
      <c r="F296" s="4"/>
      <c r="G296" s="5"/>
      <c r="H296" s="5"/>
      <c r="I296" s="5" t="str">
        <f t="shared" si="37"/>
        <v xml:space="preserve"> </v>
      </c>
      <c r="J296" s="33"/>
      <c r="K296" s="5" t="str">
        <f t="shared" si="38"/>
        <v xml:space="preserve"> </v>
      </c>
      <c r="L296" s="3" t="str">
        <f t="shared" si="39"/>
        <v xml:space="preserve"> </v>
      </c>
      <c r="M296" s="3" t="str">
        <f>IF(E296&gt;0,IFERROR(VLOOKUP($E296,'[2]Table 1'!$B$2:$I$147,8,0),"0.00")," ")</f>
        <v xml:space="preserve"> </v>
      </c>
      <c r="N296" s="6" t="str">
        <f t="shared" si="41"/>
        <v xml:space="preserve"> </v>
      </c>
      <c r="O296" s="7" t="str">
        <f>IF(IF(COUNTIF($B$5:B296,B296)&gt;1," ",SUMIF($B$5:$B$423,B296,$J$5:$J$423))=0," ",IF(COUNTIF($B$5:B296,B296)&gt;1," ",SUMIF($B$5:$B$423,B296,$J$5:$J$423)))</f>
        <v xml:space="preserve"> </v>
      </c>
      <c r="P296" s="8" t="str">
        <f>IF(IF(COUNTIF($B$5:B296,B296)&gt;1," ",SUMIF($B$5:$B$423,B296,$L$5:$L$423))=0," ",IF(COUNTIF($B$5:B296,B296)&gt;1," ",SUMIF($B$5:$B$423,B296,$L$5:$L$423)))</f>
        <v xml:space="preserve"> </v>
      </c>
      <c r="Q296" s="8" t="str">
        <f t="shared" si="43"/>
        <v xml:space="preserve"> </v>
      </c>
      <c r="R296" s="8" t="str">
        <f t="shared" si="42"/>
        <v xml:space="preserve"> </v>
      </c>
      <c r="S296" s="48" t="str">
        <f t="shared" si="40"/>
        <v xml:space="preserve"> </v>
      </c>
      <c r="T296" s="14" t="str">
        <f>IF(F296&gt;0,IFERROR(VLOOKUP($F296,[1]Sheet1!$C$3:$L$3445,10,0),"EOSS"),"")</f>
        <v/>
      </c>
    </row>
    <row r="297" spans="1:20" x14ac:dyDescent="0.3">
      <c r="A297" s="1"/>
      <c r="B297" s="2"/>
      <c r="C297" s="5" t="str">
        <f t="shared" si="36"/>
        <v xml:space="preserve"> </v>
      </c>
      <c r="D297" s="2"/>
      <c r="E297" s="3"/>
      <c r="F297" s="4"/>
      <c r="G297" s="5"/>
      <c r="H297" s="5"/>
      <c r="I297" s="5" t="str">
        <f t="shared" si="37"/>
        <v xml:space="preserve"> </v>
      </c>
      <c r="J297" s="33"/>
      <c r="K297" s="5" t="str">
        <f t="shared" si="38"/>
        <v xml:space="preserve"> </v>
      </c>
      <c r="L297" s="3" t="str">
        <f t="shared" si="39"/>
        <v xml:space="preserve"> </v>
      </c>
      <c r="M297" s="3" t="str">
        <f>IF(E297&gt;0,IFERROR(VLOOKUP($E297,'[2]Table 1'!$B$2:$I$147,8,0),"0.00")," ")</f>
        <v xml:space="preserve"> </v>
      </c>
      <c r="N297" s="6" t="str">
        <f t="shared" si="41"/>
        <v xml:space="preserve"> </v>
      </c>
      <c r="O297" s="7" t="str">
        <f>IF(IF(COUNTIF($B$5:B297,B297)&gt;1," ",SUMIF($B$5:$B$423,B297,$J$5:$J$423))=0," ",IF(COUNTIF($B$5:B297,B297)&gt;1," ",SUMIF($B$5:$B$423,B297,$J$5:$J$423)))</f>
        <v xml:space="preserve"> </v>
      </c>
      <c r="P297" s="8" t="str">
        <f>IF(IF(COUNTIF($B$5:B297,B297)&gt;1," ",SUMIF($B$5:$B$423,B297,$L$5:$L$423))=0," ",IF(COUNTIF($B$5:B297,B297)&gt;1," ",SUMIF($B$5:$B$423,B297,$L$5:$L$423)))</f>
        <v xml:space="preserve"> </v>
      </c>
      <c r="Q297" s="8" t="str">
        <f t="shared" si="43"/>
        <v xml:space="preserve"> </v>
      </c>
      <c r="R297" s="8" t="str">
        <f t="shared" si="42"/>
        <v xml:space="preserve"> </v>
      </c>
      <c r="S297" s="48" t="str">
        <f t="shared" si="40"/>
        <v xml:space="preserve"> </v>
      </c>
      <c r="T297" s="14" t="str">
        <f>IF(F297&gt;0,IFERROR(VLOOKUP($F297,[1]Sheet1!$C$3:$L$3445,10,0),"EOSS"),"")</f>
        <v/>
      </c>
    </row>
    <row r="298" spans="1:20" x14ac:dyDescent="0.3">
      <c r="A298" s="1"/>
      <c r="B298" s="2"/>
      <c r="C298" s="5" t="str">
        <f t="shared" si="36"/>
        <v xml:space="preserve"> </v>
      </c>
      <c r="D298" s="2"/>
      <c r="E298" s="3"/>
      <c r="F298" s="4"/>
      <c r="G298" s="5"/>
      <c r="H298" s="5"/>
      <c r="I298" s="5" t="str">
        <f t="shared" si="37"/>
        <v xml:space="preserve"> </v>
      </c>
      <c r="J298" s="33"/>
      <c r="K298" s="5" t="str">
        <f t="shared" si="38"/>
        <v xml:space="preserve"> </v>
      </c>
      <c r="L298" s="3" t="str">
        <f t="shared" si="39"/>
        <v xml:space="preserve"> </v>
      </c>
      <c r="M298" s="3" t="str">
        <f>IF(E298&gt;0,IFERROR(VLOOKUP($E298,'[2]Table 1'!$B$2:$I$147,8,0),"0.00")," ")</f>
        <v xml:space="preserve"> </v>
      </c>
      <c r="N298" s="6" t="str">
        <f t="shared" si="41"/>
        <v xml:space="preserve"> </v>
      </c>
      <c r="O298" s="7" t="str">
        <f>IF(IF(COUNTIF($B$5:B298,B298)&gt;1," ",SUMIF($B$5:$B$423,B298,$J$5:$J$423))=0," ",IF(COUNTIF($B$5:B298,B298)&gt;1," ",SUMIF($B$5:$B$423,B298,$J$5:$J$423)))</f>
        <v xml:space="preserve"> </v>
      </c>
      <c r="P298" s="8" t="str">
        <f>IF(IF(COUNTIF($B$5:B298,B298)&gt;1," ",SUMIF($B$5:$B$423,B298,$L$5:$L$423))=0," ",IF(COUNTIF($B$5:B298,B298)&gt;1," ",SUMIF($B$5:$B$423,B298,$L$5:$L$423)))</f>
        <v xml:space="preserve"> </v>
      </c>
      <c r="Q298" s="8" t="str">
        <f t="shared" si="43"/>
        <v xml:space="preserve"> </v>
      </c>
      <c r="R298" s="8" t="str">
        <f t="shared" si="42"/>
        <v xml:space="preserve"> </v>
      </c>
      <c r="S298" s="48" t="str">
        <f t="shared" si="40"/>
        <v xml:space="preserve"> </v>
      </c>
      <c r="T298" s="14" t="str">
        <f>IF(F298&gt;0,IFERROR(VLOOKUP($F298,[1]Sheet1!$C$3:$L$3445,10,0),"EOSS"),"")</f>
        <v/>
      </c>
    </row>
    <row r="299" spans="1:20" x14ac:dyDescent="0.3">
      <c r="A299" s="1"/>
      <c r="B299" s="2"/>
      <c r="C299" s="5" t="str">
        <f t="shared" si="36"/>
        <v xml:space="preserve"> </v>
      </c>
      <c r="D299" s="2"/>
      <c r="E299" s="3"/>
      <c r="F299" s="4"/>
      <c r="G299" s="5"/>
      <c r="H299" s="5"/>
      <c r="I299" s="5" t="str">
        <f t="shared" si="37"/>
        <v xml:space="preserve"> </v>
      </c>
      <c r="J299" s="33"/>
      <c r="K299" s="5" t="str">
        <f t="shared" si="38"/>
        <v xml:space="preserve"> </v>
      </c>
      <c r="L299" s="3" t="str">
        <f t="shared" si="39"/>
        <v xml:space="preserve"> </v>
      </c>
      <c r="M299" s="3" t="str">
        <f>IF(E299&gt;0,IFERROR(VLOOKUP($E299,'[2]Table 1'!$B$2:$I$147,8,0),"0.00")," ")</f>
        <v xml:space="preserve"> </v>
      </c>
      <c r="N299" s="6" t="str">
        <f t="shared" si="41"/>
        <v xml:space="preserve"> </v>
      </c>
      <c r="O299" s="7" t="str">
        <f>IF(IF(COUNTIF($B$5:B299,B299)&gt;1," ",SUMIF($B$5:$B$423,B299,$J$5:$J$423))=0," ",IF(COUNTIF($B$5:B299,B299)&gt;1," ",SUMIF($B$5:$B$423,B299,$J$5:$J$423)))</f>
        <v xml:space="preserve"> </v>
      </c>
      <c r="P299" s="8" t="str">
        <f>IF(IF(COUNTIF($B$5:B299,B299)&gt;1," ",SUMIF($B$5:$B$423,B299,$L$5:$L$423))=0," ",IF(COUNTIF($B$5:B299,B299)&gt;1," ",SUMIF($B$5:$B$423,B299,$L$5:$L$423)))</f>
        <v xml:space="preserve"> </v>
      </c>
      <c r="Q299" s="8" t="str">
        <f t="shared" si="43"/>
        <v xml:space="preserve"> </v>
      </c>
      <c r="R299" s="8" t="str">
        <f t="shared" si="42"/>
        <v xml:space="preserve"> </v>
      </c>
      <c r="S299" s="48" t="str">
        <f t="shared" si="40"/>
        <v xml:space="preserve"> </v>
      </c>
      <c r="T299" s="14" t="str">
        <f>IF(F299&gt;0,IFERROR(VLOOKUP($F299,[1]Sheet1!$C$3:$L$3445,10,0),"EOSS"),"")</f>
        <v/>
      </c>
    </row>
    <row r="300" spans="1:20" x14ac:dyDescent="0.3">
      <c r="A300" s="1"/>
      <c r="B300" s="2"/>
      <c r="C300" s="5" t="str">
        <f t="shared" si="36"/>
        <v xml:space="preserve"> </v>
      </c>
      <c r="D300" s="2"/>
      <c r="E300" s="3"/>
      <c r="F300" s="4"/>
      <c r="G300" s="5"/>
      <c r="H300" s="5"/>
      <c r="I300" s="5" t="str">
        <f t="shared" si="37"/>
        <v xml:space="preserve"> </v>
      </c>
      <c r="J300" s="33"/>
      <c r="K300" s="5" t="str">
        <f t="shared" si="38"/>
        <v xml:space="preserve"> </v>
      </c>
      <c r="L300" s="3" t="str">
        <f t="shared" si="39"/>
        <v xml:space="preserve"> </v>
      </c>
      <c r="M300" s="3" t="str">
        <f>IF(E300&gt;0,IFERROR(VLOOKUP($E300,'[2]Table 1'!$B$2:$I$147,8,0),"0.00")," ")</f>
        <v xml:space="preserve"> </v>
      </c>
      <c r="N300" s="6" t="str">
        <f t="shared" si="41"/>
        <v xml:space="preserve"> </v>
      </c>
      <c r="O300" s="7" t="str">
        <f>IF(IF(COUNTIF($B$5:B300,B300)&gt;1," ",SUMIF($B$5:$B$423,B300,$J$5:$J$423))=0," ",IF(COUNTIF($B$5:B300,B300)&gt;1," ",SUMIF($B$5:$B$423,B300,$J$5:$J$423)))</f>
        <v xml:space="preserve"> </v>
      </c>
      <c r="P300" s="8" t="str">
        <f>IF(IF(COUNTIF($B$5:B300,B300)&gt;1," ",SUMIF($B$5:$B$423,B300,$L$5:$L$423))=0," ",IF(COUNTIF($B$5:B300,B300)&gt;1," ",SUMIF($B$5:$B$423,B300,$L$5:$L$423)))</f>
        <v xml:space="preserve"> </v>
      </c>
      <c r="Q300" s="8" t="str">
        <f t="shared" si="43"/>
        <v xml:space="preserve"> </v>
      </c>
      <c r="R300" s="8" t="str">
        <f t="shared" si="42"/>
        <v xml:space="preserve"> </v>
      </c>
      <c r="S300" s="48" t="str">
        <f t="shared" si="40"/>
        <v xml:space="preserve"> </v>
      </c>
      <c r="T300" s="14" t="str">
        <f>IF(F300&gt;0,IFERROR(VLOOKUP($F300,[1]Sheet1!$C$3:$L$3445,10,0),"EOSS"),"")</f>
        <v/>
      </c>
    </row>
    <row r="301" spans="1:20" x14ac:dyDescent="0.3">
      <c r="A301" s="1"/>
      <c r="B301" s="2"/>
      <c r="C301" s="5" t="str">
        <f t="shared" si="36"/>
        <v xml:space="preserve"> </v>
      </c>
      <c r="D301" s="2"/>
      <c r="E301" s="3"/>
      <c r="F301" s="4"/>
      <c r="G301" s="5"/>
      <c r="H301" s="5"/>
      <c r="I301" s="5" t="str">
        <f t="shared" si="37"/>
        <v xml:space="preserve"> </v>
      </c>
      <c r="J301" s="33"/>
      <c r="K301" s="5" t="str">
        <f t="shared" si="38"/>
        <v xml:space="preserve"> </v>
      </c>
      <c r="L301" s="3" t="str">
        <f t="shared" si="39"/>
        <v xml:space="preserve"> </v>
      </c>
      <c r="M301" s="3" t="str">
        <f>IF(E301&gt;0,IFERROR(VLOOKUP($E301,'[2]Table 1'!$B$2:$I$147,8,0),"0.00")," ")</f>
        <v xml:space="preserve"> </v>
      </c>
      <c r="N301" s="6" t="str">
        <f t="shared" si="41"/>
        <v xml:space="preserve"> </v>
      </c>
      <c r="O301" s="7" t="str">
        <f>IF(IF(COUNTIF($B$5:B301,B301)&gt;1," ",SUMIF($B$5:$B$423,B301,$J$5:$J$423))=0," ",IF(COUNTIF($B$5:B301,B301)&gt;1," ",SUMIF($B$5:$B$423,B301,$J$5:$J$423)))</f>
        <v xml:space="preserve"> </v>
      </c>
      <c r="P301" s="8" t="str">
        <f>IF(IF(COUNTIF($B$5:B301,B301)&gt;1," ",SUMIF($B$5:$B$423,B301,$L$5:$L$423))=0," ",IF(COUNTIF($B$5:B301,B301)&gt;1," ",SUMIF($B$5:$B$423,B301,$L$5:$L$423)))</f>
        <v xml:space="preserve"> </v>
      </c>
      <c r="Q301" s="8" t="str">
        <f t="shared" si="43"/>
        <v xml:space="preserve"> </v>
      </c>
      <c r="R301" s="8" t="str">
        <f t="shared" si="42"/>
        <v xml:space="preserve"> </v>
      </c>
      <c r="S301" s="48" t="str">
        <f t="shared" si="40"/>
        <v xml:space="preserve"> </v>
      </c>
      <c r="T301" s="14" t="str">
        <f>IF(F301&gt;0,IFERROR(VLOOKUP($F301,[1]Sheet1!$C$3:$L$3445,10,0),"EOSS"),"")</f>
        <v/>
      </c>
    </row>
    <row r="302" spans="1:20" x14ac:dyDescent="0.3">
      <c r="A302" s="1"/>
      <c r="B302" s="2"/>
      <c r="C302" s="5" t="str">
        <f t="shared" si="36"/>
        <v xml:space="preserve"> </v>
      </c>
      <c r="D302" s="2"/>
      <c r="E302" s="3"/>
      <c r="F302" s="4"/>
      <c r="G302" s="5"/>
      <c r="H302" s="5"/>
      <c r="I302" s="5" t="str">
        <f t="shared" si="37"/>
        <v xml:space="preserve"> </v>
      </c>
      <c r="J302" s="33"/>
      <c r="K302" s="5" t="str">
        <f t="shared" si="38"/>
        <v xml:space="preserve"> </v>
      </c>
      <c r="L302" s="3" t="str">
        <f t="shared" si="39"/>
        <v xml:space="preserve"> </v>
      </c>
      <c r="M302" s="3" t="str">
        <f>IF(E302&gt;0,IFERROR(VLOOKUP($E302,'[2]Table 1'!$B$2:$I$147,8,0),"0.00")," ")</f>
        <v xml:space="preserve"> </v>
      </c>
      <c r="N302" s="6" t="str">
        <f t="shared" si="41"/>
        <v xml:space="preserve"> </v>
      </c>
      <c r="O302" s="7" t="str">
        <f>IF(IF(COUNTIF($B$5:B302,B302)&gt;1," ",SUMIF($B$5:$B$423,B302,$J$5:$J$423))=0," ",IF(COUNTIF($B$5:B302,B302)&gt;1," ",SUMIF($B$5:$B$423,B302,$J$5:$J$423)))</f>
        <v xml:space="preserve"> </v>
      </c>
      <c r="P302" s="8" t="str">
        <f>IF(IF(COUNTIF($B$5:B302,B302)&gt;1," ",SUMIF($B$5:$B$423,B302,$L$5:$L$423))=0," ",IF(COUNTIF($B$5:B302,B302)&gt;1," ",SUMIF($B$5:$B$423,B302,$L$5:$L$423)))</f>
        <v xml:space="preserve"> </v>
      </c>
      <c r="Q302" s="8" t="str">
        <f t="shared" si="43"/>
        <v xml:space="preserve"> </v>
      </c>
      <c r="R302" s="8" t="str">
        <f t="shared" si="42"/>
        <v xml:space="preserve"> </v>
      </c>
      <c r="S302" s="48" t="str">
        <f t="shared" si="40"/>
        <v xml:space="preserve"> </v>
      </c>
      <c r="T302" s="14" t="str">
        <f>IF(F302&gt;0,IFERROR(VLOOKUP($F302,[1]Sheet1!$C$3:$L$3445,10,0),"EOSS"),"")</f>
        <v/>
      </c>
    </row>
    <row r="303" spans="1:20" x14ac:dyDescent="0.3">
      <c r="A303" s="1"/>
      <c r="B303" s="2"/>
      <c r="C303" s="5" t="str">
        <f t="shared" si="36"/>
        <v xml:space="preserve"> </v>
      </c>
      <c r="D303" s="2"/>
      <c r="E303" s="3"/>
      <c r="F303" s="4"/>
      <c r="G303" s="5"/>
      <c r="H303" s="5"/>
      <c r="I303" s="5" t="str">
        <f t="shared" si="37"/>
        <v xml:space="preserve"> </v>
      </c>
      <c r="J303" s="33"/>
      <c r="K303" s="5" t="str">
        <f t="shared" si="38"/>
        <v xml:space="preserve"> </v>
      </c>
      <c r="L303" s="3" t="str">
        <f t="shared" si="39"/>
        <v xml:space="preserve"> </v>
      </c>
      <c r="M303" s="3" t="str">
        <f>IF(E303&gt;0,IFERROR(VLOOKUP($E303,'[2]Table 1'!$B$2:$I$147,8,0),"0.00")," ")</f>
        <v xml:space="preserve"> </v>
      </c>
      <c r="N303" s="6" t="str">
        <f t="shared" si="41"/>
        <v xml:space="preserve"> </v>
      </c>
      <c r="O303" s="7" t="str">
        <f>IF(IF(COUNTIF($B$5:B303,B303)&gt;1," ",SUMIF($B$5:$B$423,B303,$J$5:$J$423))=0," ",IF(COUNTIF($B$5:B303,B303)&gt;1," ",SUMIF($B$5:$B$423,B303,$J$5:$J$423)))</f>
        <v xml:space="preserve"> </v>
      </c>
      <c r="P303" s="8" t="str">
        <f>IF(IF(COUNTIF($B$5:B303,B303)&gt;1," ",SUMIF($B$5:$B$423,B303,$L$5:$L$423))=0," ",IF(COUNTIF($B$5:B303,B303)&gt;1," ",SUMIF($B$5:$B$423,B303,$L$5:$L$423)))</f>
        <v xml:space="preserve"> </v>
      </c>
      <c r="Q303" s="8" t="str">
        <f t="shared" si="43"/>
        <v xml:space="preserve"> </v>
      </c>
      <c r="R303" s="8" t="str">
        <f t="shared" si="42"/>
        <v xml:space="preserve"> </v>
      </c>
      <c r="S303" s="48" t="str">
        <f t="shared" si="40"/>
        <v xml:space="preserve"> </v>
      </c>
      <c r="T303" s="14" t="str">
        <f>IF(F303&gt;0,IFERROR(VLOOKUP($F303,[1]Sheet1!$C$3:$L$3445,10,0),"EOSS"),"")</f>
        <v/>
      </c>
    </row>
    <row r="304" spans="1:20" x14ac:dyDescent="0.3">
      <c r="A304" s="1"/>
      <c r="B304" s="2"/>
      <c r="C304" s="5" t="str">
        <f t="shared" si="36"/>
        <v xml:space="preserve"> </v>
      </c>
      <c r="D304" s="2"/>
      <c r="E304" s="3"/>
      <c r="F304" s="4"/>
      <c r="G304" s="5"/>
      <c r="H304" s="5"/>
      <c r="I304" s="5" t="str">
        <f t="shared" si="37"/>
        <v xml:space="preserve"> </v>
      </c>
      <c r="J304" s="33"/>
      <c r="K304" s="5" t="str">
        <f t="shared" si="38"/>
        <v xml:space="preserve"> </v>
      </c>
      <c r="L304" s="3" t="str">
        <f t="shared" si="39"/>
        <v xml:space="preserve"> </v>
      </c>
      <c r="M304" s="3" t="str">
        <f>IF(E304&gt;0,IFERROR(VLOOKUP($E304,'[2]Table 1'!$B$2:$I$147,8,0),"0.00")," ")</f>
        <v xml:space="preserve"> </v>
      </c>
      <c r="N304" s="6" t="str">
        <f t="shared" si="41"/>
        <v xml:space="preserve"> </v>
      </c>
      <c r="O304" s="7" t="str">
        <f>IF(IF(COUNTIF($B$5:B304,B304)&gt;1," ",SUMIF($B$5:$B$423,B304,$J$5:$J$423))=0," ",IF(COUNTIF($B$5:B304,B304)&gt;1," ",SUMIF($B$5:$B$423,B304,$J$5:$J$423)))</f>
        <v xml:space="preserve"> </v>
      </c>
      <c r="P304" s="8" t="str">
        <f>IF(IF(COUNTIF($B$5:B304,B304)&gt;1," ",SUMIF($B$5:$B$423,B304,$L$5:$L$423))=0," ",IF(COUNTIF($B$5:B304,B304)&gt;1," ",SUMIF($B$5:$B$423,B304,$L$5:$L$423)))</f>
        <v xml:space="preserve"> </v>
      </c>
      <c r="Q304" s="8" t="str">
        <f t="shared" si="43"/>
        <v xml:space="preserve"> </v>
      </c>
      <c r="R304" s="8" t="str">
        <f t="shared" si="42"/>
        <v xml:space="preserve"> </v>
      </c>
      <c r="S304" s="48" t="str">
        <f t="shared" si="40"/>
        <v xml:space="preserve"> </v>
      </c>
      <c r="T304" s="14" t="str">
        <f>IF(F304&gt;0,IFERROR(VLOOKUP($F304,[1]Sheet1!$C$3:$L$3445,10,0),"EOSS"),"")</f>
        <v/>
      </c>
    </row>
    <row r="305" spans="1:20" x14ac:dyDescent="0.3">
      <c r="A305" s="1"/>
      <c r="B305" s="2"/>
      <c r="C305" s="5" t="str">
        <f t="shared" si="36"/>
        <v xml:space="preserve"> </v>
      </c>
      <c r="D305" s="2"/>
      <c r="E305" s="3"/>
      <c r="F305" s="4"/>
      <c r="G305" s="5"/>
      <c r="H305" s="5"/>
      <c r="I305" s="5" t="str">
        <f t="shared" si="37"/>
        <v xml:space="preserve"> </v>
      </c>
      <c r="J305" s="33"/>
      <c r="K305" s="5" t="str">
        <f t="shared" si="38"/>
        <v xml:space="preserve"> </v>
      </c>
      <c r="L305" s="3" t="str">
        <f t="shared" si="39"/>
        <v xml:space="preserve"> </v>
      </c>
      <c r="M305" s="3" t="str">
        <f>IF(E305&gt;0,IFERROR(VLOOKUP($E305,'[2]Table 1'!$B$2:$I$147,8,0),"0.00")," ")</f>
        <v xml:space="preserve"> </v>
      </c>
      <c r="N305" s="6" t="str">
        <f t="shared" si="41"/>
        <v xml:space="preserve"> </v>
      </c>
      <c r="O305" s="7" t="str">
        <f>IF(IF(COUNTIF($B$5:B305,B305)&gt;1," ",SUMIF($B$5:$B$423,B305,$J$5:$J$423))=0," ",IF(COUNTIF($B$5:B305,B305)&gt;1," ",SUMIF($B$5:$B$423,B305,$J$5:$J$423)))</f>
        <v xml:space="preserve"> </v>
      </c>
      <c r="P305" s="8" t="str">
        <f>IF(IF(COUNTIF($B$5:B305,B305)&gt;1," ",SUMIF($B$5:$B$423,B305,$L$5:$L$423))=0," ",IF(COUNTIF($B$5:B305,B305)&gt;1," ",SUMIF($B$5:$B$423,B305,$L$5:$L$423)))</f>
        <v xml:space="preserve"> </v>
      </c>
      <c r="Q305" s="8" t="str">
        <f t="shared" si="43"/>
        <v xml:space="preserve"> </v>
      </c>
      <c r="R305" s="8" t="str">
        <f t="shared" si="42"/>
        <v xml:space="preserve"> </v>
      </c>
      <c r="S305" s="48" t="str">
        <f t="shared" si="40"/>
        <v xml:space="preserve"> </v>
      </c>
      <c r="T305" s="14" t="str">
        <f>IF(F305&gt;0,IFERROR(VLOOKUP($F305,[1]Sheet1!$C$3:$L$3445,10,0),"EOSS"),"")</f>
        <v/>
      </c>
    </row>
    <row r="306" spans="1:20" x14ac:dyDescent="0.3">
      <c r="A306" s="1"/>
      <c r="B306" s="2"/>
      <c r="C306" s="5" t="str">
        <f t="shared" si="36"/>
        <v xml:space="preserve"> </v>
      </c>
      <c r="D306" s="2"/>
      <c r="E306" s="3"/>
      <c r="F306" s="4"/>
      <c r="G306" s="5"/>
      <c r="H306" s="5"/>
      <c r="I306" s="5" t="str">
        <f t="shared" si="37"/>
        <v xml:space="preserve"> </v>
      </c>
      <c r="J306" s="33"/>
      <c r="K306" s="5" t="str">
        <f t="shared" si="38"/>
        <v xml:space="preserve"> </v>
      </c>
      <c r="L306" s="3" t="str">
        <f t="shared" si="39"/>
        <v xml:space="preserve"> </v>
      </c>
      <c r="M306" s="3" t="str">
        <f>IF(E306&gt;0,IFERROR(VLOOKUP($E306,'[2]Table 1'!$B$2:$I$147,8,0),"0.00")," ")</f>
        <v xml:space="preserve"> </v>
      </c>
      <c r="N306" s="6" t="str">
        <f t="shared" si="41"/>
        <v xml:space="preserve"> </v>
      </c>
      <c r="O306" s="7" t="str">
        <f>IF(IF(COUNTIF($B$5:B306,B306)&gt;1," ",SUMIF($B$5:$B$423,B306,$J$5:$J$423))=0," ",IF(COUNTIF($B$5:B306,B306)&gt;1," ",SUMIF($B$5:$B$423,B306,$J$5:$J$423)))</f>
        <v xml:space="preserve"> </v>
      </c>
      <c r="P306" s="8" t="str">
        <f>IF(IF(COUNTIF($B$5:B306,B306)&gt;1," ",SUMIF($B$5:$B$423,B306,$L$5:$L$423))=0," ",IF(COUNTIF($B$5:B306,B306)&gt;1," ",SUMIF($B$5:$B$423,B306,$L$5:$L$423)))</f>
        <v xml:space="preserve"> </v>
      </c>
      <c r="Q306" s="8" t="str">
        <f t="shared" si="43"/>
        <v xml:space="preserve"> </v>
      </c>
      <c r="R306" s="8" t="str">
        <f t="shared" si="42"/>
        <v xml:space="preserve"> </v>
      </c>
      <c r="S306" s="48" t="str">
        <f t="shared" si="40"/>
        <v xml:space="preserve"> </v>
      </c>
      <c r="T306" s="14" t="str">
        <f>IF(F306&gt;0,IFERROR(VLOOKUP($F306,[1]Sheet1!$C$3:$L$3445,10,0),"EOSS"),"")</f>
        <v/>
      </c>
    </row>
    <row r="307" spans="1:20" x14ac:dyDescent="0.3">
      <c r="A307" s="1"/>
      <c r="B307" s="2"/>
      <c r="C307" s="5" t="str">
        <f t="shared" si="36"/>
        <v xml:space="preserve"> </v>
      </c>
      <c r="D307" s="2"/>
      <c r="E307" s="3"/>
      <c r="F307" s="4"/>
      <c r="G307" s="5"/>
      <c r="H307" s="5"/>
      <c r="I307" s="5" t="str">
        <f t="shared" si="37"/>
        <v xml:space="preserve"> </v>
      </c>
      <c r="J307" s="33"/>
      <c r="K307" s="5" t="str">
        <f t="shared" si="38"/>
        <v xml:space="preserve"> </v>
      </c>
      <c r="L307" s="3" t="str">
        <f t="shared" si="39"/>
        <v xml:space="preserve"> </v>
      </c>
      <c r="M307" s="3" t="str">
        <f>IF(E307&gt;0,IFERROR(VLOOKUP($E307,'[2]Table 1'!$B$2:$I$147,8,0),"0.00")," ")</f>
        <v xml:space="preserve"> </v>
      </c>
      <c r="N307" s="6" t="str">
        <f t="shared" si="41"/>
        <v xml:space="preserve"> </v>
      </c>
      <c r="O307" s="7" t="str">
        <f>IF(IF(COUNTIF($B$5:B307,B307)&gt;1," ",SUMIF($B$5:$B$423,B307,$J$5:$J$423))=0," ",IF(COUNTIF($B$5:B307,B307)&gt;1," ",SUMIF($B$5:$B$423,B307,$J$5:$J$423)))</f>
        <v xml:space="preserve"> </v>
      </c>
      <c r="P307" s="8" t="str">
        <f>IF(IF(COUNTIF($B$5:B307,B307)&gt;1," ",SUMIF($B$5:$B$423,B307,$L$5:$L$423))=0," ",IF(COUNTIF($B$5:B307,B307)&gt;1," ",SUMIF($B$5:$B$423,B307,$L$5:$L$423)))</f>
        <v xml:space="preserve"> </v>
      </c>
      <c r="Q307" s="8" t="str">
        <f t="shared" si="43"/>
        <v xml:space="preserve"> </v>
      </c>
      <c r="R307" s="8" t="str">
        <f t="shared" si="42"/>
        <v xml:space="preserve"> </v>
      </c>
      <c r="S307" s="48" t="str">
        <f t="shared" si="40"/>
        <v xml:space="preserve"> </v>
      </c>
      <c r="T307" s="14" t="str">
        <f>IF(F307&gt;0,IFERROR(VLOOKUP($F307,[1]Sheet1!$C$3:$L$3445,10,0),"EOSS"),"")</f>
        <v/>
      </c>
    </row>
    <row r="308" spans="1:20" x14ac:dyDescent="0.3">
      <c r="A308" s="1"/>
      <c r="B308" s="2"/>
      <c r="C308" s="5" t="str">
        <f t="shared" si="36"/>
        <v xml:space="preserve"> </v>
      </c>
      <c r="D308" s="2"/>
      <c r="E308" s="3"/>
      <c r="F308" s="4"/>
      <c r="G308" s="5"/>
      <c r="H308" s="5"/>
      <c r="I308" s="5" t="str">
        <f t="shared" si="37"/>
        <v xml:space="preserve"> </v>
      </c>
      <c r="J308" s="33"/>
      <c r="K308" s="5" t="str">
        <f t="shared" si="38"/>
        <v xml:space="preserve"> </v>
      </c>
      <c r="L308" s="3" t="str">
        <f t="shared" si="39"/>
        <v xml:space="preserve"> </v>
      </c>
      <c r="M308" s="3" t="str">
        <f>IF(E308&gt;0,IFERROR(VLOOKUP($E308,'[2]Table 1'!$B$2:$I$147,8,0),"0.00")," ")</f>
        <v xml:space="preserve"> </v>
      </c>
      <c r="N308" s="6" t="str">
        <f t="shared" si="41"/>
        <v xml:space="preserve"> </v>
      </c>
      <c r="O308" s="7" t="str">
        <f>IF(IF(COUNTIF($B$5:B308,B308)&gt;1," ",SUMIF($B$5:$B$423,B308,$J$5:$J$423))=0," ",IF(COUNTIF($B$5:B308,B308)&gt;1," ",SUMIF($B$5:$B$423,B308,$J$5:$J$423)))</f>
        <v xml:space="preserve"> </v>
      </c>
      <c r="P308" s="8" t="str">
        <f>IF(IF(COUNTIF($B$5:B308,B308)&gt;1," ",SUMIF($B$5:$B$423,B308,$L$5:$L$423))=0," ",IF(COUNTIF($B$5:B308,B308)&gt;1," ",SUMIF($B$5:$B$423,B308,$L$5:$L$423)))</f>
        <v xml:space="preserve"> </v>
      </c>
      <c r="Q308" s="8" t="str">
        <f t="shared" si="43"/>
        <v xml:space="preserve"> </v>
      </c>
      <c r="R308" s="8" t="str">
        <f t="shared" si="42"/>
        <v xml:space="preserve"> </v>
      </c>
      <c r="S308" s="48" t="str">
        <f t="shared" si="40"/>
        <v xml:space="preserve"> </v>
      </c>
      <c r="T308" s="14" t="str">
        <f>IF(F308&gt;0,IFERROR(VLOOKUP($F308,[1]Sheet1!$C$3:$L$3445,10,0),"EOSS"),"")</f>
        <v/>
      </c>
    </row>
    <row r="309" spans="1:20" x14ac:dyDescent="0.3">
      <c r="A309" s="1"/>
      <c r="B309" s="2"/>
      <c r="C309" s="5" t="str">
        <f t="shared" si="36"/>
        <v xml:space="preserve"> </v>
      </c>
      <c r="D309" s="2"/>
      <c r="E309" s="3"/>
      <c r="F309" s="4"/>
      <c r="G309" s="5"/>
      <c r="H309" s="5"/>
      <c r="I309" s="5" t="str">
        <f t="shared" si="37"/>
        <v xml:space="preserve"> </v>
      </c>
      <c r="J309" s="33"/>
      <c r="K309" s="5" t="str">
        <f t="shared" si="38"/>
        <v xml:space="preserve"> </v>
      </c>
      <c r="L309" s="3" t="str">
        <f t="shared" si="39"/>
        <v xml:space="preserve"> </v>
      </c>
      <c r="M309" s="3" t="str">
        <f>IF(E309&gt;0,IFERROR(VLOOKUP($E309,'[2]Table 1'!$B$2:$I$147,8,0),"0.00")," ")</f>
        <v xml:space="preserve"> </v>
      </c>
      <c r="N309" s="6" t="str">
        <f t="shared" si="41"/>
        <v xml:space="preserve"> </v>
      </c>
      <c r="O309" s="7" t="str">
        <f>IF(IF(COUNTIF($B$5:B309,B309)&gt;1," ",SUMIF($B$5:$B$423,B309,$J$5:$J$423))=0," ",IF(COUNTIF($B$5:B309,B309)&gt;1," ",SUMIF($B$5:$B$423,B309,$J$5:$J$423)))</f>
        <v xml:space="preserve"> </v>
      </c>
      <c r="P309" s="8" t="str">
        <f>IF(IF(COUNTIF($B$5:B309,B309)&gt;1," ",SUMIF($B$5:$B$423,B309,$L$5:$L$423))=0," ",IF(COUNTIF($B$5:B309,B309)&gt;1," ",SUMIF($B$5:$B$423,B309,$L$5:$L$423)))</f>
        <v xml:space="preserve"> </v>
      </c>
      <c r="Q309" s="8" t="str">
        <f t="shared" si="43"/>
        <v xml:space="preserve"> </v>
      </c>
      <c r="R309" s="8" t="str">
        <f t="shared" si="42"/>
        <v xml:space="preserve"> </v>
      </c>
      <c r="S309" s="48" t="str">
        <f t="shared" si="40"/>
        <v xml:space="preserve"> </v>
      </c>
      <c r="T309" s="14" t="str">
        <f>IF(F309&gt;0,IFERROR(VLOOKUP($F309,[1]Sheet1!$C$3:$L$3445,10,0),"EOSS"),"")</f>
        <v/>
      </c>
    </row>
    <row r="310" spans="1:20" x14ac:dyDescent="0.3">
      <c r="A310" s="1"/>
      <c r="B310" s="2"/>
      <c r="C310" s="5" t="str">
        <f t="shared" si="36"/>
        <v xml:space="preserve"> </v>
      </c>
      <c r="D310" s="2"/>
      <c r="E310" s="3"/>
      <c r="F310" s="4"/>
      <c r="G310" s="5"/>
      <c r="H310" s="5"/>
      <c r="I310" s="5" t="str">
        <f t="shared" si="37"/>
        <v xml:space="preserve"> </v>
      </c>
      <c r="J310" s="33"/>
      <c r="K310" s="5" t="str">
        <f t="shared" si="38"/>
        <v xml:space="preserve"> </v>
      </c>
      <c r="L310" s="3" t="str">
        <f t="shared" si="39"/>
        <v xml:space="preserve"> </v>
      </c>
      <c r="M310" s="3" t="str">
        <f>IF(E310&gt;0,IFERROR(VLOOKUP($E310,'[2]Table 1'!$B$2:$I$147,8,0),"0.00")," ")</f>
        <v xml:space="preserve"> </v>
      </c>
      <c r="N310" s="6" t="str">
        <f t="shared" si="41"/>
        <v xml:space="preserve"> </v>
      </c>
      <c r="O310" s="7" t="str">
        <f>IF(IF(COUNTIF($B$5:B310,B310)&gt;1," ",SUMIF($B$5:$B$423,B310,$J$5:$J$423))=0," ",IF(COUNTIF($B$5:B310,B310)&gt;1," ",SUMIF($B$5:$B$423,B310,$J$5:$J$423)))</f>
        <v xml:space="preserve"> </v>
      </c>
      <c r="P310" s="8" t="str">
        <f>IF(IF(COUNTIF($B$5:B310,B310)&gt;1," ",SUMIF($B$5:$B$423,B310,$L$5:$L$423))=0," ",IF(COUNTIF($B$5:B310,B310)&gt;1," ",SUMIF($B$5:$B$423,B310,$L$5:$L$423)))</f>
        <v xml:space="preserve"> </v>
      </c>
      <c r="Q310" s="8" t="str">
        <f t="shared" si="43"/>
        <v xml:space="preserve"> </v>
      </c>
      <c r="R310" s="8" t="str">
        <f t="shared" si="42"/>
        <v xml:space="preserve"> </v>
      </c>
      <c r="S310" s="48" t="str">
        <f t="shared" si="40"/>
        <v xml:space="preserve"> </v>
      </c>
      <c r="T310" s="14" t="str">
        <f>IF(F310&gt;0,IFERROR(VLOOKUP($F310,[1]Sheet1!$C$3:$L$3445,10,0),"EOSS"),"")</f>
        <v/>
      </c>
    </row>
    <row r="311" spans="1:20" x14ac:dyDescent="0.3">
      <c r="A311" s="1"/>
      <c r="B311" s="2"/>
      <c r="C311" s="5" t="str">
        <f t="shared" si="36"/>
        <v xml:space="preserve"> </v>
      </c>
      <c r="D311" s="2"/>
      <c r="E311" s="3"/>
      <c r="F311" s="4"/>
      <c r="G311" s="5"/>
      <c r="H311" s="5"/>
      <c r="I311" s="5" t="str">
        <f t="shared" si="37"/>
        <v xml:space="preserve"> </v>
      </c>
      <c r="J311" s="33"/>
      <c r="K311" s="5" t="str">
        <f t="shared" si="38"/>
        <v xml:space="preserve"> </v>
      </c>
      <c r="L311" s="3" t="str">
        <f t="shared" si="39"/>
        <v xml:space="preserve"> </v>
      </c>
      <c r="M311" s="3" t="str">
        <f>IF(E311&gt;0,IFERROR(VLOOKUP($E311,'[2]Table 1'!$B$2:$I$147,8,0),"0.00")," ")</f>
        <v xml:space="preserve"> </v>
      </c>
      <c r="N311" s="6" t="str">
        <f t="shared" si="41"/>
        <v xml:space="preserve"> </v>
      </c>
      <c r="O311" s="7" t="str">
        <f>IF(IF(COUNTIF($B$5:B311,B311)&gt;1," ",SUMIF($B$5:$B$423,B311,$J$5:$J$423))=0," ",IF(COUNTIF($B$5:B311,B311)&gt;1," ",SUMIF($B$5:$B$423,B311,$J$5:$J$423)))</f>
        <v xml:space="preserve"> </v>
      </c>
      <c r="P311" s="8" t="str">
        <f>IF(IF(COUNTIF($B$5:B311,B311)&gt;1," ",SUMIF($B$5:$B$423,B311,$L$5:$L$423))=0," ",IF(COUNTIF($B$5:B311,B311)&gt;1," ",SUMIF($B$5:$B$423,B311,$L$5:$L$423)))</f>
        <v xml:space="preserve"> </v>
      </c>
      <c r="Q311" s="8" t="str">
        <f t="shared" si="43"/>
        <v xml:space="preserve"> </v>
      </c>
      <c r="R311" s="8" t="str">
        <f t="shared" si="42"/>
        <v xml:space="preserve"> </v>
      </c>
      <c r="S311" s="48" t="str">
        <f t="shared" si="40"/>
        <v xml:space="preserve"> </v>
      </c>
      <c r="T311" s="14" t="str">
        <f>IF(F311&gt;0,IFERROR(VLOOKUP($F311,[1]Sheet1!$C$3:$L$3445,10,0),"EOSS"),"")</f>
        <v/>
      </c>
    </row>
    <row r="312" spans="1:20" x14ac:dyDescent="0.3">
      <c r="A312" s="1"/>
      <c r="B312" s="2"/>
      <c r="C312" s="5" t="str">
        <f t="shared" si="36"/>
        <v xml:space="preserve"> </v>
      </c>
      <c r="D312" s="2"/>
      <c r="E312" s="3"/>
      <c r="F312" s="4"/>
      <c r="G312" s="5"/>
      <c r="H312" s="5"/>
      <c r="I312" s="5" t="str">
        <f t="shared" si="37"/>
        <v xml:space="preserve"> </v>
      </c>
      <c r="J312" s="33"/>
      <c r="K312" s="5" t="str">
        <f t="shared" si="38"/>
        <v xml:space="preserve"> </v>
      </c>
      <c r="L312" s="3" t="str">
        <f t="shared" si="39"/>
        <v xml:space="preserve"> </v>
      </c>
      <c r="M312" s="3" t="str">
        <f>IF(E312&gt;0,IFERROR(VLOOKUP($E312,'[2]Table 1'!$B$2:$I$147,8,0),"0.00")," ")</f>
        <v xml:space="preserve"> </v>
      </c>
      <c r="N312" s="6" t="str">
        <f t="shared" si="41"/>
        <v xml:space="preserve"> </v>
      </c>
      <c r="O312" s="7" t="str">
        <f>IF(IF(COUNTIF($B$5:B312,B312)&gt;1," ",SUMIF($B$5:$B$423,B312,$J$5:$J$423))=0," ",IF(COUNTIF($B$5:B312,B312)&gt;1," ",SUMIF($B$5:$B$423,B312,$J$5:$J$423)))</f>
        <v xml:space="preserve"> </v>
      </c>
      <c r="P312" s="8" t="str">
        <f>IF(IF(COUNTIF($B$5:B312,B312)&gt;1," ",SUMIF($B$5:$B$423,B312,$L$5:$L$423))=0," ",IF(COUNTIF($B$5:B312,B312)&gt;1," ",SUMIF($B$5:$B$423,B312,$L$5:$L$423)))</f>
        <v xml:space="preserve"> </v>
      </c>
      <c r="Q312" s="8" t="str">
        <f t="shared" si="43"/>
        <v xml:space="preserve"> </v>
      </c>
      <c r="R312" s="8" t="str">
        <f t="shared" si="42"/>
        <v xml:space="preserve"> </v>
      </c>
      <c r="S312" s="48" t="str">
        <f t="shared" si="40"/>
        <v xml:space="preserve"> </v>
      </c>
      <c r="T312" s="14" t="str">
        <f>IF(F312&gt;0,IFERROR(VLOOKUP($F312,[1]Sheet1!$C$3:$L$3445,10,0),"EOSS"),"")</f>
        <v/>
      </c>
    </row>
    <row r="313" spans="1:20" x14ac:dyDescent="0.3">
      <c r="A313" s="1"/>
      <c r="B313" s="2"/>
      <c r="C313" s="5" t="str">
        <f t="shared" si="36"/>
        <v xml:space="preserve"> </v>
      </c>
      <c r="D313" s="2"/>
      <c r="E313" s="3"/>
      <c r="F313" s="4"/>
      <c r="G313" s="5"/>
      <c r="H313" s="5"/>
      <c r="I313" s="5" t="str">
        <f t="shared" si="37"/>
        <v xml:space="preserve"> </v>
      </c>
      <c r="J313" s="33"/>
      <c r="K313" s="5" t="str">
        <f t="shared" si="38"/>
        <v xml:space="preserve"> </v>
      </c>
      <c r="L313" s="3" t="str">
        <f t="shared" si="39"/>
        <v xml:space="preserve"> </v>
      </c>
      <c r="M313" s="3" t="str">
        <f>IF(E313&gt;0,IFERROR(VLOOKUP($E313,'[2]Table 1'!$B$2:$I$147,8,0),"0.00")," ")</f>
        <v xml:space="preserve"> </v>
      </c>
      <c r="N313" s="6" t="str">
        <f t="shared" si="41"/>
        <v xml:space="preserve"> </v>
      </c>
      <c r="O313" s="7" t="str">
        <f>IF(IF(COUNTIF($B$5:B313,B313)&gt;1," ",SUMIF($B$5:$B$423,B313,$J$5:$J$423))=0," ",IF(COUNTIF($B$5:B313,B313)&gt;1," ",SUMIF($B$5:$B$423,B313,$J$5:$J$423)))</f>
        <v xml:space="preserve"> </v>
      </c>
      <c r="P313" s="8" t="str">
        <f>IF(IF(COUNTIF($B$5:B313,B313)&gt;1," ",SUMIF($B$5:$B$423,B313,$L$5:$L$423))=0," ",IF(COUNTIF($B$5:B313,B313)&gt;1," ",SUMIF($B$5:$B$423,B313,$L$5:$L$423)))</f>
        <v xml:space="preserve"> </v>
      </c>
      <c r="Q313" s="8" t="str">
        <f t="shared" si="43"/>
        <v xml:space="preserve"> </v>
      </c>
      <c r="R313" s="8" t="str">
        <f t="shared" si="42"/>
        <v xml:space="preserve"> </v>
      </c>
      <c r="S313" s="48" t="str">
        <f t="shared" si="40"/>
        <v xml:space="preserve"> </v>
      </c>
      <c r="T313" s="14" t="str">
        <f>IF(F313&gt;0,IFERROR(VLOOKUP($F313,[1]Sheet1!$C$3:$L$3445,10,0),"EOSS"),"")</f>
        <v/>
      </c>
    </row>
    <row r="314" spans="1:20" x14ac:dyDescent="0.3">
      <c r="A314" s="1"/>
      <c r="B314" s="2"/>
      <c r="C314" s="5" t="str">
        <f t="shared" si="36"/>
        <v xml:space="preserve"> </v>
      </c>
      <c r="D314" s="2"/>
      <c r="E314" s="3"/>
      <c r="F314" s="4"/>
      <c r="G314" s="5"/>
      <c r="H314" s="5"/>
      <c r="I314" s="5" t="str">
        <f t="shared" si="37"/>
        <v xml:space="preserve"> </v>
      </c>
      <c r="J314" s="33"/>
      <c r="K314" s="5" t="str">
        <f t="shared" si="38"/>
        <v xml:space="preserve"> </v>
      </c>
      <c r="L314" s="3" t="str">
        <f t="shared" si="39"/>
        <v xml:space="preserve"> </v>
      </c>
      <c r="M314" s="3" t="str">
        <f>IF(E314&gt;0,IFERROR(VLOOKUP($E314,'[2]Table 1'!$B$2:$I$147,8,0),"0.00")," ")</f>
        <v xml:space="preserve"> </v>
      </c>
      <c r="N314" s="6" t="str">
        <f t="shared" si="41"/>
        <v xml:space="preserve"> </v>
      </c>
      <c r="O314" s="7" t="str">
        <f>IF(IF(COUNTIF($B$5:B314,B314)&gt;1," ",SUMIF($B$5:$B$423,B314,$J$5:$J$423))=0," ",IF(COUNTIF($B$5:B314,B314)&gt;1," ",SUMIF($B$5:$B$423,B314,$J$5:$J$423)))</f>
        <v xml:space="preserve"> </v>
      </c>
      <c r="P314" s="8" t="str">
        <f>IF(IF(COUNTIF($B$5:B314,B314)&gt;1," ",SUMIF($B$5:$B$423,B314,$L$5:$L$423))=0," ",IF(COUNTIF($B$5:B314,B314)&gt;1," ",SUMIF($B$5:$B$423,B314,$L$5:$L$423)))</f>
        <v xml:space="preserve"> </v>
      </c>
      <c r="Q314" s="8" t="str">
        <f t="shared" si="43"/>
        <v xml:space="preserve"> </v>
      </c>
      <c r="R314" s="8" t="str">
        <f t="shared" si="42"/>
        <v xml:space="preserve"> </v>
      </c>
      <c r="S314" s="48" t="str">
        <f t="shared" si="40"/>
        <v xml:space="preserve"> </v>
      </c>
      <c r="T314" s="14" t="str">
        <f>IF(F314&gt;0,IFERROR(VLOOKUP($F314,[1]Sheet1!$C$3:$L$3445,10,0),"EOSS"),"")</f>
        <v/>
      </c>
    </row>
    <row r="315" spans="1:20" x14ac:dyDescent="0.3">
      <c r="A315" s="1"/>
      <c r="B315" s="2"/>
      <c r="C315" s="5" t="str">
        <f t="shared" si="36"/>
        <v xml:space="preserve"> </v>
      </c>
      <c r="D315" s="2"/>
      <c r="E315" s="3"/>
      <c r="F315" s="4"/>
      <c r="G315" s="5"/>
      <c r="H315" s="5"/>
      <c r="I315" s="5" t="str">
        <f t="shared" si="37"/>
        <v xml:space="preserve"> </v>
      </c>
      <c r="J315" s="33"/>
      <c r="K315" s="5" t="str">
        <f t="shared" si="38"/>
        <v xml:space="preserve"> </v>
      </c>
      <c r="L315" s="3" t="str">
        <f t="shared" si="39"/>
        <v xml:space="preserve"> </v>
      </c>
      <c r="M315" s="3" t="str">
        <f>IF(E315&gt;0,IFERROR(VLOOKUP($E315,'[2]Table 1'!$B$2:$I$147,8,0),"0.00")," ")</f>
        <v xml:space="preserve"> </v>
      </c>
      <c r="N315" s="6" t="str">
        <f t="shared" si="41"/>
        <v xml:space="preserve"> </v>
      </c>
      <c r="O315" s="7" t="str">
        <f>IF(IF(COUNTIF($B$5:B315,B315)&gt;1," ",SUMIF($B$5:$B$423,B315,$J$5:$J$423))=0," ",IF(COUNTIF($B$5:B315,B315)&gt;1," ",SUMIF($B$5:$B$423,B315,$J$5:$J$423)))</f>
        <v xml:space="preserve"> </v>
      </c>
      <c r="P315" s="8" t="str">
        <f>IF(IF(COUNTIF($B$5:B315,B315)&gt;1," ",SUMIF($B$5:$B$423,B315,$L$5:$L$423))=0," ",IF(COUNTIF($B$5:B315,B315)&gt;1," ",SUMIF($B$5:$B$423,B315,$L$5:$L$423)))</f>
        <v xml:space="preserve"> </v>
      </c>
      <c r="Q315" s="8" t="str">
        <f t="shared" si="43"/>
        <v xml:space="preserve"> </v>
      </c>
      <c r="R315" s="8" t="str">
        <f t="shared" si="42"/>
        <v xml:space="preserve"> </v>
      </c>
      <c r="S315" s="48" t="str">
        <f t="shared" si="40"/>
        <v xml:space="preserve"> </v>
      </c>
      <c r="T315" s="14" t="str">
        <f>IF(F315&gt;0,IFERROR(VLOOKUP($F315,[1]Sheet1!$C$3:$L$3445,10,0),"EOSS"),"")</f>
        <v/>
      </c>
    </row>
    <row r="316" spans="1:20" x14ac:dyDescent="0.3">
      <c r="A316" s="1"/>
      <c r="B316" s="2"/>
      <c r="C316" s="5" t="str">
        <f t="shared" si="36"/>
        <v xml:space="preserve"> </v>
      </c>
      <c r="D316" s="2"/>
      <c r="E316" s="3"/>
      <c r="F316" s="4"/>
      <c r="G316" s="5"/>
      <c r="H316" s="5"/>
      <c r="I316" s="5" t="str">
        <f t="shared" si="37"/>
        <v xml:space="preserve"> </v>
      </c>
      <c r="J316" s="33"/>
      <c r="K316" s="5" t="str">
        <f t="shared" si="38"/>
        <v xml:space="preserve"> </v>
      </c>
      <c r="L316" s="3" t="str">
        <f t="shared" si="39"/>
        <v xml:space="preserve"> </v>
      </c>
      <c r="M316" s="3" t="str">
        <f>IF(E316&gt;0,IFERROR(VLOOKUP($E316,'[2]Table 1'!$B$2:$I$147,8,0),"0.00")," ")</f>
        <v xml:space="preserve"> </v>
      </c>
      <c r="N316" s="6" t="str">
        <f t="shared" si="41"/>
        <v xml:space="preserve"> </v>
      </c>
      <c r="O316" s="7" t="str">
        <f>IF(IF(COUNTIF($B$5:B316,B316)&gt;1," ",SUMIF($B$5:$B$423,B316,$J$5:$J$423))=0," ",IF(COUNTIF($B$5:B316,B316)&gt;1," ",SUMIF($B$5:$B$423,B316,$J$5:$J$423)))</f>
        <v xml:space="preserve"> </v>
      </c>
      <c r="P316" s="8" t="str">
        <f>IF(IF(COUNTIF($B$5:B316,B316)&gt;1," ",SUMIF($B$5:$B$423,B316,$L$5:$L$423))=0," ",IF(COUNTIF($B$5:B316,B316)&gt;1," ",SUMIF($B$5:$B$423,B316,$L$5:$L$423)))</f>
        <v xml:space="preserve"> </v>
      </c>
      <c r="Q316" s="8" t="str">
        <f t="shared" si="43"/>
        <v xml:space="preserve"> </v>
      </c>
      <c r="R316" s="8" t="str">
        <f t="shared" si="42"/>
        <v xml:space="preserve"> </v>
      </c>
      <c r="S316" s="48" t="str">
        <f t="shared" si="40"/>
        <v xml:space="preserve"> </v>
      </c>
      <c r="T316" s="14" t="str">
        <f>IF(F316&gt;0,IFERROR(VLOOKUP($F316,[1]Sheet1!$C$3:$L$3445,10,0),"EOSS"),"")</f>
        <v/>
      </c>
    </row>
    <row r="317" spans="1:20" x14ac:dyDescent="0.3">
      <c r="A317" s="1"/>
      <c r="B317" s="2"/>
      <c r="C317" s="5" t="str">
        <f t="shared" si="36"/>
        <v xml:space="preserve"> </v>
      </c>
      <c r="D317" s="2"/>
      <c r="E317" s="3"/>
      <c r="F317" s="4"/>
      <c r="G317" s="5"/>
      <c r="H317" s="5"/>
      <c r="I317" s="5" t="str">
        <f t="shared" si="37"/>
        <v xml:space="preserve"> </v>
      </c>
      <c r="J317" s="33"/>
      <c r="K317" s="5" t="str">
        <f t="shared" si="38"/>
        <v xml:space="preserve"> </v>
      </c>
      <c r="L317" s="3" t="str">
        <f t="shared" si="39"/>
        <v xml:space="preserve"> </v>
      </c>
      <c r="M317" s="3" t="str">
        <f>IF(E317&gt;0,IFERROR(VLOOKUP($E317,'[2]Table 1'!$B$2:$I$147,8,0),"0.00")," ")</f>
        <v xml:space="preserve"> </v>
      </c>
      <c r="N317" s="6" t="str">
        <f t="shared" si="41"/>
        <v xml:space="preserve"> </v>
      </c>
      <c r="O317" s="7" t="str">
        <f>IF(IF(COUNTIF($B$5:B317,B317)&gt;1," ",SUMIF($B$5:$B$423,B317,$J$5:$J$423))=0," ",IF(COUNTIF($B$5:B317,B317)&gt;1," ",SUMIF($B$5:$B$423,B317,$J$5:$J$423)))</f>
        <v xml:space="preserve"> </v>
      </c>
      <c r="P317" s="8" t="str">
        <f>IF(IF(COUNTIF($B$5:B317,B317)&gt;1," ",SUMIF($B$5:$B$423,B317,$L$5:$L$423))=0," ",IF(COUNTIF($B$5:B317,B317)&gt;1," ",SUMIF($B$5:$B$423,B317,$L$5:$L$423)))</f>
        <v xml:space="preserve"> </v>
      </c>
      <c r="Q317" s="8" t="str">
        <f t="shared" si="43"/>
        <v xml:space="preserve"> </v>
      </c>
      <c r="R317" s="8" t="str">
        <f t="shared" si="42"/>
        <v xml:space="preserve"> </v>
      </c>
      <c r="S317" s="48" t="str">
        <f t="shared" si="40"/>
        <v xml:space="preserve"> </v>
      </c>
      <c r="T317" s="14" t="str">
        <f>IF(F317&gt;0,IFERROR(VLOOKUP($F317,[1]Sheet1!$C$3:$L$3445,10,0),"EOSS"),"")</f>
        <v/>
      </c>
    </row>
    <row r="318" spans="1:20" x14ac:dyDescent="0.3">
      <c r="A318" s="1"/>
      <c r="B318" s="2"/>
      <c r="C318" s="5" t="str">
        <f t="shared" si="36"/>
        <v xml:space="preserve"> </v>
      </c>
      <c r="D318" s="2"/>
      <c r="E318" s="3"/>
      <c r="F318" s="4"/>
      <c r="G318" s="5"/>
      <c r="H318" s="5"/>
      <c r="I318" s="5" t="str">
        <f t="shared" si="37"/>
        <v xml:space="preserve"> </v>
      </c>
      <c r="J318" s="33"/>
      <c r="K318" s="5" t="str">
        <f t="shared" si="38"/>
        <v xml:space="preserve"> </v>
      </c>
      <c r="L318" s="3" t="str">
        <f t="shared" si="39"/>
        <v xml:space="preserve"> </v>
      </c>
      <c r="M318" s="3" t="str">
        <f>IF(E318&gt;0,IFERROR(VLOOKUP($E318,'[2]Table 1'!$B$2:$I$147,8,0),"0.00")," ")</f>
        <v xml:space="preserve"> </v>
      </c>
      <c r="N318" s="6" t="str">
        <f t="shared" si="41"/>
        <v xml:space="preserve"> </v>
      </c>
      <c r="O318" s="7" t="str">
        <f>IF(IF(COUNTIF($B$5:B318,B318)&gt;1," ",SUMIF($B$5:$B$423,B318,$J$5:$J$423))=0," ",IF(COUNTIF($B$5:B318,B318)&gt;1," ",SUMIF($B$5:$B$423,B318,$J$5:$J$423)))</f>
        <v xml:space="preserve"> </v>
      </c>
      <c r="P318" s="8" t="str">
        <f>IF(IF(COUNTIF($B$5:B318,B318)&gt;1," ",SUMIF($B$5:$B$423,B318,$L$5:$L$423))=0," ",IF(COUNTIF($B$5:B318,B318)&gt;1," ",SUMIF($B$5:$B$423,B318,$L$5:$L$423)))</f>
        <v xml:space="preserve"> </v>
      </c>
      <c r="Q318" s="8" t="str">
        <f t="shared" si="43"/>
        <v xml:space="preserve"> </v>
      </c>
      <c r="R318" s="8" t="str">
        <f t="shared" si="42"/>
        <v xml:space="preserve"> </v>
      </c>
      <c r="S318" s="48" t="str">
        <f t="shared" si="40"/>
        <v xml:space="preserve"> </v>
      </c>
      <c r="T318" s="14" t="str">
        <f>IF(F318&gt;0,IFERROR(VLOOKUP($F318,[1]Sheet1!$C$3:$L$3445,10,0),"EOSS"),"")</f>
        <v/>
      </c>
    </row>
    <row r="319" spans="1:20" x14ac:dyDescent="0.3">
      <c r="A319" s="1"/>
      <c r="B319" s="2"/>
      <c r="C319" s="5" t="str">
        <f t="shared" si="36"/>
        <v xml:space="preserve"> </v>
      </c>
      <c r="D319" s="2"/>
      <c r="E319" s="3"/>
      <c r="F319" s="4"/>
      <c r="G319" s="5"/>
      <c r="H319" s="5"/>
      <c r="I319" s="5" t="str">
        <f t="shared" si="37"/>
        <v xml:space="preserve"> </v>
      </c>
      <c r="J319" s="33"/>
      <c r="K319" s="5" t="str">
        <f t="shared" si="38"/>
        <v xml:space="preserve"> </v>
      </c>
      <c r="L319" s="3" t="str">
        <f t="shared" si="39"/>
        <v xml:space="preserve"> </v>
      </c>
      <c r="M319" s="3" t="str">
        <f>IF(E319&gt;0,IFERROR(VLOOKUP($E319,'[2]Table 1'!$B$2:$I$147,8,0),"0.00")," ")</f>
        <v xml:space="preserve"> </v>
      </c>
      <c r="N319" s="6" t="str">
        <f t="shared" si="41"/>
        <v xml:space="preserve"> </v>
      </c>
      <c r="O319" s="7" t="str">
        <f>IF(IF(COUNTIF($B$5:B319,B319)&gt;1," ",SUMIF($B$5:$B$423,B319,$J$5:$J$423))=0," ",IF(COUNTIF($B$5:B319,B319)&gt;1," ",SUMIF($B$5:$B$423,B319,$J$5:$J$423)))</f>
        <v xml:space="preserve"> </v>
      </c>
      <c r="P319" s="8" t="str">
        <f>IF(IF(COUNTIF($B$5:B319,B319)&gt;1," ",SUMIF($B$5:$B$423,B319,$L$5:$L$423))=0," ",IF(COUNTIF($B$5:B319,B319)&gt;1," ",SUMIF($B$5:$B$423,B319,$L$5:$L$423)))</f>
        <v xml:space="preserve"> </v>
      </c>
      <c r="Q319" s="8" t="str">
        <f t="shared" si="43"/>
        <v xml:space="preserve"> </v>
      </c>
      <c r="R319" s="8" t="str">
        <f t="shared" si="42"/>
        <v xml:space="preserve"> </v>
      </c>
      <c r="S319" s="48" t="str">
        <f t="shared" si="40"/>
        <v xml:space="preserve"> </v>
      </c>
      <c r="T319" s="14" t="str">
        <f>IF(F319&gt;0,IFERROR(VLOOKUP($F319,[1]Sheet1!$C$3:$L$3445,10,0),"EOSS"),"")</f>
        <v/>
      </c>
    </row>
    <row r="320" spans="1:20" x14ac:dyDescent="0.3">
      <c r="A320" s="1"/>
      <c r="B320" s="2"/>
      <c r="C320" s="5" t="str">
        <f t="shared" si="36"/>
        <v xml:space="preserve"> </v>
      </c>
      <c r="D320" s="2"/>
      <c r="E320" s="3"/>
      <c r="F320" s="4"/>
      <c r="G320" s="5"/>
      <c r="H320" s="5"/>
      <c r="I320" s="5" t="str">
        <f t="shared" si="37"/>
        <v xml:space="preserve"> </v>
      </c>
      <c r="J320" s="33"/>
      <c r="K320" s="5" t="str">
        <f t="shared" si="38"/>
        <v xml:space="preserve"> </v>
      </c>
      <c r="L320" s="3" t="str">
        <f t="shared" si="39"/>
        <v xml:space="preserve"> </v>
      </c>
      <c r="M320" s="3" t="str">
        <f>IF(E320&gt;0,IFERROR(VLOOKUP($E320,'[2]Table 1'!$B$2:$I$147,8,0),"0.00")," ")</f>
        <v xml:space="preserve"> </v>
      </c>
      <c r="N320" s="6" t="str">
        <f t="shared" si="41"/>
        <v xml:space="preserve"> </v>
      </c>
      <c r="O320" s="7" t="str">
        <f>IF(IF(COUNTIF($B$5:B320,B320)&gt;1," ",SUMIF($B$5:$B$423,B320,$J$5:$J$423))=0," ",IF(COUNTIF($B$5:B320,B320)&gt;1," ",SUMIF($B$5:$B$423,B320,$J$5:$J$423)))</f>
        <v xml:space="preserve"> </v>
      </c>
      <c r="P320" s="8" t="str">
        <f>IF(IF(COUNTIF($B$5:B320,B320)&gt;1," ",SUMIF($B$5:$B$423,B320,$L$5:$L$423))=0," ",IF(COUNTIF($B$5:B320,B320)&gt;1," ",SUMIF($B$5:$B$423,B320,$L$5:$L$423)))</f>
        <v xml:space="preserve"> </v>
      </c>
      <c r="Q320" s="8" t="str">
        <f t="shared" si="43"/>
        <v xml:space="preserve"> </v>
      </c>
      <c r="R320" s="8" t="str">
        <f t="shared" si="42"/>
        <v xml:space="preserve"> </v>
      </c>
      <c r="S320" s="48" t="str">
        <f t="shared" si="40"/>
        <v xml:space="preserve"> </v>
      </c>
      <c r="T320" s="14" t="str">
        <f>IF(F320&gt;0,IFERROR(VLOOKUP($F320,[1]Sheet1!$C$3:$L$3445,10,0),"EOSS"),"")</f>
        <v/>
      </c>
    </row>
    <row r="321" spans="1:20" x14ac:dyDescent="0.3">
      <c r="A321" s="1"/>
      <c r="B321" s="2"/>
      <c r="C321" s="5" t="str">
        <f t="shared" si="36"/>
        <v xml:space="preserve"> </v>
      </c>
      <c r="D321" s="2"/>
      <c r="E321" s="3"/>
      <c r="F321" s="4"/>
      <c r="G321" s="5"/>
      <c r="H321" s="5"/>
      <c r="I321" s="5" t="str">
        <f t="shared" si="37"/>
        <v xml:space="preserve"> </v>
      </c>
      <c r="J321" s="33"/>
      <c r="K321" s="5" t="str">
        <f t="shared" si="38"/>
        <v xml:space="preserve"> </v>
      </c>
      <c r="L321" s="3" t="str">
        <f t="shared" si="39"/>
        <v xml:space="preserve"> </v>
      </c>
      <c r="M321" s="3" t="str">
        <f>IF(E321&gt;0,IFERROR(VLOOKUP($E321,'[2]Table 1'!$B$2:$I$147,8,0),"0.00")," ")</f>
        <v xml:space="preserve"> </v>
      </c>
      <c r="N321" s="6" t="str">
        <f t="shared" si="41"/>
        <v xml:space="preserve"> </v>
      </c>
      <c r="O321" s="7" t="str">
        <f>IF(IF(COUNTIF($B$5:B321,B321)&gt;1," ",SUMIF($B$5:$B$423,B321,$J$5:$J$423))=0," ",IF(COUNTIF($B$5:B321,B321)&gt;1," ",SUMIF($B$5:$B$423,B321,$J$5:$J$423)))</f>
        <v xml:space="preserve"> </v>
      </c>
      <c r="P321" s="8" t="str">
        <f>IF(IF(COUNTIF($B$5:B321,B321)&gt;1," ",SUMIF($B$5:$B$423,B321,$L$5:$L$423))=0," ",IF(COUNTIF($B$5:B321,B321)&gt;1," ",SUMIF($B$5:$B$423,B321,$L$5:$L$423)))</f>
        <v xml:space="preserve"> </v>
      </c>
      <c r="Q321" s="8" t="str">
        <f t="shared" si="43"/>
        <v xml:space="preserve"> </v>
      </c>
      <c r="R321" s="8" t="str">
        <f t="shared" si="42"/>
        <v xml:space="preserve"> </v>
      </c>
      <c r="S321" s="48" t="str">
        <f t="shared" si="40"/>
        <v xml:space="preserve"> </v>
      </c>
      <c r="T321" s="14" t="str">
        <f>IF(F321&gt;0,IFERROR(VLOOKUP($F321,[1]Sheet1!$C$3:$L$3445,10,0),"EOSS"),"")</f>
        <v/>
      </c>
    </row>
    <row r="322" spans="1:20" x14ac:dyDescent="0.3">
      <c r="A322" s="1"/>
      <c r="B322" s="2"/>
      <c r="C322" s="5" t="str">
        <f t="shared" si="36"/>
        <v xml:space="preserve"> </v>
      </c>
      <c r="D322" s="2"/>
      <c r="E322" s="3"/>
      <c r="F322" s="4"/>
      <c r="G322" s="5"/>
      <c r="H322" s="5"/>
      <c r="I322" s="5" t="str">
        <f t="shared" si="37"/>
        <v xml:space="preserve"> </v>
      </c>
      <c r="J322" s="33"/>
      <c r="K322" s="5" t="str">
        <f t="shared" si="38"/>
        <v xml:space="preserve"> </v>
      </c>
      <c r="L322" s="3" t="str">
        <f t="shared" si="39"/>
        <v xml:space="preserve"> </v>
      </c>
      <c r="M322" s="3" t="str">
        <f>IF(E322&gt;0,IFERROR(VLOOKUP($E322,'[2]Table 1'!$B$2:$I$147,8,0),"0.00")," ")</f>
        <v xml:space="preserve"> </v>
      </c>
      <c r="N322" s="6" t="str">
        <f t="shared" si="41"/>
        <v xml:space="preserve"> </v>
      </c>
      <c r="O322" s="7" t="str">
        <f>IF(IF(COUNTIF($B$5:B322,B322)&gt;1," ",SUMIF($B$5:$B$423,B322,$J$5:$J$423))=0," ",IF(COUNTIF($B$5:B322,B322)&gt;1," ",SUMIF($B$5:$B$423,B322,$J$5:$J$423)))</f>
        <v xml:space="preserve"> </v>
      </c>
      <c r="P322" s="8" t="str">
        <f>IF(IF(COUNTIF($B$5:B322,B322)&gt;1," ",SUMIF($B$5:$B$423,B322,$L$5:$L$423))=0," ",IF(COUNTIF($B$5:B322,B322)&gt;1," ",SUMIF($B$5:$B$423,B322,$L$5:$L$423)))</f>
        <v xml:space="preserve"> </v>
      </c>
      <c r="Q322" s="8" t="str">
        <f t="shared" si="43"/>
        <v xml:space="preserve"> </v>
      </c>
      <c r="R322" s="8" t="str">
        <f t="shared" si="42"/>
        <v xml:space="preserve"> </v>
      </c>
      <c r="S322" s="48" t="str">
        <f t="shared" si="40"/>
        <v xml:space="preserve"> </v>
      </c>
      <c r="T322" s="14" t="str">
        <f>IF(F322&gt;0,IFERROR(VLOOKUP($F322,[1]Sheet1!$C$3:$L$3445,10,0),"EOSS"),"")</f>
        <v/>
      </c>
    </row>
    <row r="323" spans="1:20" x14ac:dyDescent="0.3">
      <c r="A323" s="1"/>
      <c r="B323" s="2"/>
      <c r="C323" s="5" t="str">
        <f t="shared" si="36"/>
        <v xml:space="preserve"> </v>
      </c>
      <c r="D323" s="2"/>
      <c r="E323" s="3"/>
      <c r="F323" s="4"/>
      <c r="G323" s="5"/>
      <c r="H323" s="5"/>
      <c r="I323" s="5" t="str">
        <f t="shared" si="37"/>
        <v xml:space="preserve"> </v>
      </c>
      <c r="J323" s="33"/>
      <c r="K323" s="5" t="str">
        <f t="shared" si="38"/>
        <v xml:space="preserve"> </v>
      </c>
      <c r="L323" s="3" t="str">
        <f t="shared" si="39"/>
        <v xml:space="preserve"> </v>
      </c>
      <c r="M323" s="3" t="str">
        <f>IF(E323&gt;0,IFERROR(VLOOKUP($E323,'[2]Table 1'!$B$2:$I$147,8,0),"0.00")," ")</f>
        <v xml:space="preserve"> </v>
      </c>
      <c r="N323" s="6" t="str">
        <f t="shared" si="41"/>
        <v xml:space="preserve"> </v>
      </c>
      <c r="O323" s="7" t="str">
        <f>IF(IF(COUNTIF($B$5:B323,B323)&gt;1," ",SUMIF($B$5:$B$423,B323,$J$5:$J$423))=0," ",IF(COUNTIF($B$5:B323,B323)&gt;1," ",SUMIF($B$5:$B$423,B323,$J$5:$J$423)))</f>
        <v xml:space="preserve"> </v>
      </c>
      <c r="P323" s="8" t="str">
        <f>IF(IF(COUNTIF($B$5:B323,B323)&gt;1," ",SUMIF($B$5:$B$423,B323,$L$5:$L$423))=0," ",IF(COUNTIF($B$5:B323,B323)&gt;1," ",SUMIF($B$5:$B$423,B323,$L$5:$L$423)))</f>
        <v xml:space="preserve"> </v>
      </c>
      <c r="Q323" s="8" t="str">
        <f t="shared" si="43"/>
        <v xml:space="preserve"> </v>
      </c>
      <c r="R323" s="8" t="str">
        <f t="shared" si="42"/>
        <v xml:space="preserve"> </v>
      </c>
      <c r="S323" s="48" t="str">
        <f t="shared" si="40"/>
        <v xml:space="preserve"> </v>
      </c>
      <c r="T323" s="14" t="str">
        <f>IF(F323&gt;0,IFERROR(VLOOKUP($F323,[1]Sheet1!$C$3:$L$3445,10,0),"EOSS"),"")</f>
        <v/>
      </c>
    </row>
    <row r="324" spans="1:20" x14ac:dyDescent="0.3">
      <c r="A324" s="1"/>
      <c r="B324" s="2"/>
      <c r="C324" s="5" t="str">
        <f t="shared" si="36"/>
        <v xml:space="preserve"> </v>
      </c>
      <c r="D324" s="2"/>
      <c r="E324" s="3"/>
      <c r="F324" s="4"/>
      <c r="G324" s="5"/>
      <c r="H324" s="5"/>
      <c r="I324" s="5" t="str">
        <f t="shared" si="37"/>
        <v xml:space="preserve"> </v>
      </c>
      <c r="J324" s="33"/>
      <c r="K324" s="5" t="str">
        <f t="shared" si="38"/>
        <v xml:space="preserve"> </v>
      </c>
      <c r="L324" s="3" t="str">
        <f t="shared" si="39"/>
        <v xml:space="preserve"> </v>
      </c>
      <c r="M324" s="3" t="str">
        <f>IF(E324&gt;0,IFERROR(VLOOKUP($E324,'[2]Table 1'!$B$2:$I$147,8,0),"0.00")," ")</f>
        <v xml:space="preserve"> </v>
      </c>
      <c r="N324" s="6" t="str">
        <f t="shared" si="41"/>
        <v xml:space="preserve"> </v>
      </c>
      <c r="O324" s="7" t="str">
        <f>IF(IF(COUNTIF($B$5:B324,B324)&gt;1," ",SUMIF($B$5:$B$423,B324,$J$5:$J$423))=0," ",IF(COUNTIF($B$5:B324,B324)&gt;1," ",SUMIF($B$5:$B$423,B324,$J$5:$J$423)))</f>
        <v xml:space="preserve"> </v>
      </c>
      <c r="P324" s="8" t="str">
        <f>IF(IF(COUNTIF($B$5:B324,B324)&gt;1," ",SUMIF($B$5:$B$423,B324,$L$5:$L$423))=0," ",IF(COUNTIF($B$5:B324,B324)&gt;1," ",SUMIF($B$5:$B$423,B324,$L$5:$L$423)))</f>
        <v xml:space="preserve"> </v>
      </c>
      <c r="Q324" s="8" t="str">
        <f t="shared" si="43"/>
        <v xml:space="preserve"> </v>
      </c>
      <c r="R324" s="8" t="str">
        <f t="shared" si="42"/>
        <v xml:space="preserve"> </v>
      </c>
      <c r="S324" s="48" t="str">
        <f t="shared" si="40"/>
        <v xml:space="preserve"> </v>
      </c>
      <c r="T324" s="14" t="str">
        <f>IF(F324&gt;0,IFERROR(VLOOKUP($F324,[1]Sheet1!$C$3:$L$3445,10,0),"EOSS"),"")</f>
        <v/>
      </c>
    </row>
    <row r="325" spans="1:20" x14ac:dyDescent="0.3">
      <c r="A325" s="1"/>
      <c r="B325" s="2"/>
      <c r="C325" s="5" t="str">
        <f t="shared" ref="C325:C388" si="44">IF($B325=0," ","Cash")</f>
        <v xml:space="preserve"> </v>
      </c>
      <c r="D325" s="2"/>
      <c r="E325" s="3"/>
      <c r="F325" s="4"/>
      <c r="G325" s="5"/>
      <c r="H325" s="5"/>
      <c r="I325" s="5" t="str">
        <f t="shared" ref="I325:I388" si="45">IF(H325&gt;0,$C$3," ")</f>
        <v xml:space="preserve"> </v>
      </c>
      <c r="J325" s="33"/>
      <c r="K325" s="5" t="str">
        <f t="shared" ref="K325:K388" si="46">IF($F325=0," ","Pcs.")</f>
        <v xml:space="preserve"> </v>
      </c>
      <c r="L325" s="3" t="str">
        <f t="shared" ref="L325:L388" si="47">IF(J325*E325=0," ",J325*E325)</f>
        <v xml:space="preserve"> </v>
      </c>
      <c r="M325" s="3" t="str">
        <f>IF(E325&gt;0,IFERROR(VLOOKUP($E325,'[2]Table 1'!$B$2:$I$147,8,0),"0.00")," ")</f>
        <v xml:space="preserve"> </v>
      </c>
      <c r="N325" s="6" t="str">
        <f t="shared" si="41"/>
        <v xml:space="preserve"> </v>
      </c>
      <c r="O325" s="7" t="str">
        <f>IF(IF(COUNTIF($B$5:B325,B325)&gt;1," ",SUMIF($B$5:$B$423,B325,$J$5:$J$423))=0," ",IF(COUNTIF($B$5:B325,B325)&gt;1," ",SUMIF($B$5:$B$423,B325,$J$5:$J$423)))</f>
        <v xml:space="preserve"> </v>
      </c>
      <c r="P325" s="8" t="str">
        <f>IF(IF(COUNTIF($B$5:B325,B325)&gt;1," ",SUMIF($B$5:$B$423,B325,$L$5:$L$423))=0," ",IF(COUNTIF($B$5:B325,B325)&gt;1," ",SUMIF($B$5:$B$423,B325,$L$5:$L$423)))</f>
        <v xml:space="preserve"> </v>
      </c>
      <c r="Q325" s="8" t="str">
        <f t="shared" si="43"/>
        <v xml:space="preserve"> </v>
      </c>
      <c r="R325" s="8" t="str">
        <f t="shared" si="42"/>
        <v xml:space="preserve"> </v>
      </c>
      <c r="S325" s="48" t="str">
        <f t="shared" ref="S325:S388" si="48">IFERROR(Q325/P325," ")</f>
        <v xml:space="preserve"> </v>
      </c>
      <c r="T325" s="14" t="str">
        <f>IF(F325&gt;0,IFERROR(VLOOKUP($F325,[1]Sheet1!$C$3:$L$3445,10,0),"EOSS"),"")</f>
        <v/>
      </c>
    </row>
    <row r="326" spans="1:20" x14ac:dyDescent="0.3">
      <c r="A326" s="1"/>
      <c r="B326" s="2"/>
      <c r="C326" s="5" t="str">
        <f t="shared" si="44"/>
        <v xml:space="preserve"> </v>
      </c>
      <c r="D326" s="2"/>
      <c r="E326" s="3"/>
      <c r="F326" s="4"/>
      <c r="G326" s="5"/>
      <c r="H326" s="5"/>
      <c r="I326" s="5" t="str">
        <f t="shared" si="45"/>
        <v xml:space="preserve"> </v>
      </c>
      <c r="J326" s="33"/>
      <c r="K326" s="5" t="str">
        <f t="shared" si="46"/>
        <v xml:space="preserve"> </v>
      </c>
      <c r="L326" s="3" t="str">
        <f t="shared" si="47"/>
        <v xml:space="preserve"> </v>
      </c>
      <c r="M326" s="3" t="str">
        <f>IF(E326&gt;0,IFERROR(VLOOKUP($E326,'[2]Table 1'!$B$2:$I$147,8,0),"0.00")," ")</f>
        <v xml:space="preserve"> </v>
      </c>
      <c r="N326" s="6" t="str">
        <f t="shared" ref="N326:N389" si="49">IFERROR(L326+M326," ")</f>
        <v xml:space="preserve"> </v>
      </c>
      <c r="O326" s="7" t="str">
        <f>IF(IF(COUNTIF($B$5:B326,B326)&gt;1," ",SUMIF($B$5:$B$423,B326,$J$5:$J$423))=0," ",IF(COUNTIF($B$5:B326,B326)&gt;1," ",SUMIF($B$5:$B$423,B326,$J$5:$J$423)))</f>
        <v xml:space="preserve"> </v>
      </c>
      <c r="P326" s="8" t="str">
        <f>IF(IF(COUNTIF($B$5:B326,B326)&gt;1," ",SUMIF($B$5:$B$423,B326,$L$5:$L$423))=0," ",IF(COUNTIF($B$5:B326,B326)&gt;1," ",SUMIF($B$5:$B$423,B326,$L$5:$L$423)))</f>
        <v xml:space="preserve"> </v>
      </c>
      <c r="Q326" s="8" t="str">
        <f t="shared" si="43"/>
        <v xml:space="preserve"> </v>
      </c>
      <c r="R326" s="8" t="str">
        <f t="shared" ref="R326:R379" si="50">IF(B326=""," ",IF(OR(L326="",P326="",Q326=""),"",IFERROR(L326/$P$26*$Q$26,"")))</f>
        <v xml:space="preserve"> </v>
      </c>
      <c r="S326" s="48" t="str">
        <f t="shared" si="48"/>
        <v xml:space="preserve"> </v>
      </c>
      <c r="T326" s="14" t="str">
        <f>IF(F326&gt;0,IFERROR(VLOOKUP($F326,[1]Sheet1!$C$3:$L$3445,10,0),"EOSS"),"")</f>
        <v/>
      </c>
    </row>
    <row r="327" spans="1:20" x14ac:dyDescent="0.3">
      <c r="A327" s="1"/>
      <c r="B327" s="2"/>
      <c r="C327" s="5" t="str">
        <f t="shared" si="44"/>
        <v xml:space="preserve"> </v>
      </c>
      <c r="D327" s="2"/>
      <c r="E327" s="3"/>
      <c r="F327" s="4"/>
      <c r="G327" s="5"/>
      <c r="H327" s="5"/>
      <c r="I327" s="5" t="str">
        <f t="shared" si="45"/>
        <v xml:space="preserve"> </v>
      </c>
      <c r="J327" s="33"/>
      <c r="K327" s="5" t="str">
        <f t="shared" si="46"/>
        <v xml:space="preserve"> </v>
      </c>
      <c r="L327" s="3" t="str">
        <f t="shared" si="47"/>
        <v xml:space="preserve"> </v>
      </c>
      <c r="M327" s="3" t="str">
        <f>IF(E327&gt;0,IFERROR(VLOOKUP($E327,'[2]Table 1'!$B$2:$I$147,8,0),"0.00")," ")</f>
        <v xml:space="preserve"> </v>
      </c>
      <c r="N327" s="6" t="str">
        <f t="shared" si="49"/>
        <v xml:space="preserve"> </v>
      </c>
      <c r="O327" s="7" t="str">
        <f>IF(IF(COUNTIF($B$5:B327,B327)&gt;1," ",SUMIF($B$5:$B$423,B327,$J$5:$J$423))=0," ",IF(COUNTIF($B$5:B327,B327)&gt;1," ",SUMIF($B$5:$B$423,B327,$J$5:$J$423)))</f>
        <v xml:space="preserve"> </v>
      </c>
      <c r="P327" s="8" t="str">
        <f>IF(IF(COUNTIF($B$5:B327,B327)&gt;1," ",SUMIF($B$5:$B$423,B327,$L$5:$L$423))=0," ",IF(COUNTIF($B$5:B327,B327)&gt;1," ",SUMIF($B$5:$B$423,B327,$L$5:$L$423)))</f>
        <v xml:space="preserve"> </v>
      </c>
      <c r="Q327" s="8" t="str">
        <f t="shared" si="43"/>
        <v xml:space="preserve"> </v>
      </c>
      <c r="R327" s="8" t="str">
        <f t="shared" si="50"/>
        <v xml:space="preserve"> </v>
      </c>
      <c r="S327" s="48" t="str">
        <f t="shared" si="48"/>
        <v xml:space="preserve"> </v>
      </c>
      <c r="T327" s="14" t="str">
        <f>IF(F327&gt;0,IFERROR(VLOOKUP($F327,[1]Sheet1!$C$3:$L$3445,10,0),"EOSS"),"")</f>
        <v/>
      </c>
    </row>
    <row r="328" spans="1:20" x14ac:dyDescent="0.3">
      <c r="A328" s="1"/>
      <c r="B328" s="2"/>
      <c r="C328" s="5" t="str">
        <f t="shared" si="44"/>
        <v xml:space="preserve"> </v>
      </c>
      <c r="D328" s="2"/>
      <c r="E328" s="3"/>
      <c r="F328" s="4"/>
      <c r="G328" s="5"/>
      <c r="H328" s="5"/>
      <c r="I328" s="5" t="str">
        <f t="shared" si="45"/>
        <v xml:space="preserve"> </v>
      </c>
      <c r="J328" s="33"/>
      <c r="K328" s="5" t="str">
        <f t="shared" si="46"/>
        <v xml:space="preserve"> </v>
      </c>
      <c r="L328" s="3" t="str">
        <f t="shared" si="47"/>
        <v xml:space="preserve"> </v>
      </c>
      <c r="M328" s="3" t="str">
        <f>IF(E328&gt;0,IFERROR(VLOOKUP($E328,'[2]Table 1'!$B$2:$I$147,8,0),"0.00")," ")</f>
        <v xml:space="preserve"> </v>
      </c>
      <c r="N328" s="6" t="str">
        <f t="shared" si="49"/>
        <v xml:space="preserve"> </v>
      </c>
      <c r="O328" s="7" t="str">
        <f>IF(IF(COUNTIF($B$5:B328,B328)&gt;1," ",SUMIF($B$5:$B$423,B328,$J$5:$J$423))=0," ",IF(COUNTIF($B$5:B328,B328)&gt;1," ",SUMIF($B$5:$B$423,B328,$J$5:$J$423)))</f>
        <v xml:space="preserve"> </v>
      </c>
      <c r="P328" s="8" t="str">
        <f>IF(IF(COUNTIF($B$5:B328,B328)&gt;1," ",SUMIF($B$5:$B$423,B328,$L$5:$L$423))=0," ",IF(COUNTIF($B$5:B328,B328)&gt;1," ",SUMIF($B$5:$B$423,B328,$L$5:$L$423)))</f>
        <v xml:space="preserve"> </v>
      </c>
      <c r="Q328" s="8" t="str">
        <f t="shared" si="43"/>
        <v xml:space="preserve"> </v>
      </c>
      <c r="R328" s="8" t="str">
        <f t="shared" si="50"/>
        <v xml:space="preserve"> </v>
      </c>
      <c r="S328" s="48" t="str">
        <f t="shared" si="48"/>
        <v xml:space="preserve"> </v>
      </c>
      <c r="T328" s="14" t="str">
        <f>IF(F328&gt;0,IFERROR(VLOOKUP($F328,[1]Sheet1!$C$3:$L$3445,10,0),"EOSS"),"")</f>
        <v/>
      </c>
    </row>
    <row r="329" spans="1:20" x14ac:dyDescent="0.3">
      <c r="A329" s="1"/>
      <c r="B329" s="2"/>
      <c r="C329" s="5" t="str">
        <f t="shared" si="44"/>
        <v xml:space="preserve"> </v>
      </c>
      <c r="D329" s="2"/>
      <c r="E329" s="3"/>
      <c r="F329" s="4"/>
      <c r="G329" s="5"/>
      <c r="H329" s="5"/>
      <c r="I329" s="5" t="str">
        <f t="shared" si="45"/>
        <v xml:space="preserve"> </v>
      </c>
      <c r="J329" s="33"/>
      <c r="K329" s="5" t="str">
        <f t="shared" si="46"/>
        <v xml:space="preserve"> </v>
      </c>
      <c r="L329" s="3" t="str">
        <f t="shared" si="47"/>
        <v xml:space="preserve"> </v>
      </c>
      <c r="M329" s="3" t="str">
        <f>IF(E329&gt;0,IFERROR(VLOOKUP($E329,'[2]Table 1'!$B$2:$I$147,8,0),"0.00")," ")</f>
        <v xml:space="preserve"> </v>
      </c>
      <c r="N329" s="6" t="str">
        <f t="shared" si="49"/>
        <v xml:space="preserve"> </v>
      </c>
      <c r="O329" s="7" t="str">
        <f>IF(IF(COUNTIF($B$5:B329,B329)&gt;1," ",SUMIF($B$5:$B$423,B329,$J$5:$J$423))=0," ",IF(COUNTIF($B$5:B329,B329)&gt;1," ",SUMIF($B$5:$B$423,B329,$J$5:$J$423)))</f>
        <v xml:space="preserve"> </v>
      </c>
      <c r="P329" s="8" t="str">
        <f>IF(IF(COUNTIF($B$5:B329,B329)&gt;1," ",SUMIF($B$5:$B$423,B329,$L$5:$L$423))=0," ",IF(COUNTIF($B$5:B329,B329)&gt;1," ",SUMIF($B$5:$B$423,B329,$L$5:$L$423)))</f>
        <v xml:space="preserve"> </v>
      </c>
      <c r="Q329" s="8" t="str">
        <f t="shared" si="43"/>
        <v xml:space="preserve"> </v>
      </c>
      <c r="R329" s="8" t="str">
        <f t="shared" si="50"/>
        <v xml:space="preserve"> </v>
      </c>
      <c r="S329" s="48" t="str">
        <f t="shared" si="48"/>
        <v xml:space="preserve"> </v>
      </c>
      <c r="T329" s="14" t="str">
        <f>IF(F329&gt;0,IFERROR(VLOOKUP($F329,[1]Sheet1!$C$3:$L$3445,10,0),"EOSS"),"")</f>
        <v/>
      </c>
    </row>
    <row r="330" spans="1:20" x14ac:dyDescent="0.3">
      <c r="A330" s="1"/>
      <c r="B330" s="2"/>
      <c r="C330" s="5" t="str">
        <f t="shared" si="44"/>
        <v xml:space="preserve"> </v>
      </c>
      <c r="D330" s="2"/>
      <c r="E330" s="3"/>
      <c r="F330" s="4"/>
      <c r="G330" s="5"/>
      <c r="H330" s="5"/>
      <c r="I330" s="5" t="str">
        <f t="shared" si="45"/>
        <v xml:space="preserve"> </v>
      </c>
      <c r="J330" s="33"/>
      <c r="K330" s="5" t="str">
        <f t="shared" si="46"/>
        <v xml:space="preserve"> </v>
      </c>
      <c r="L330" s="3" t="str">
        <f t="shared" si="47"/>
        <v xml:space="preserve"> </v>
      </c>
      <c r="M330" s="3" t="str">
        <f>IF(E330&gt;0,IFERROR(VLOOKUP($E330,'[2]Table 1'!$B$2:$I$147,8,0),"0.00")," ")</f>
        <v xml:space="preserve"> </v>
      </c>
      <c r="N330" s="6" t="str">
        <f t="shared" si="49"/>
        <v xml:space="preserve"> </v>
      </c>
      <c r="O330" s="7" t="str">
        <f>IF(IF(COUNTIF($B$5:B330,B330)&gt;1," ",SUMIF($B$5:$B$423,B330,$J$5:$J$423))=0," ",IF(COUNTIF($B$5:B330,B330)&gt;1," ",SUMIF($B$5:$B$423,B330,$J$5:$J$423)))</f>
        <v xml:space="preserve"> </v>
      </c>
      <c r="P330" s="8" t="str">
        <f>IF(IF(COUNTIF($B$5:B330,B330)&gt;1," ",SUMIF($B$5:$B$423,B330,$L$5:$L$423))=0," ",IF(COUNTIF($B$5:B330,B330)&gt;1," ",SUMIF($B$5:$B$423,B330,$L$5:$L$423)))</f>
        <v xml:space="preserve"> </v>
      </c>
      <c r="Q330" s="8" t="str">
        <f t="shared" si="43"/>
        <v xml:space="preserve"> </v>
      </c>
      <c r="R330" s="8" t="str">
        <f t="shared" si="50"/>
        <v xml:space="preserve"> </v>
      </c>
      <c r="S330" s="48" t="str">
        <f t="shared" si="48"/>
        <v xml:space="preserve"> </v>
      </c>
      <c r="T330" s="14" t="str">
        <f>IF(F330&gt;0,IFERROR(VLOOKUP($F330,[1]Sheet1!$C$3:$L$3445,10,0),"EOSS"),"")</f>
        <v/>
      </c>
    </row>
    <row r="331" spans="1:20" x14ac:dyDescent="0.3">
      <c r="A331" s="1"/>
      <c r="B331" s="2"/>
      <c r="C331" s="5" t="str">
        <f t="shared" si="44"/>
        <v xml:space="preserve"> </v>
      </c>
      <c r="D331" s="2"/>
      <c r="E331" s="3"/>
      <c r="F331" s="4"/>
      <c r="G331" s="5"/>
      <c r="H331" s="5"/>
      <c r="I331" s="5" t="str">
        <f t="shared" si="45"/>
        <v xml:space="preserve"> </v>
      </c>
      <c r="J331" s="33"/>
      <c r="K331" s="5" t="str">
        <f t="shared" si="46"/>
        <v xml:space="preserve"> </v>
      </c>
      <c r="L331" s="3" t="str">
        <f t="shared" si="47"/>
        <v xml:space="preserve"> </v>
      </c>
      <c r="M331" s="3" t="str">
        <f>IF(E331&gt;0,IFERROR(VLOOKUP($E331,'[2]Table 1'!$B$2:$I$147,8,0),"0.00")," ")</f>
        <v xml:space="preserve"> </v>
      </c>
      <c r="N331" s="6" t="str">
        <f t="shared" si="49"/>
        <v xml:space="preserve"> </v>
      </c>
      <c r="O331" s="7" t="str">
        <f>IF(IF(COUNTIF($B$5:B331,B331)&gt;1," ",SUMIF($B$5:$B$423,B331,$J$5:$J$423))=0," ",IF(COUNTIF($B$5:B331,B331)&gt;1," ",SUMIF($B$5:$B$423,B331,$J$5:$J$423)))</f>
        <v xml:space="preserve"> </v>
      </c>
      <c r="P331" s="8" t="str">
        <f>IF(IF(COUNTIF($B$5:B331,B331)&gt;1," ",SUMIF($B$5:$B$423,B331,$L$5:$L$423))=0," ",IF(COUNTIF($B$5:B331,B331)&gt;1," ",SUMIF($B$5:$B$423,B331,$L$5:$L$423)))</f>
        <v xml:space="preserve"> </v>
      </c>
      <c r="Q331" s="8" t="str">
        <f t="shared" si="43"/>
        <v xml:space="preserve"> </v>
      </c>
      <c r="R331" s="8" t="str">
        <f t="shared" si="50"/>
        <v xml:space="preserve"> </v>
      </c>
      <c r="S331" s="48" t="str">
        <f t="shared" si="48"/>
        <v xml:space="preserve"> </v>
      </c>
      <c r="T331" s="14" t="str">
        <f>IF(F331&gt;0,IFERROR(VLOOKUP($F331,[1]Sheet1!$C$3:$L$3445,10,0),"EOSS"),"")</f>
        <v/>
      </c>
    </row>
    <row r="332" spans="1:20" x14ac:dyDescent="0.3">
      <c r="A332" s="1"/>
      <c r="B332" s="2"/>
      <c r="C332" s="5" t="str">
        <f t="shared" si="44"/>
        <v xml:space="preserve"> </v>
      </c>
      <c r="D332" s="2"/>
      <c r="E332" s="3"/>
      <c r="F332" s="4"/>
      <c r="G332" s="5"/>
      <c r="H332" s="5"/>
      <c r="I332" s="5" t="str">
        <f t="shared" si="45"/>
        <v xml:space="preserve"> </v>
      </c>
      <c r="J332" s="33"/>
      <c r="K332" s="5" t="str">
        <f t="shared" si="46"/>
        <v xml:space="preserve"> </v>
      </c>
      <c r="L332" s="3" t="str">
        <f t="shared" si="47"/>
        <v xml:space="preserve"> </v>
      </c>
      <c r="M332" s="3" t="str">
        <f>IF(E332&gt;0,IFERROR(VLOOKUP($E332,'[2]Table 1'!$B$2:$I$147,8,0),"0.00")," ")</f>
        <v xml:space="preserve"> </v>
      </c>
      <c r="N332" s="6" t="str">
        <f t="shared" si="49"/>
        <v xml:space="preserve"> </v>
      </c>
      <c r="O332" s="7" t="str">
        <f>IF(IF(COUNTIF($B$5:B332,B332)&gt;1," ",SUMIF($B$5:$B$423,B332,$J$5:$J$423))=0," ",IF(COUNTIF($B$5:B332,B332)&gt;1," ",SUMIF($B$5:$B$423,B332,$J$5:$J$423)))</f>
        <v xml:space="preserve"> </v>
      </c>
      <c r="P332" s="8" t="str">
        <f>IF(IF(COUNTIF($B$5:B332,B332)&gt;1," ",SUMIF($B$5:$B$423,B332,$L$5:$L$423))=0," ",IF(COUNTIF($B$5:B332,B332)&gt;1," ",SUMIF($B$5:$B$423,B332,$L$5:$L$423)))</f>
        <v xml:space="preserve"> </v>
      </c>
      <c r="Q332" s="8" t="str">
        <f t="shared" si="43"/>
        <v xml:space="preserve"> </v>
      </c>
      <c r="R332" s="8" t="str">
        <f t="shared" si="50"/>
        <v xml:space="preserve"> </v>
      </c>
      <c r="S332" s="48" t="str">
        <f t="shared" si="48"/>
        <v xml:space="preserve"> </v>
      </c>
      <c r="T332" s="14" t="str">
        <f>IF(F332&gt;0,IFERROR(VLOOKUP($F332,[1]Sheet1!$C$3:$L$3445,10,0),"EOSS"),"")</f>
        <v/>
      </c>
    </row>
    <row r="333" spans="1:20" x14ac:dyDescent="0.3">
      <c r="A333" s="1"/>
      <c r="B333" s="2"/>
      <c r="C333" s="5" t="str">
        <f t="shared" si="44"/>
        <v xml:space="preserve"> </v>
      </c>
      <c r="D333" s="2"/>
      <c r="E333" s="3"/>
      <c r="F333" s="4"/>
      <c r="G333" s="5"/>
      <c r="H333" s="5"/>
      <c r="I333" s="5" t="str">
        <f t="shared" si="45"/>
        <v xml:space="preserve"> </v>
      </c>
      <c r="J333" s="33"/>
      <c r="K333" s="5" t="str">
        <f t="shared" si="46"/>
        <v xml:space="preserve"> </v>
      </c>
      <c r="L333" s="3" t="str">
        <f t="shared" si="47"/>
        <v xml:space="preserve"> </v>
      </c>
      <c r="M333" s="3" t="str">
        <f>IF(E333&gt;0,IFERROR(VLOOKUP($E333,'[2]Table 1'!$B$2:$I$147,8,0),"0.00")," ")</f>
        <v xml:space="preserve"> </v>
      </c>
      <c r="N333" s="6" t="str">
        <f t="shared" si="49"/>
        <v xml:space="preserve"> </v>
      </c>
      <c r="O333" s="7" t="str">
        <f>IF(IF(COUNTIF($B$5:B333,B333)&gt;1," ",SUMIF($B$5:$B$423,B333,$J$5:$J$423))=0," ",IF(COUNTIF($B$5:B333,B333)&gt;1," ",SUMIF($B$5:$B$423,B333,$J$5:$J$423)))</f>
        <v xml:space="preserve"> </v>
      </c>
      <c r="P333" s="8" t="str">
        <f>IF(IF(COUNTIF($B$5:B333,B333)&gt;1," ",SUMIF($B$5:$B$423,B333,$L$5:$L$423))=0," ",IF(COUNTIF($B$5:B333,B333)&gt;1," ",SUMIF($B$5:$B$423,B333,$L$5:$L$423)))</f>
        <v xml:space="preserve"> </v>
      </c>
      <c r="Q333" s="8" t="str">
        <f t="shared" si="43"/>
        <v xml:space="preserve"> </v>
      </c>
      <c r="R333" s="8" t="str">
        <f t="shared" si="50"/>
        <v xml:space="preserve"> </v>
      </c>
      <c r="S333" s="48" t="str">
        <f t="shared" si="48"/>
        <v xml:space="preserve"> </v>
      </c>
      <c r="T333" s="14" t="str">
        <f>IF(F333&gt;0,IFERROR(VLOOKUP($F333,[1]Sheet1!$C$3:$L$3445,10,0),"EOSS"),"")</f>
        <v/>
      </c>
    </row>
    <row r="334" spans="1:20" x14ac:dyDescent="0.3">
      <c r="A334" s="1"/>
      <c r="B334" s="2"/>
      <c r="C334" s="5" t="str">
        <f t="shared" si="44"/>
        <v xml:space="preserve"> </v>
      </c>
      <c r="D334" s="2"/>
      <c r="E334" s="3"/>
      <c r="F334" s="4"/>
      <c r="G334" s="5"/>
      <c r="H334" s="5"/>
      <c r="I334" s="5" t="str">
        <f t="shared" si="45"/>
        <v xml:space="preserve"> </v>
      </c>
      <c r="J334" s="33"/>
      <c r="K334" s="5" t="str">
        <f t="shared" si="46"/>
        <v xml:space="preserve"> </v>
      </c>
      <c r="L334" s="3" t="str">
        <f t="shared" si="47"/>
        <v xml:space="preserve"> </v>
      </c>
      <c r="M334" s="3" t="str">
        <f>IF(E334&gt;0,IFERROR(VLOOKUP($E334,'[2]Table 1'!$B$2:$I$147,8,0),"0.00")," ")</f>
        <v xml:space="preserve"> </v>
      </c>
      <c r="N334" s="6" t="str">
        <f t="shared" si="49"/>
        <v xml:space="preserve"> </v>
      </c>
      <c r="O334" s="7" t="str">
        <f>IF(IF(COUNTIF($B$5:B334,B334)&gt;1," ",SUMIF($B$5:$B$423,B334,$J$5:$J$423))=0," ",IF(COUNTIF($B$5:B334,B334)&gt;1," ",SUMIF($B$5:$B$423,B334,$J$5:$J$423)))</f>
        <v xml:space="preserve"> </v>
      </c>
      <c r="P334" s="8" t="str">
        <f>IF(IF(COUNTIF($B$5:B334,B334)&gt;1," ",SUMIF($B$5:$B$423,B334,$L$5:$L$423))=0," ",IF(COUNTIF($B$5:B334,B334)&gt;1," ",SUMIF($B$5:$B$423,B334,$L$5:$L$423)))</f>
        <v xml:space="preserve"> </v>
      </c>
      <c r="Q334" s="8" t="str">
        <f t="shared" si="43"/>
        <v xml:space="preserve"> </v>
      </c>
      <c r="R334" s="8" t="str">
        <f t="shared" si="50"/>
        <v xml:space="preserve"> </v>
      </c>
      <c r="S334" s="48" t="str">
        <f t="shared" si="48"/>
        <v xml:space="preserve"> </v>
      </c>
      <c r="T334" s="14" t="str">
        <f>IF(F334&gt;0,IFERROR(VLOOKUP($F334,[1]Sheet1!$C$3:$L$3445,10,0),"EOSS"),"")</f>
        <v/>
      </c>
    </row>
    <row r="335" spans="1:20" x14ac:dyDescent="0.3">
      <c r="A335" s="1"/>
      <c r="B335" s="2"/>
      <c r="C335" s="5" t="str">
        <f t="shared" si="44"/>
        <v xml:space="preserve"> </v>
      </c>
      <c r="D335" s="2"/>
      <c r="E335" s="3"/>
      <c r="F335" s="4"/>
      <c r="G335" s="5"/>
      <c r="H335" s="5"/>
      <c r="I335" s="5" t="str">
        <f t="shared" si="45"/>
        <v xml:space="preserve"> </v>
      </c>
      <c r="J335" s="33"/>
      <c r="K335" s="5" t="str">
        <f t="shared" si="46"/>
        <v xml:space="preserve"> </v>
      </c>
      <c r="L335" s="3" t="str">
        <f t="shared" si="47"/>
        <v xml:space="preserve"> </v>
      </c>
      <c r="M335" s="3" t="str">
        <f>IF(E335&gt;0,IFERROR(VLOOKUP($E335,'[2]Table 1'!$B$2:$I$147,8,0),"0.00")," ")</f>
        <v xml:space="preserve"> </v>
      </c>
      <c r="N335" s="6" t="str">
        <f t="shared" si="49"/>
        <v xml:space="preserve"> </v>
      </c>
      <c r="O335" s="7" t="str">
        <f>IF(IF(COUNTIF($B$5:B335,B335)&gt;1," ",SUMIF($B$5:$B$423,B335,$J$5:$J$423))=0," ",IF(COUNTIF($B$5:B335,B335)&gt;1," ",SUMIF($B$5:$B$423,B335,$J$5:$J$423)))</f>
        <v xml:space="preserve"> </v>
      </c>
      <c r="P335" s="8" t="str">
        <f>IF(IF(COUNTIF($B$5:B335,B335)&gt;1," ",SUMIF($B$5:$B$423,B335,$L$5:$L$423))=0," ",IF(COUNTIF($B$5:B335,B335)&gt;1," ",SUMIF($B$5:$B$423,B335,$L$5:$L$423)))</f>
        <v xml:space="preserve"> </v>
      </c>
      <c r="Q335" s="8" t="str">
        <f t="shared" si="43"/>
        <v xml:space="preserve"> </v>
      </c>
      <c r="R335" s="8" t="str">
        <f t="shared" si="50"/>
        <v xml:space="preserve"> </v>
      </c>
      <c r="S335" s="48" t="str">
        <f t="shared" si="48"/>
        <v xml:space="preserve"> </v>
      </c>
      <c r="T335" s="14" t="str">
        <f>IF(F335&gt;0,IFERROR(VLOOKUP($F335,[1]Sheet1!$C$3:$L$3445,10,0),"EOSS"),"")</f>
        <v/>
      </c>
    </row>
    <row r="336" spans="1:20" x14ac:dyDescent="0.3">
      <c r="A336" s="1"/>
      <c r="B336" s="2"/>
      <c r="C336" s="5" t="str">
        <f t="shared" si="44"/>
        <v xml:space="preserve"> </v>
      </c>
      <c r="D336" s="2"/>
      <c r="E336" s="3"/>
      <c r="F336" s="4"/>
      <c r="G336" s="5"/>
      <c r="H336" s="5"/>
      <c r="I336" s="5" t="str">
        <f t="shared" si="45"/>
        <v xml:space="preserve"> </v>
      </c>
      <c r="J336" s="33"/>
      <c r="K336" s="5" t="str">
        <f t="shared" si="46"/>
        <v xml:space="preserve"> </v>
      </c>
      <c r="L336" s="3" t="str">
        <f t="shared" si="47"/>
        <v xml:space="preserve"> </v>
      </c>
      <c r="M336" s="3" t="str">
        <f>IF(E336&gt;0,IFERROR(VLOOKUP($E336,'[2]Table 1'!$B$2:$I$147,8,0),"0.00")," ")</f>
        <v xml:space="preserve"> </v>
      </c>
      <c r="N336" s="6" t="str">
        <f t="shared" si="49"/>
        <v xml:space="preserve"> </v>
      </c>
      <c r="O336" s="7" t="str">
        <f>IF(IF(COUNTIF($B$5:B336,B336)&gt;1," ",SUMIF($B$5:$B$423,B336,$J$5:$J$423))=0," ",IF(COUNTIF($B$5:B336,B336)&gt;1," ",SUMIF($B$5:$B$423,B336,$J$5:$J$423)))</f>
        <v xml:space="preserve"> </v>
      </c>
      <c r="P336" s="8" t="str">
        <f>IF(IF(COUNTIF($B$5:B336,B336)&gt;1," ",SUMIF($B$5:$B$423,B336,$L$5:$L$423))=0," ",IF(COUNTIF($B$5:B336,B336)&gt;1," ",SUMIF($B$5:$B$423,B336,$L$5:$L$423)))</f>
        <v xml:space="preserve"> </v>
      </c>
      <c r="Q336" s="8" t="str">
        <f t="shared" si="43"/>
        <v xml:space="preserve"> </v>
      </c>
      <c r="R336" s="8" t="str">
        <f t="shared" si="50"/>
        <v xml:space="preserve"> </v>
      </c>
      <c r="S336" s="48" t="str">
        <f t="shared" si="48"/>
        <v xml:space="preserve"> </v>
      </c>
      <c r="T336" s="14" t="str">
        <f>IF(F336&gt;0,IFERROR(VLOOKUP($F336,[1]Sheet1!$C$3:$L$3445,10,0),"EOSS"),"")</f>
        <v/>
      </c>
    </row>
    <row r="337" spans="1:20" x14ac:dyDescent="0.3">
      <c r="A337" s="1"/>
      <c r="B337" s="2"/>
      <c r="C337" s="5" t="str">
        <f t="shared" si="44"/>
        <v xml:space="preserve"> </v>
      </c>
      <c r="D337" s="2"/>
      <c r="E337" s="3"/>
      <c r="F337" s="4"/>
      <c r="G337" s="5"/>
      <c r="H337" s="5"/>
      <c r="I337" s="5" t="str">
        <f t="shared" si="45"/>
        <v xml:space="preserve"> </v>
      </c>
      <c r="J337" s="33"/>
      <c r="K337" s="5" t="str">
        <f t="shared" si="46"/>
        <v xml:space="preserve"> </v>
      </c>
      <c r="L337" s="3" t="str">
        <f t="shared" si="47"/>
        <v xml:space="preserve"> </v>
      </c>
      <c r="M337" s="3" t="str">
        <f>IF(E337&gt;0,IFERROR(VLOOKUP($E337,'[2]Table 1'!$B$2:$I$147,8,0),"0.00")," ")</f>
        <v xml:space="preserve"> </v>
      </c>
      <c r="N337" s="6" t="str">
        <f t="shared" si="49"/>
        <v xml:space="preserve"> </v>
      </c>
      <c r="O337" s="7" t="str">
        <f>IF(IF(COUNTIF($B$5:B337,B337)&gt;1," ",SUMIF($B$5:$B$423,B337,$J$5:$J$423))=0," ",IF(COUNTIF($B$5:B337,B337)&gt;1," ",SUMIF($B$5:$B$423,B337,$J$5:$J$423)))</f>
        <v xml:space="preserve"> </v>
      </c>
      <c r="P337" s="8" t="str">
        <f>IF(IF(COUNTIF($B$5:B337,B337)&gt;1," ",SUMIF($B$5:$B$423,B337,$L$5:$L$423))=0," ",IF(COUNTIF($B$5:B337,B337)&gt;1," ",SUMIF($B$5:$B$423,B337,$L$5:$L$423)))</f>
        <v xml:space="preserve"> </v>
      </c>
      <c r="Q337" s="8" t="str">
        <f t="shared" si="43"/>
        <v xml:space="preserve"> </v>
      </c>
      <c r="R337" s="8" t="str">
        <f t="shared" si="50"/>
        <v xml:space="preserve"> </v>
      </c>
      <c r="S337" s="48" t="str">
        <f t="shared" si="48"/>
        <v xml:space="preserve"> </v>
      </c>
      <c r="T337" s="14" t="str">
        <f>IF(F337&gt;0,IFERROR(VLOOKUP($F337,[1]Sheet1!$C$3:$L$3445,10,0),"EOSS"),"")</f>
        <v/>
      </c>
    </row>
    <row r="338" spans="1:20" x14ac:dyDescent="0.3">
      <c r="A338" s="1"/>
      <c r="B338" s="2"/>
      <c r="C338" s="5" t="str">
        <f t="shared" si="44"/>
        <v xml:space="preserve"> </v>
      </c>
      <c r="D338" s="2"/>
      <c r="E338" s="3"/>
      <c r="F338" s="4"/>
      <c r="G338" s="5"/>
      <c r="H338" s="5"/>
      <c r="I338" s="5" t="str">
        <f t="shared" si="45"/>
        <v xml:space="preserve"> </v>
      </c>
      <c r="J338" s="33"/>
      <c r="K338" s="5" t="str">
        <f t="shared" si="46"/>
        <v xml:space="preserve"> </v>
      </c>
      <c r="L338" s="3" t="str">
        <f t="shared" si="47"/>
        <v xml:space="preserve"> </v>
      </c>
      <c r="M338" s="3" t="str">
        <f>IF(E338&gt;0,IFERROR(VLOOKUP($E338,'[2]Table 1'!$B$2:$I$147,8,0),"0.00")," ")</f>
        <v xml:space="preserve"> </v>
      </c>
      <c r="N338" s="6" t="str">
        <f t="shared" si="49"/>
        <v xml:space="preserve"> </v>
      </c>
      <c r="O338" s="7" t="str">
        <f>IF(IF(COUNTIF($B$5:B338,B338)&gt;1," ",SUMIF($B$5:$B$423,B338,$J$5:$J$423))=0," ",IF(COUNTIF($B$5:B338,B338)&gt;1," ",SUMIF($B$5:$B$423,B338,$J$5:$J$423)))</f>
        <v xml:space="preserve"> </v>
      </c>
      <c r="P338" s="8" t="str">
        <f>IF(IF(COUNTIF($B$5:B338,B338)&gt;1," ",SUMIF($B$5:$B$423,B338,$L$5:$L$423))=0," ",IF(COUNTIF($B$5:B338,B338)&gt;1," ",SUMIF($B$5:$B$423,B338,$L$5:$L$423)))</f>
        <v xml:space="preserve"> </v>
      </c>
      <c r="Q338" s="8" t="str">
        <f t="shared" si="43"/>
        <v xml:space="preserve"> </v>
      </c>
      <c r="R338" s="8" t="str">
        <f t="shared" si="50"/>
        <v xml:space="preserve"> </v>
      </c>
      <c r="S338" s="48" t="str">
        <f t="shared" si="48"/>
        <v xml:space="preserve"> </v>
      </c>
      <c r="T338" s="14" t="str">
        <f>IF(F338&gt;0,IFERROR(VLOOKUP($F338,[1]Sheet1!$C$3:$L$3445,10,0),"EOSS"),"")</f>
        <v/>
      </c>
    </row>
    <row r="339" spans="1:20" x14ac:dyDescent="0.3">
      <c r="A339" s="1"/>
      <c r="B339" s="2"/>
      <c r="C339" s="5" t="str">
        <f t="shared" si="44"/>
        <v xml:space="preserve"> </v>
      </c>
      <c r="D339" s="2"/>
      <c r="E339" s="3"/>
      <c r="F339" s="4"/>
      <c r="G339" s="5"/>
      <c r="H339" s="5"/>
      <c r="I339" s="5" t="str">
        <f t="shared" si="45"/>
        <v xml:space="preserve"> </v>
      </c>
      <c r="J339" s="33"/>
      <c r="K339" s="5" t="str">
        <f t="shared" si="46"/>
        <v xml:space="preserve"> </v>
      </c>
      <c r="L339" s="3" t="str">
        <f t="shared" si="47"/>
        <v xml:space="preserve"> </v>
      </c>
      <c r="M339" s="3" t="str">
        <f>IF(E339&gt;0,IFERROR(VLOOKUP($E339,'[2]Table 1'!$B$2:$I$147,8,0),"0.00")," ")</f>
        <v xml:space="preserve"> </v>
      </c>
      <c r="N339" s="6" t="str">
        <f t="shared" si="49"/>
        <v xml:space="preserve"> </v>
      </c>
      <c r="O339" s="7" t="str">
        <f>IF(IF(COUNTIF($B$5:B339,B339)&gt;1," ",SUMIF($B$5:$B$423,B339,$J$5:$J$423))=0," ",IF(COUNTIF($B$5:B339,B339)&gt;1," ",SUMIF($B$5:$B$423,B339,$J$5:$J$423)))</f>
        <v xml:space="preserve"> </v>
      </c>
      <c r="P339" s="8" t="str">
        <f>IF(IF(COUNTIF($B$5:B339,B339)&gt;1," ",SUMIF($B$5:$B$423,B339,$L$5:$L$423))=0," ",IF(COUNTIF($B$5:B339,B339)&gt;1," ",SUMIF($B$5:$B$423,B339,$L$5:$L$423)))</f>
        <v xml:space="preserve"> </v>
      </c>
      <c r="Q339" s="8" t="str">
        <f t="shared" si="43"/>
        <v xml:space="preserve"> </v>
      </c>
      <c r="R339" s="8" t="str">
        <f t="shared" si="50"/>
        <v xml:space="preserve"> </v>
      </c>
      <c r="S339" s="48" t="str">
        <f t="shared" si="48"/>
        <v xml:space="preserve"> </v>
      </c>
      <c r="T339" s="14" t="str">
        <f>IF(F339&gt;0,IFERROR(VLOOKUP($F339,[1]Sheet1!$C$3:$L$3445,10,0),"EOSS"),"")</f>
        <v/>
      </c>
    </row>
    <row r="340" spans="1:20" x14ac:dyDescent="0.3">
      <c r="A340" s="1"/>
      <c r="B340" s="2"/>
      <c r="C340" s="5" t="str">
        <f t="shared" si="44"/>
        <v xml:space="preserve"> </v>
      </c>
      <c r="D340" s="2"/>
      <c r="E340" s="3"/>
      <c r="F340" s="4"/>
      <c r="G340" s="5"/>
      <c r="H340" s="5"/>
      <c r="I340" s="5" t="str">
        <f t="shared" si="45"/>
        <v xml:space="preserve"> </v>
      </c>
      <c r="J340" s="33"/>
      <c r="K340" s="5" t="str">
        <f t="shared" si="46"/>
        <v xml:space="preserve"> </v>
      </c>
      <c r="L340" s="3" t="str">
        <f t="shared" si="47"/>
        <v xml:space="preserve"> </v>
      </c>
      <c r="M340" s="3" t="str">
        <f>IF(E340&gt;0,IFERROR(VLOOKUP($E340,'[2]Table 1'!$B$2:$I$147,8,0),"0.00")," ")</f>
        <v xml:space="preserve"> </v>
      </c>
      <c r="N340" s="6" t="str">
        <f t="shared" si="49"/>
        <v xml:space="preserve"> </v>
      </c>
      <c r="O340" s="7" t="str">
        <f>IF(IF(COUNTIF($B$5:B340,B340)&gt;1," ",SUMIF($B$5:$B$423,B340,$J$5:$J$423))=0," ",IF(COUNTIF($B$5:B340,B340)&gt;1," ",SUMIF($B$5:$B$423,B340,$J$5:$J$423)))</f>
        <v xml:space="preserve"> </v>
      </c>
      <c r="P340" s="8" t="str">
        <f>IF(IF(COUNTIF($B$5:B340,B340)&gt;1," ",SUMIF($B$5:$B$423,B340,$L$5:$L$423))=0," ",IF(COUNTIF($B$5:B340,B340)&gt;1," ",SUMIF($B$5:$B$423,B340,$L$5:$L$423)))</f>
        <v xml:space="preserve"> </v>
      </c>
      <c r="Q340" s="8" t="str">
        <f t="shared" si="43"/>
        <v xml:space="preserve"> </v>
      </c>
      <c r="R340" s="8" t="str">
        <f t="shared" si="50"/>
        <v xml:space="preserve"> </v>
      </c>
      <c r="S340" s="48" t="str">
        <f t="shared" si="48"/>
        <v xml:space="preserve"> </v>
      </c>
      <c r="T340" s="14" t="str">
        <f>IF(F340&gt;0,IFERROR(VLOOKUP($F340,[1]Sheet1!$C$3:$L$3445,10,0),"EOSS"),"")</f>
        <v/>
      </c>
    </row>
    <row r="341" spans="1:20" x14ac:dyDescent="0.3">
      <c r="A341" s="1"/>
      <c r="B341" s="2"/>
      <c r="C341" s="5" t="str">
        <f t="shared" si="44"/>
        <v xml:space="preserve"> </v>
      </c>
      <c r="D341" s="2"/>
      <c r="E341" s="3"/>
      <c r="F341" s="4"/>
      <c r="G341" s="5"/>
      <c r="H341" s="5"/>
      <c r="I341" s="5" t="str">
        <f t="shared" si="45"/>
        <v xml:space="preserve"> </v>
      </c>
      <c r="J341" s="33"/>
      <c r="K341" s="5" t="str">
        <f t="shared" si="46"/>
        <v xml:space="preserve"> </v>
      </c>
      <c r="L341" s="3" t="str">
        <f t="shared" si="47"/>
        <v xml:space="preserve"> </v>
      </c>
      <c r="M341" s="3" t="str">
        <f>IF(E341&gt;0,IFERROR(VLOOKUP($E341,'[2]Table 1'!$B$2:$I$147,8,0),"0.00")," ")</f>
        <v xml:space="preserve"> </v>
      </c>
      <c r="N341" s="6" t="str">
        <f t="shared" si="49"/>
        <v xml:space="preserve"> </v>
      </c>
      <c r="O341" s="7" t="str">
        <f>IF(IF(COUNTIF($B$5:B341,B341)&gt;1," ",SUMIF($B$5:$B$423,B341,$J$5:$J$423))=0," ",IF(COUNTIF($B$5:B341,B341)&gt;1," ",SUMIF($B$5:$B$423,B341,$J$5:$J$423)))</f>
        <v xml:space="preserve"> </v>
      </c>
      <c r="P341" s="8" t="str">
        <f>IF(IF(COUNTIF($B$5:B341,B341)&gt;1," ",SUMIF($B$5:$B$423,B341,$L$5:$L$423))=0," ",IF(COUNTIF($B$5:B341,B341)&gt;1," ",SUMIF($B$5:$B$423,B341,$L$5:$L$423)))</f>
        <v xml:space="preserve"> </v>
      </c>
      <c r="Q341" s="8" t="str">
        <f t="shared" si="43"/>
        <v xml:space="preserve"> </v>
      </c>
      <c r="R341" s="8" t="str">
        <f t="shared" si="50"/>
        <v xml:space="preserve"> </v>
      </c>
      <c r="S341" s="48" t="str">
        <f t="shared" si="48"/>
        <v xml:space="preserve"> </v>
      </c>
      <c r="T341" s="14" t="str">
        <f>IF(F341&gt;0,IFERROR(VLOOKUP($F341,[1]Sheet1!$C$3:$L$3445,10,0),"EOSS"),"")</f>
        <v/>
      </c>
    </row>
    <row r="342" spans="1:20" x14ac:dyDescent="0.3">
      <c r="A342" s="1"/>
      <c r="B342" s="2"/>
      <c r="C342" s="5" t="str">
        <f t="shared" si="44"/>
        <v xml:space="preserve"> </v>
      </c>
      <c r="D342" s="2"/>
      <c r="E342" s="3"/>
      <c r="F342" s="4"/>
      <c r="G342" s="5"/>
      <c r="H342" s="5"/>
      <c r="I342" s="5" t="str">
        <f t="shared" si="45"/>
        <v xml:space="preserve"> </v>
      </c>
      <c r="J342" s="33"/>
      <c r="K342" s="5" t="str">
        <f t="shared" si="46"/>
        <v xml:space="preserve"> </v>
      </c>
      <c r="L342" s="3" t="str">
        <f t="shared" si="47"/>
        <v xml:space="preserve"> </v>
      </c>
      <c r="M342" s="3" t="str">
        <f>IF(E342&gt;0,IFERROR(VLOOKUP($E342,'[2]Table 1'!$B$2:$I$147,8,0),"0.00")," ")</f>
        <v xml:space="preserve"> </v>
      </c>
      <c r="N342" s="6" t="str">
        <f t="shared" si="49"/>
        <v xml:space="preserve"> </v>
      </c>
      <c r="O342" s="7" t="str">
        <f>IF(IF(COUNTIF($B$5:B342,B342)&gt;1," ",SUMIF($B$5:$B$423,B342,$J$5:$J$423))=0," ",IF(COUNTIF($B$5:B342,B342)&gt;1," ",SUMIF($B$5:$B$423,B342,$J$5:$J$423)))</f>
        <v xml:space="preserve"> </v>
      </c>
      <c r="P342" s="8" t="str">
        <f>IF(IF(COUNTIF($B$5:B342,B342)&gt;1," ",SUMIF($B$5:$B$423,B342,$L$5:$L$423))=0," ",IF(COUNTIF($B$5:B342,B342)&gt;1," ",SUMIF($B$5:$B$423,B342,$L$5:$L$423)))</f>
        <v xml:space="preserve"> </v>
      </c>
      <c r="Q342" s="8" t="str">
        <f t="shared" ref="Q342:Q403" si="51">IFERROR(IF(O342="","",  IF(O342&gt;=2,P342*50%,         IF(O342=1,P342*40%,"")        ))," ")</f>
        <v xml:space="preserve"> </v>
      </c>
      <c r="R342" s="8" t="str">
        <f t="shared" si="50"/>
        <v xml:space="preserve"> </v>
      </c>
      <c r="S342" s="48" t="str">
        <f t="shared" si="48"/>
        <v xml:space="preserve"> </v>
      </c>
      <c r="T342" s="14" t="str">
        <f>IF(F342&gt;0,IFERROR(VLOOKUP($F342,[1]Sheet1!$C$3:$L$3445,10,0),"EOSS"),"")</f>
        <v/>
      </c>
    </row>
    <row r="343" spans="1:20" x14ac:dyDescent="0.3">
      <c r="A343" s="1"/>
      <c r="B343" s="2"/>
      <c r="C343" s="5" t="str">
        <f t="shared" si="44"/>
        <v xml:space="preserve"> </v>
      </c>
      <c r="D343" s="2"/>
      <c r="E343" s="3"/>
      <c r="F343" s="4"/>
      <c r="G343" s="5"/>
      <c r="H343" s="5"/>
      <c r="I343" s="5" t="str">
        <f t="shared" si="45"/>
        <v xml:space="preserve"> </v>
      </c>
      <c r="J343" s="33"/>
      <c r="K343" s="5" t="str">
        <f t="shared" si="46"/>
        <v xml:space="preserve"> </v>
      </c>
      <c r="L343" s="3" t="str">
        <f t="shared" si="47"/>
        <v xml:space="preserve"> </v>
      </c>
      <c r="M343" s="3" t="str">
        <f>IF(E343&gt;0,IFERROR(VLOOKUP($E343,'[2]Table 1'!$B$2:$I$147,8,0),"0.00")," ")</f>
        <v xml:space="preserve"> </v>
      </c>
      <c r="N343" s="6" t="str">
        <f t="shared" si="49"/>
        <v xml:space="preserve"> </v>
      </c>
      <c r="O343" s="7" t="str">
        <f>IF(IF(COUNTIF($B$5:B343,B343)&gt;1," ",SUMIF($B$5:$B$423,B343,$J$5:$J$423))=0," ",IF(COUNTIF($B$5:B343,B343)&gt;1," ",SUMIF($B$5:$B$423,B343,$J$5:$J$423)))</f>
        <v xml:space="preserve"> </v>
      </c>
      <c r="P343" s="8" t="str">
        <f>IF(IF(COUNTIF($B$5:B343,B343)&gt;1," ",SUMIF($B$5:$B$423,B343,$L$5:$L$423))=0," ",IF(COUNTIF($B$5:B343,B343)&gt;1," ",SUMIF($B$5:$B$423,B343,$L$5:$L$423)))</f>
        <v xml:space="preserve"> </v>
      </c>
      <c r="Q343" s="8" t="str">
        <f t="shared" si="51"/>
        <v xml:space="preserve"> </v>
      </c>
      <c r="R343" s="8" t="str">
        <f t="shared" si="50"/>
        <v xml:space="preserve"> </v>
      </c>
      <c r="S343" s="48" t="str">
        <f t="shared" si="48"/>
        <v xml:space="preserve"> </v>
      </c>
      <c r="T343" s="14" t="str">
        <f>IF(F343&gt;0,IFERROR(VLOOKUP($F343,[1]Sheet1!$C$3:$L$3445,10,0),"EOSS"),"")</f>
        <v/>
      </c>
    </row>
    <row r="344" spans="1:20" x14ac:dyDescent="0.3">
      <c r="A344" s="1"/>
      <c r="B344" s="2"/>
      <c r="C344" s="5" t="str">
        <f t="shared" si="44"/>
        <v xml:space="preserve"> </v>
      </c>
      <c r="D344" s="2"/>
      <c r="E344" s="3"/>
      <c r="F344" s="4"/>
      <c r="G344" s="5"/>
      <c r="H344" s="5"/>
      <c r="I344" s="5" t="str">
        <f t="shared" si="45"/>
        <v xml:space="preserve"> </v>
      </c>
      <c r="J344" s="33"/>
      <c r="K344" s="5" t="str">
        <f t="shared" si="46"/>
        <v xml:space="preserve"> </v>
      </c>
      <c r="L344" s="3" t="str">
        <f t="shared" si="47"/>
        <v xml:space="preserve"> </v>
      </c>
      <c r="M344" s="3" t="str">
        <f>IF(E344&gt;0,IFERROR(VLOOKUP($E344,'[2]Table 1'!$B$2:$I$147,8,0),"0.00")," ")</f>
        <v xml:space="preserve"> </v>
      </c>
      <c r="N344" s="6" t="str">
        <f t="shared" si="49"/>
        <v xml:space="preserve"> </v>
      </c>
      <c r="O344" s="7" t="str">
        <f>IF(IF(COUNTIF($B$5:B344,B344)&gt;1," ",SUMIF($B$5:$B$423,B344,$J$5:$J$423))=0," ",IF(COUNTIF($B$5:B344,B344)&gt;1," ",SUMIF($B$5:$B$423,B344,$J$5:$J$423)))</f>
        <v xml:space="preserve"> </v>
      </c>
      <c r="P344" s="8" t="str">
        <f>IF(IF(COUNTIF($B$5:B344,B344)&gt;1," ",SUMIF($B$5:$B$423,B344,$L$5:$L$423))=0," ",IF(COUNTIF($B$5:B344,B344)&gt;1," ",SUMIF($B$5:$B$423,B344,$L$5:$L$423)))</f>
        <v xml:space="preserve"> </v>
      </c>
      <c r="Q344" s="8" t="str">
        <f t="shared" si="51"/>
        <v xml:space="preserve"> </v>
      </c>
      <c r="R344" s="8" t="str">
        <f t="shared" si="50"/>
        <v xml:space="preserve"> </v>
      </c>
      <c r="S344" s="48" t="str">
        <f t="shared" si="48"/>
        <v xml:space="preserve"> </v>
      </c>
      <c r="T344" s="14" t="str">
        <f>IF(F344&gt;0,IFERROR(VLOOKUP($F344,[1]Sheet1!$C$3:$L$3445,10,0),"EOSS"),"")</f>
        <v/>
      </c>
    </row>
    <row r="345" spans="1:20" x14ac:dyDescent="0.3">
      <c r="A345" s="1"/>
      <c r="B345" s="2"/>
      <c r="C345" s="5" t="str">
        <f t="shared" si="44"/>
        <v xml:space="preserve"> </v>
      </c>
      <c r="D345" s="2"/>
      <c r="E345" s="3"/>
      <c r="F345" s="4"/>
      <c r="G345" s="5"/>
      <c r="H345" s="5"/>
      <c r="I345" s="5" t="str">
        <f t="shared" si="45"/>
        <v xml:space="preserve"> </v>
      </c>
      <c r="J345" s="33"/>
      <c r="K345" s="5" t="str">
        <f t="shared" si="46"/>
        <v xml:space="preserve"> </v>
      </c>
      <c r="L345" s="3" t="str">
        <f t="shared" si="47"/>
        <v xml:space="preserve"> </v>
      </c>
      <c r="M345" s="3" t="str">
        <f>IF(E345&gt;0,IFERROR(VLOOKUP($E345,'[2]Table 1'!$B$2:$I$147,8,0),"0.00")," ")</f>
        <v xml:space="preserve"> </v>
      </c>
      <c r="N345" s="6" t="str">
        <f t="shared" si="49"/>
        <v xml:space="preserve"> </v>
      </c>
      <c r="O345" s="7" t="str">
        <f>IF(IF(COUNTIF($B$5:B345,B345)&gt;1," ",SUMIF($B$5:$B$423,B345,$J$5:$J$423))=0," ",IF(COUNTIF($B$5:B345,B345)&gt;1," ",SUMIF($B$5:$B$423,B345,$J$5:$J$423)))</f>
        <v xml:space="preserve"> </v>
      </c>
      <c r="P345" s="8" t="str">
        <f>IF(IF(COUNTIF($B$5:B345,B345)&gt;1," ",SUMIF($B$5:$B$423,B345,$L$5:$L$423))=0," ",IF(COUNTIF($B$5:B345,B345)&gt;1," ",SUMIF($B$5:$B$423,B345,$L$5:$L$423)))</f>
        <v xml:space="preserve"> </v>
      </c>
      <c r="Q345" s="8" t="str">
        <f t="shared" si="51"/>
        <v xml:space="preserve"> </v>
      </c>
      <c r="R345" s="8" t="str">
        <f t="shared" si="50"/>
        <v xml:space="preserve"> </v>
      </c>
      <c r="S345" s="48" t="str">
        <f t="shared" si="48"/>
        <v xml:space="preserve"> </v>
      </c>
      <c r="T345" s="14" t="str">
        <f>IF(F345&gt;0,IFERROR(VLOOKUP($F345,[1]Sheet1!$C$3:$L$3445,10,0),"EOSS"),"")</f>
        <v/>
      </c>
    </row>
    <row r="346" spans="1:20" x14ac:dyDescent="0.3">
      <c r="A346" s="1"/>
      <c r="B346" s="2"/>
      <c r="C346" s="5" t="str">
        <f t="shared" si="44"/>
        <v xml:space="preserve"> </v>
      </c>
      <c r="D346" s="2"/>
      <c r="E346" s="3"/>
      <c r="F346" s="4"/>
      <c r="G346" s="5"/>
      <c r="H346" s="5"/>
      <c r="I346" s="5" t="str">
        <f t="shared" si="45"/>
        <v xml:space="preserve"> </v>
      </c>
      <c r="J346" s="33"/>
      <c r="K346" s="5" t="str">
        <f t="shared" si="46"/>
        <v xml:space="preserve"> </v>
      </c>
      <c r="L346" s="3" t="str">
        <f t="shared" si="47"/>
        <v xml:space="preserve"> </v>
      </c>
      <c r="M346" s="3" t="str">
        <f>IF(E346&gt;0,IFERROR(VLOOKUP($E346,'[2]Table 1'!$B$2:$I$147,8,0),"0.00")," ")</f>
        <v xml:space="preserve"> </v>
      </c>
      <c r="N346" s="6" t="str">
        <f t="shared" si="49"/>
        <v xml:space="preserve"> </v>
      </c>
      <c r="O346" s="7" t="str">
        <f>IF(IF(COUNTIF($B$5:B346,B346)&gt;1," ",SUMIF($B$5:$B$423,B346,$J$5:$J$423))=0," ",IF(COUNTIF($B$5:B346,B346)&gt;1," ",SUMIF($B$5:$B$423,B346,$J$5:$J$423)))</f>
        <v xml:space="preserve"> </v>
      </c>
      <c r="P346" s="8" t="str">
        <f>IF(IF(COUNTIF($B$5:B346,B346)&gt;1," ",SUMIF($B$5:$B$423,B346,$L$5:$L$423))=0," ",IF(COUNTIF($B$5:B346,B346)&gt;1," ",SUMIF($B$5:$B$423,B346,$L$5:$L$423)))</f>
        <v xml:space="preserve"> </v>
      </c>
      <c r="Q346" s="8" t="str">
        <f t="shared" si="51"/>
        <v xml:space="preserve"> </v>
      </c>
      <c r="R346" s="8" t="str">
        <f t="shared" si="50"/>
        <v xml:space="preserve"> </v>
      </c>
      <c r="S346" s="48" t="str">
        <f t="shared" si="48"/>
        <v xml:space="preserve"> </v>
      </c>
      <c r="T346" s="14" t="str">
        <f>IF(F346&gt;0,IFERROR(VLOOKUP($F346,[1]Sheet1!$C$3:$L$3445,10,0),"EOSS"),"")</f>
        <v/>
      </c>
    </row>
    <row r="347" spans="1:20" x14ac:dyDescent="0.3">
      <c r="A347" s="1"/>
      <c r="B347" s="2"/>
      <c r="C347" s="5" t="str">
        <f t="shared" si="44"/>
        <v xml:space="preserve"> </v>
      </c>
      <c r="D347" s="2"/>
      <c r="E347" s="3"/>
      <c r="F347" s="4"/>
      <c r="G347" s="5"/>
      <c r="H347" s="5"/>
      <c r="I347" s="5" t="str">
        <f t="shared" si="45"/>
        <v xml:space="preserve"> </v>
      </c>
      <c r="J347" s="33"/>
      <c r="K347" s="5" t="str">
        <f t="shared" si="46"/>
        <v xml:space="preserve"> </v>
      </c>
      <c r="L347" s="3" t="str">
        <f t="shared" si="47"/>
        <v xml:space="preserve"> </v>
      </c>
      <c r="M347" s="3" t="str">
        <f>IF(E347&gt;0,IFERROR(VLOOKUP($E347,'[2]Table 1'!$B$2:$I$147,8,0),"0.00")," ")</f>
        <v xml:space="preserve"> </v>
      </c>
      <c r="N347" s="6" t="str">
        <f t="shared" si="49"/>
        <v xml:space="preserve"> </v>
      </c>
      <c r="O347" s="7" t="str">
        <f>IF(IF(COUNTIF($B$5:B347,B347)&gt;1," ",SUMIF($B$5:$B$423,B347,$J$5:$J$423))=0," ",IF(COUNTIF($B$5:B347,B347)&gt;1," ",SUMIF($B$5:$B$423,B347,$J$5:$J$423)))</f>
        <v xml:space="preserve"> </v>
      </c>
      <c r="P347" s="8" t="str">
        <f>IF(IF(COUNTIF($B$5:B347,B347)&gt;1," ",SUMIF($B$5:$B$423,B347,$L$5:$L$423))=0," ",IF(COUNTIF($B$5:B347,B347)&gt;1," ",SUMIF($B$5:$B$423,B347,$L$5:$L$423)))</f>
        <v xml:space="preserve"> </v>
      </c>
      <c r="Q347" s="8" t="str">
        <f t="shared" si="51"/>
        <v xml:space="preserve"> </v>
      </c>
      <c r="R347" s="8" t="str">
        <f t="shared" si="50"/>
        <v xml:space="preserve"> </v>
      </c>
      <c r="S347" s="48" t="str">
        <f t="shared" si="48"/>
        <v xml:space="preserve"> </v>
      </c>
      <c r="T347" s="14" t="str">
        <f>IF(F347&gt;0,IFERROR(VLOOKUP($F347,[1]Sheet1!$C$3:$L$3445,10,0),"EOSS"),"")</f>
        <v/>
      </c>
    </row>
    <row r="348" spans="1:20" x14ac:dyDescent="0.3">
      <c r="A348" s="1"/>
      <c r="B348" s="2"/>
      <c r="C348" s="5" t="str">
        <f t="shared" si="44"/>
        <v xml:space="preserve"> </v>
      </c>
      <c r="D348" s="2"/>
      <c r="E348" s="3"/>
      <c r="F348" s="4"/>
      <c r="G348" s="5"/>
      <c r="H348" s="5"/>
      <c r="I348" s="5" t="str">
        <f t="shared" si="45"/>
        <v xml:space="preserve"> </v>
      </c>
      <c r="J348" s="33"/>
      <c r="K348" s="5" t="str">
        <f t="shared" si="46"/>
        <v xml:space="preserve"> </v>
      </c>
      <c r="L348" s="3" t="str">
        <f t="shared" si="47"/>
        <v xml:space="preserve"> </v>
      </c>
      <c r="M348" s="3" t="str">
        <f>IF(E348&gt;0,IFERROR(VLOOKUP($E348,'[2]Table 1'!$B$2:$I$147,8,0),"0.00")," ")</f>
        <v xml:space="preserve"> </v>
      </c>
      <c r="N348" s="6" t="str">
        <f t="shared" si="49"/>
        <v xml:space="preserve"> </v>
      </c>
      <c r="O348" s="7" t="str">
        <f>IF(IF(COUNTIF($B$5:B348,B348)&gt;1," ",SUMIF($B$5:$B$423,B348,$J$5:$J$423))=0," ",IF(COUNTIF($B$5:B348,B348)&gt;1," ",SUMIF($B$5:$B$423,B348,$J$5:$J$423)))</f>
        <v xml:space="preserve"> </v>
      </c>
      <c r="P348" s="8" t="str">
        <f>IF(IF(COUNTIF($B$5:B348,B348)&gt;1," ",SUMIF($B$5:$B$423,B348,$L$5:$L$423))=0," ",IF(COUNTIF($B$5:B348,B348)&gt;1," ",SUMIF($B$5:$B$423,B348,$L$5:$L$423)))</f>
        <v xml:space="preserve"> </v>
      </c>
      <c r="Q348" s="8" t="str">
        <f t="shared" si="51"/>
        <v xml:space="preserve"> </v>
      </c>
      <c r="R348" s="8" t="str">
        <f t="shared" si="50"/>
        <v xml:space="preserve"> </v>
      </c>
      <c r="S348" s="48" t="str">
        <f t="shared" si="48"/>
        <v xml:space="preserve"> </v>
      </c>
      <c r="T348" s="14" t="str">
        <f>IF(F348&gt;0,IFERROR(VLOOKUP($F348,[1]Sheet1!$C$3:$L$3445,10,0),"EOSS"),"")</f>
        <v/>
      </c>
    </row>
    <row r="349" spans="1:20" x14ac:dyDescent="0.3">
      <c r="A349" s="1"/>
      <c r="B349" s="2"/>
      <c r="C349" s="5" t="str">
        <f t="shared" si="44"/>
        <v xml:space="preserve"> </v>
      </c>
      <c r="D349" s="2"/>
      <c r="E349" s="3"/>
      <c r="F349" s="4"/>
      <c r="G349" s="5"/>
      <c r="H349" s="5"/>
      <c r="I349" s="5" t="str">
        <f t="shared" si="45"/>
        <v xml:space="preserve"> </v>
      </c>
      <c r="J349" s="33"/>
      <c r="K349" s="5" t="str">
        <f t="shared" si="46"/>
        <v xml:space="preserve"> </v>
      </c>
      <c r="L349" s="3" t="str">
        <f t="shared" si="47"/>
        <v xml:space="preserve"> </v>
      </c>
      <c r="M349" s="3" t="str">
        <f>IF(E349&gt;0,IFERROR(VLOOKUP($E349,'[2]Table 1'!$B$2:$I$147,8,0),"0.00")," ")</f>
        <v xml:space="preserve"> </v>
      </c>
      <c r="N349" s="6" t="str">
        <f t="shared" si="49"/>
        <v xml:space="preserve"> </v>
      </c>
      <c r="O349" s="7" t="str">
        <f>IF(IF(COUNTIF($B$5:B349,B349)&gt;1," ",SUMIF($B$5:$B$423,B349,$J$5:$J$423))=0," ",IF(COUNTIF($B$5:B349,B349)&gt;1," ",SUMIF($B$5:$B$423,B349,$J$5:$J$423)))</f>
        <v xml:space="preserve"> </v>
      </c>
      <c r="P349" s="8" t="str">
        <f>IF(IF(COUNTIF($B$5:B349,B349)&gt;1," ",SUMIF($B$5:$B$423,B349,$L$5:$L$423))=0," ",IF(COUNTIF($B$5:B349,B349)&gt;1," ",SUMIF($B$5:$B$423,B349,$L$5:$L$423)))</f>
        <v xml:space="preserve"> </v>
      </c>
      <c r="Q349" s="8" t="str">
        <f t="shared" si="51"/>
        <v xml:space="preserve"> </v>
      </c>
      <c r="R349" s="8" t="str">
        <f t="shared" si="50"/>
        <v xml:space="preserve"> </v>
      </c>
      <c r="S349" s="48" t="str">
        <f t="shared" si="48"/>
        <v xml:space="preserve"> </v>
      </c>
      <c r="T349" s="14" t="str">
        <f>IF(F349&gt;0,IFERROR(VLOOKUP($F349,[1]Sheet1!$C$3:$L$3445,10,0),"EOSS"),"")</f>
        <v/>
      </c>
    </row>
    <row r="350" spans="1:20" x14ac:dyDescent="0.3">
      <c r="A350" s="1"/>
      <c r="B350" s="2"/>
      <c r="C350" s="5" t="str">
        <f t="shared" si="44"/>
        <v xml:space="preserve"> </v>
      </c>
      <c r="D350" s="2"/>
      <c r="E350" s="3"/>
      <c r="F350" s="4"/>
      <c r="G350" s="5"/>
      <c r="H350" s="5"/>
      <c r="I350" s="5" t="str">
        <f t="shared" si="45"/>
        <v xml:space="preserve"> </v>
      </c>
      <c r="J350" s="33"/>
      <c r="K350" s="5" t="str">
        <f t="shared" si="46"/>
        <v xml:space="preserve"> </v>
      </c>
      <c r="L350" s="3" t="str">
        <f t="shared" si="47"/>
        <v xml:space="preserve"> </v>
      </c>
      <c r="M350" s="3" t="str">
        <f>IF(E350&gt;0,IFERROR(VLOOKUP($E350,'[2]Table 1'!$B$2:$I$147,8,0),"0.00")," ")</f>
        <v xml:space="preserve"> </v>
      </c>
      <c r="N350" s="6" t="str">
        <f t="shared" si="49"/>
        <v xml:space="preserve"> </v>
      </c>
      <c r="O350" s="7" t="str">
        <f>IF(IF(COUNTIF($B$5:B350,B350)&gt;1," ",SUMIF($B$5:$B$423,B350,$J$5:$J$423))=0," ",IF(COUNTIF($B$5:B350,B350)&gt;1," ",SUMIF($B$5:$B$423,B350,$J$5:$J$423)))</f>
        <v xml:space="preserve"> </v>
      </c>
      <c r="P350" s="8" t="str">
        <f>IF(IF(COUNTIF($B$5:B350,B350)&gt;1," ",SUMIF($B$5:$B$423,B350,$L$5:$L$423))=0," ",IF(COUNTIF($B$5:B350,B350)&gt;1," ",SUMIF($B$5:$B$423,B350,$L$5:$L$423)))</f>
        <v xml:space="preserve"> </v>
      </c>
      <c r="Q350" s="8" t="str">
        <f t="shared" si="51"/>
        <v xml:space="preserve"> </v>
      </c>
      <c r="R350" s="8" t="str">
        <f t="shared" si="50"/>
        <v xml:space="preserve"> </v>
      </c>
      <c r="S350" s="48" t="str">
        <f t="shared" si="48"/>
        <v xml:space="preserve"> </v>
      </c>
      <c r="T350" s="14" t="str">
        <f>IF(F350&gt;0,IFERROR(VLOOKUP($F350,[1]Sheet1!$C$3:$L$3445,10,0),"EOSS"),"")</f>
        <v/>
      </c>
    </row>
    <row r="351" spans="1:20" x14ac:dyDescent="0.3">
      <c r="A351" s="1"/>
      <c r="B351" s="2"/>
      <c r="C351" s="5" t="str">
        <f t="shared" si="44"/>
        <v xml:space="preserve"> </v>
      </c>
      <c r="D351" s="2"/>
      <c r="E351" s="3"/>
      <c r="F351" s="4"/>
      <c r="G351" s="5"/>
      <c r="H351" s="5"/>
      <c r="I351" s="5" t="str">
        <f t="shared" si="45"/>
        <v xml:space="preserve"> </v>
      </c>
      <c r="J351" s="33"/>
      <c r="K351" s="5" t="str">
        <f t="shared" si="46"/>
        <v xml:space="preserve"> </v>
      </c>
      <c r="L351" s="3" t="str">
        <f t="shared" si="47"/>
        <v xml:space="preserve"> </v>
      </c>
      <c r="M351" s="3" t="str">
        <f>IF(E351&gt;0,IFERROR(VLOOKUP($E351,'[2]Table 1'!$B$2:$I$147,8,0),"0.00")," ")</f>
        <v xml:space="preserve"> </v>
      </c>
      <c r="N351" s="6" t="str">
        <f t="shared" si="49"/>
        <v xml:space="preserve"> </v>
      </c>
      <c r="O351" s="7" t="str">
        <f>IF(IF(COUNTIF($B$5:B351,B351)&gt;1," ",SUMIF($B$5:$B$423,B351,$J$5:$J$423))=0," ",IF(COUNTIF($B$5:B351,B351)&gt;1," ",SUMIF($B$5:$B$423,B351,$J$5:$J$423)))</f>
        <v xml:space="preserve"> </v>
      </c>
      <c r="P351" s="8" t="str">
        <f>IF(IF(COUNTIF($B$5:B351,B351)&gt;1," ",SUMIF($B$5:$B$423,B351,$L$5:$L$423))=0," ",IF(COUNTIF($B$5:B351,B351)&gt;1," ",SUMIF($B$5:$B$423,B351,$L$5:$L$423)))</f>
        <v xml:space="preserve"> </v>
      </c>
      <c r="Q351" s="8" t="str">
        <f t="shared" si="51"/>
        <v xml:space="preserve"> </v>
      </c>
      <c r="R351" s="8" t="str">
        <f t="shared" si="50"/>
        <v xml:space="preserve"> </v>
      </c>
      <c r="S351" s="48" t="str">
        <f t="shared" si="48"/>
        <v xml:space="preserve"> </v>
      </c>
      <c r="T351" s="14" t="str">
        <f>IF(F351&gt;0,IFERROR(VLOOKUP($F351,[1]Sheet1!$C$3:$L$3445,10,0),"EOSS"),"")</f>
        <v/>
      </c>
    </row>
    <row r="352" spans="1:20" x14ac:dyDescent="0.3">
      <c r="A352" s="1"/>
      <c r="B352" s="2"/>
      <c r="C352" s="5" t="str">
        <f t="shared" si="44"/>
        <v xml:space="preserve"> </v>
      </c>
      <c r="D352" s="2"/>
      <c r="E352" s="3"/>
      <c r="F352" s="4"/>
      <c r="G352" s="5"/>
      <c r="H352" s="5"/>
      <c r="I352" s="5" t="str">
        <f t="shared" si="45"/>
        <v xml:space="preserve"> </v>
      </c>
      <c r="J352" s="33"/>
      <c r="K352" s="5" t="str">
        <f t="shared" si="46"/>
        <v xml:space="preserve"> </v>
      </c>
      <c r="L352" s="3" t="str">
        <f t="shared" si="47"/>
        <v xml:space="preserve"> </v>
      </c>
      <c r="M352" s="3" t="str">
        <f>IF(E352&gt;0,IFERROR(VLOOKUP($E352,'[2]Table 1'!$B$2:$I$147,8,0),"0.00")," ")</f>
        <v xml:space="preserve"> </v>
      </c>
      <c r="N352" s="6" t="str">
        <f t="shared" si="49"/>
        <v xml:space="preserve"> </v>
      </c>
      <c r="O352" s="7" t="str">
        <f>IF(IF(COUNTIF($B$5:B352,B352)&gt;1," ",SUMIF($B$5:$B$423,B352,$J$5:$J$423))=0," ",IF(COUNTIF($B$5:B352,B352)&gt;1," ",SUMIF($B$5:$B$423,B352,$J$5:$J$423)))</f>
        <v xml:space="preserve"> </v>
      </c>
      <c r="P352" s="8" t="str">
        <f>IF(IF(COUNTIF($B$5:B352,B352)&gt;1," ",SUMIF($B$5:$B$423,B352,$L$5:$L$423))=0," ",IF(COUNTIF($B$5:B352,B352)&gt;1," ",SUMIF($B$5:$B$423,B352,$L$5:$L$423)))</f>
        <v xml:space="preserve"> </v>
      </c>
      <c r="Q352" s="8" t="str">
        <f t="shared" si="51"/>
        <v xml:space="preserve"> </v>
      </c>
      <c r="R352" s="8" t="str">
        <f t="shared" si="50"/>
        <v xml:space="preserve"> </v>
      </c>
      <c r="S352" s="48" t="str">
        <f t="shared" si="48"/>
        <v xml:space="preserve"> </v>
      </c>
      <c r="T352" s="14" t="str">
        <f>IF(F352&gt;0,IFERROR(VLOOKUP($F352,[1]Sheet1!$C$3:$L$3445,10,0),"EOSS"),"")</f>
        <v/>
      </c>
    </row>
    <row r="353" spans="1:20" x14ac:dyDescent="0.3">
      <c r="A353" s="1"/>
      <c r="B353" s="2"/>
      <c r="C353" s="5" t="str">
        <f t="shared" si="44"/>
        <v xml:space="preserve"> </v>
      </c>
      <c r="D353" s="2"/>
      <c r="E353" s="3"/>
      <c r="F353" s="4"/>
      <c r="G353" s="5"/>
      <c r="H353" s="5"/>
      <c r="I353" s="5" t="str">
        <f t="shared" si="45"/>
        <v xml:space="preserve"> </v>
      </c>
      <c r="J353" s="33"/>
      <c r="K353" s="5" t="str">
        <f t="shared" si="46"/>
        <v xml:space="preserve"> </v>
      </c>
      <c r="L353" s="3" t="str">
        <f t="shared" si="47"/>
        <v xml:space="preserve"> </v>
      </c>
      <c r="M353" s="3" t="str">
        <f>IF(E353&gt;0,IFERROR(VLOOKUP($E353,'[2]Table 1'!$B$2:$I$147,8,0),"0.00")," ")</f>
        <v xml:space="preserve"> </v>
      </c>
      <c r="N353" s="6" t="str">
        <f t="shared" si="49"/>
        <v xml:space="preserve"> </v>
      </c>
      <c r="O353" s="7" t="str">
        <f>IF(IF(COUNTIF($B$5:B353,B353)&gt;1," ",SUMIF($B$5:$B$423,B353,$J$5:$J$423))=0," ",IF(COUNTIF($B$5:B353,B353)&gt;1," ",SUMIF($B$5:$B$423,B353,$J$5:$J$423)))</f>
        <v xml:space="preserve"> </v>
      </c>
      <c r="P353" s="8" t="str">
        <f>IF(IF(COUNTIF($B$5:B353,B353)&gt;1," ",SUMIF($B$5:$B$423,B353,$L$5:$L$423))=0," ",IF(COUNTIF($B$5:B353,B353)&gt;1," ",SUMIF($B$5:$B$423,B353,$L$5:$L$423)))</f>
        <v xml:space="preserve"> </v>
      </c>
      <c r="Q353" s="8" t="str">
        <f t="shared" si="51"/>
        <v xml:space="preserve"> </v>
      </c>
      <c r="R353" s="8" t="str">
        <f t="shared" si="50"/>
        <v xml:space="preserve"> </v>
      </c>
      <c r="S353" s="48" t="str">
        <f t="shared" si="48"/>
        <v xml:space="preserve"> </v>
      </c>
      <c r="T353" s="14" t="str">
        <f>IF(F353&gt;0,IFERROR(VLOOKUP($F353,[1]Sheet1!$C$3:$L$3445,10,0),"EOSS"),"")</f>
        <v/>
      </c>
    </row>
    <row r="354" spans="1:20" x14ac:dyDescent="0.3">
      <c r="A354" s="1"/>
      <c r="B354" s="2"/>
      <c r="C354" s="5" t="str">
        <f t="shared" si="44"/>
        <v xml:space="preserve"> </v>
      </c>
      <c r="D354" s="2"/>
      <c r="E354" s="3"/>
      <c r="F354" s="4"/>
      <c r="G354" s="5"/>
      <c r="H354" s="5"/>
      <c r="I354" s="5" t="str">
        <f t="shared" si="45"/>
        <v xml:space="preserve"> </v>
      </c>
      <c r="J354" s="33"/>
      <c r="K354" s="5" t="str">
        <f t="shared" si="46"/>
        <v xml:space="preserve"> </v>
      </c>
      <c r="L354" s="3" t="str">
        <f t="shared" si="47"/>
        <v xml:space="preserve"> </v>
      </c>
      <c r="M354" s="3" t="str">
        <f>IF(E354&gt;0,IFERROR(VLOOKUP($E354,'[2]Table 1'!$B$2:$I$147,8,0),"0.00")," ")</f>
        <v xml:space="preserve"> </v>
      </c>
      <c r="N354" s="6" t="str">
        <f t="shared" si="49"/>
        <v xml:space="preserve"> </v>
      </c>
      <c r="O354" s="7" t="str">
        <f>IF(IF(COUNTIF($B$5:B354,B354)&gt;1," ",SUMIF($B$5:$B$423,B354,$J$5:$J$423))=0," ",IF(COUNTIF($B$5:B354,B354)&gt;1," ",SUMIF($B$5:$B$423,B354,$J$5:$J$423)))</f>
        <v xml:space="preserve"> </v>
      </c>
      <c r="P354" s="8" t="str">
        <f>IF(IF(COUNTIF($B$5:B354,B354)&gt;1," ",SUMIF($B$5:$B$423,B354,$L$5:$L$423))=0," ",IF(COUNTIF($B$5:B354,B354)&gt;1," ",SUMIF($B$5:$B$423,B354,$L$5:$L$423)))</f>
        <v xml:space="preserve"> </v>
      </c>
      <c r="Q354" s="8" t="str">
        <f t="shared" si="51"/>
        <v xml:space="preserve"> </v>
      </c>
      <c r="R354" s="8" t="str">
        <f t="shared" si="50"/>
        <v xml:space="preserve"> </v>
      </c>
      <c r="S354" s="48" t="str">
        <f t="shared" si="48"/>
        <v xml:space="preserve"> </v>
      </c>
      <c r="T354" s="14" t="str">
        <f>IF(F354&gt;0,IFERROR(VLOOKUP($F354,[1]Sheet1!$C$3:$L$3445,10,0),"EOSS"),"")</f>
        <v/>
      </c>
    </row>
    <row r="355" spans="1:20" x14ac:dyDescent="0.3">
      <c r="A355" s="1"/>
      <c r="B355" s="2"/>
      <c r="C355" s="5" t="str">
        <f t="shared" si="44"/>
        <v xml:space="preserve"> </v>
      </c>
      <c r="D355" s="2"/>
      <c r="E355" s="3"/>
      <c r="F355" s="4"/>
      <c r="G355" s="5"/>
      <c r="H355" s="5"/>
      <c r="I355" s="5" t="str">
        <f t="shared" si="45"/>
        <v xml:space="preserve"> </v>
      </c>
      <c r="J355" s="33"/>
      <c r="K355" s="5" t="str">
        <f t="shared" si="46"/>
        <v xml:space="preserve"> </v>
      </c>
      <c r="L355" s="3" t="str">
        <f t="shared" si="47"/>
        <v xml:space="preserve"> </v>
      </c>
      <c r="M355" s="3" t="str">
        <f>IF(E355&gt;0,IFERROR(VLOOKUP($E355,'[2]Table 1'!$B$2:$I$147,8,0),"0.00")," ")</f>
        <v xml:space="preserve"> </v>
      </c>
      <c r="N355" s="6" t="str">
        <f t="shared" si="49"/>
        <v xml:space="preserve"> </v>
      </c>
      <c r="O355" s="7" t="str">
        <f>IF(IF(COUNTIF($B$5:B355,B355)&gt;1," ",SUMIF($B$5:$B$423,B355,$J$5:$J$423))=0," ",IF(COUNTIF($B$5:B355,B355)&gt;1," ",SUMIF($B$5:$B$423,B355,$J$5:$J$423)))</f>
        <v xml:space="preserve"> </v>
      </c>
      <c r="P355" s="8" t="str">
        <f>IF(IF(COUNTIF($B$5:B355,B355)&gt;1," ",SUMIF($B$5:$B$423,B355,$L$5:$L$423))=0," ",IF(COUNTIF($B$5:B355,B355)&gt;1," ",SUMIF($B$5:$B$423,B355,$L$5:$L$423)))</f>
        <v xml:space="preserve"> </v>
      </c>
      <c r="Q355" s="8" t="str">
        <f t="shared" si="51"/>
        <v xml:space="preserve"> </v>
      </c>
      <c r="R355" s="8" t="str">
        <f t="shared" si="50"/>
        <v xml:space="preserve"> </v>
      </c>
      <c r="S355" s="48" t="str">
        <f t="shared" si="48"/>
        <v xml:space="preserve"> </v>
      </c>
      <c r="T355" s="14" t="str">
        <f>IF(F355&gt;0,IFERROR(VLOOKUP($F355,[1]Sheet1!$C$3:$L$3445,10,0),"EOSS"),"")</f>
        <v/>
      </c>
    </row>
    <row r="356" spans="1:20" x14ac:dyDescent="0.3">
      <c r="A356" s="1"/>
      <c r="B356" s="2"/>
      <c r="C356" s="5" t="str">
        <f t="shared" si="44"/>
        <v xml:space="preserve"> </v>
      </c>
      <c r="D356" s="2"/>
      <c r="E356" s="3"/>
      <c r="F356" s="4"/>
      <c r="G356" s="5"/>
      <c r="H356" s="5"/>
      <c r="I356" s="5" t="str">
        <f t="shared" si="45"/>
        <v xml:space="preserve"> </v>
      </c>
      <c r="J356" s="33"/>
      <c r="K356" s="5" t="str">
        <f t="shared" si="46"/>
        <v xml:space="preserve"> </v>
      </c>
      <c r="L356" s="3" t="str">
        <f t="shared" si="47"/>
        <v xml:space="preserve"> </v>
      </c>
      <c r="M356" s="3" t="str">
        <f>IF(E356&gt;0,IFERROR(VLOOKUP($E356,'[2]Table 1'!$B$2:$I$147,8,0),"0.00")," ")</f>
        <v xml:space="preserve"> </v>
      </c>
      <c r="N356" s="6" t="str">
        <f t="shared" si="49"/>
        <v xml:space="preserve"> </v>
      </c>
      <c r="O356" s="7" t="str">
        <f>IF(IF(COUNTIF($B$5:B356,B356)&gt;1," ",SUMIF($B$5:$B$423,B356,$J$5:$J$423))=0," ",IF(COUNTIF($B$5:B356,B356)&gt;1," ",SUMIF($B$5:$B$423,B356,$J$5:$J$423)))</f>
        <v xml:space="preserve"> </v>
      </c>
      <c r="P356" s="8" t="str">
        <f>IF(IF(COUNTIF($B$5:B356,B356)&gt;1," ",SUMIF($B$5:$B$423,B356,$L$5:$L$423))=0," ",IF(COUNTIF($B$5:B356,B356)&gt;1," ",SUMIF($B$5:$B$423,B356,$L$5:$L$423)))</f>
        <v xml:space="preserve"> </v>
      </c>
      <c r="Q356" s="8" t="str">
        <f t="shared" si="51"/>
        <v xml:space="preserve"> </v>
      </c>
      <c r="R356" s="8" t="str">
        <f t="shared" si="50"/>
        <v xml:space="preserve"> </v>
      </c>
      <c r="S356" s="48" t="str">
        <f t="shared" si="48"/>
        <v xml:space="preserve"> </v>
      </c>
      <c r="T356" s="14" t="str">
        <f>IF(F356&gt;0,IFERROR(VLOOKUP($F356,[1]Sheet1!$C$3:$L$3445,10,0),"EOSS"),"")</f>
        <v/>
      </c>
    </row>
    <row r="357" spans="1:20" x14ac:dyDescent="0.3">
      <c r="A357" s="1"/>
      <c r="B357" s="2"/>
      <c r="C357" s="5" t="str">
        <f t="shared" si="44"/>
        <v xml:space="preserve"> </v>
      </c>
      <c r="D357" s="2"/>
      <c r="E357" s="3"/>
      <c r="F357" s="4"/>
      <c r="G357" s="5"/>
      <c r="H357" s="5"/>
      <c r="I357" s="5" t="str">
        <f t="shared" si="45"/>
        <v xml:space="preserve"> </v>
      </c>
      <c r="J357" s="33"/>
      <c r="K357" s="5" t="str">
        <f t="shared" si="46"/>
        <v xml:space="preserve"> </v>
      </c>
      <c r="L357" s="3" t="str">
        <f t="shared" si="47"/>
        <v xml:space="preserve"> </v>
      </c>
      <c r="M357" s="3" t="str">
        <f>IF(E357&gt;0,IFERROR(VLOOKUP($E357,'[2]Table 1'!$B$2:$I$147,8,0),"0.00")," ")</f>
        <v xml:space="preserve"> </v>
      </c>
      <c r="N357" s="6" t="str">
        <f t="shared" si="49"/>
        <v xml:space="preserve"> </v>
      </c>
      <c r="O357" s="7" t="str">
        <f>IF(IF(COUNTIF($B$5:B357,B357)&gt;1," ",SUMIF($B$5:$B$423,B357,$J$5:$J$423))=0," ",IF(COUNTIF($B$5:B357,B357)&gt;1," ",SUMIF($B$5:$B$423,B357,$J$5:$J$423)))</f>
        <v xml:space="preserve"> </v>
      </c>
      <c r="P357" s="8" t="str">
        <f>IF(IF(COUNTIF($B$5:B357,B357)&gt;1," ",SUMIF($B$5:$B$423,B357,$L$5:$L$423))=0," ",IF(COUNTIF($B$5:B357,B357)&gt;1," ",SUMIF($B$5:$B$423,B357,$L$5:$L$423)))</f>
        <v xml:space="preserve"> </v>
      </c>
      <c r="Q357" s="8" t="str">
        <f t="shared" si="51"/>
        <v xml:space="preserve"> </v>
      </c>
      <c r="R357" s="8" t="str">
        <f t="shared" si="50"/>
        <v xml:space="preserve"> </v>
      </c>
      <c r="S357" s="48" t="str">
        <f t="shared" si="48"/>
        <v xml:space="preserve"> </v>
      </c>
      <c r="T357" s="14" t="str">
        <f>IF(F357&gt;0,IFERROR(VLOOKUP($F357,[1]Sheet1!$C$3:$L$3445,10,0),"EOSS"),"")</f>
        <v/>
      </c>
    </row>
    <row r="358" spans="1:20" x14ac:dyDescent="0.3">
      <c r="A358" s="1"/>
      <c r="B358" s="2"/>
      <c r="C358" s="5" t="str">
        <f t="shared" si="44"/>
        <v xml:space="preserve"> </v>
      </c>
      <c r="D358" s="2"/>
      <c r="E358" s="3"/>
      <c r="F358" s="4"/>
      <c r="G358" s="5"/>
      <c r="H358" s="5"/>
      <c r="I358" s="5" t="str">
        <f t="shared" si="45"/>
        <v xml:space="preserve"> </v>
      </c>
      <c r="J358" s="33"/>
      <c r="K358" s="5" t="str">
        <f t="shared" si="46"/>
        <v xml:space="preserve"> </v>
      </c>
      <c r="L358" s="3" t="str">
        <f t="shared" si="47"/>
        <v xml:space="preserve"> </v>
      </c>
      <c r="M358" s="3" t="str">
        <f>IF(E358&gt;0,IFERROR(VLOOKUP($E358,'[2]Table 1'!$B$2:$I$147,8,0),"0.00")," ")</f>
        <v xml:space="preserve"> </v>
      </c>
      <c r="N358" s="6" t="str">
        <f t="shared" si="49"/>
        <v xml:space="preserve"> </v>
      </c>
      <c r="O358" s="7" t="str">
        <f>IF(IF(COUNTIF($B$5:B358,B358)&gt;1," ",SUMIF($B$5:$B$423,B358,$J$5:$J$423))=0," ",IF(COUNTIF($B$5:B358,B358)&gt;1," ",SUMIF($B$5:$B$423,B358,$J$5:$J$423)))</f>
        <v xml:space="preserve"> </v>
      </c>
      <c r="P358" s="8" t="str">
        <f>IF(IF(COUNTIF($B$5:B358,B358)&gt;1," ",SUMIF($B$5:$B$423,B358,$L$5:$L$423))=0," ",IF(COUNTIF($B$5:B358,B358)&gt;1," ",SUMIF($B$5:$B$423,B358,$L$5:$L$423)))</f>
        <v xml:space="preserve"> </v>
      </c>
      <c r="Q358" s="8" t="str">
        <f t="shared" si="51"/>
        <v xml:space="preserve"> </v>
      </c>
      <c r="R358" s="8" t="str">
        <f t="shared" si="50"/>
        <v xml:space="preserve"> </v>
      </c>
      <c r="S358" s="48" t="str">
        <f t="shared" si="48"/>
        <v xml:space="preserve"> </v>
      </c>
      <c r="T358" s="14" t="str">
        <f>IF(F358&gt;0,IFERROR(VLOOKUP($F358,[1]Sheet1!$C$3:$L$3445,10,0),"EOSS"),"")</f>
        <v/>
      </c>
    </row>
    <row r="359" spans="1:20" x14ac:dyDescent="0.3">
      <c r="A359" s="1"/>
      <c r="B359" s="2"/>
      <c r="C359" s="5" t="str">
        <f t="shared" si="44"/>
        <v xml:space="preserve"> </v>
      </c>
      <c r="D359" s="2"/>
      <c r="E359" s="3"/>
      <c r="F359" s="4"/>
      <c r="G359" s="5"/>
      <c r="H359" s="5"/>
      <c r="I359" s="5" t="str">
        <f t="shared" si="45"/>
        <v xml:space="preserve"> </v>
      </c>
      <c r="J359" s="33"/>
      <c r="K359" s="5" t="str">
        <f t="shared" si="46"/>
        <v xml:space="preserve"> </v>
      </c>
      <c r="L359" s="3" t="str">
        <f t="shared" si="47"/>
        <v xml:space="preserve"> </v>
      </c>
      <c r="M359" s="3" t="str">
        <f>IF(E359&gt;0,IFERROR(VLOOKUP($E359,'[2]Table 1'!$B$2:$I$147,8,0),"0.00")," ")</f>
        <v xml:space="preserve"> </v>
      </c>
      <c r="N359" s="6" t="str">
        <f t="shared" si="49"/>
        <v xml:space="preserve"> </v>
      </c>
      <c r="O359" s="7" t="str">
        <f>IF(IF(COUNTIF($B$5:B359,B359)&gt;1," ",SUMIF($B$5:$B$423,B359,$J$5:$J$423))=0," ",IF(COUNTIF($B$5:B359,B359)&gt;1," ",SUMIF($B$5:$B$423,B359,$J$5:$J$423)))</f>
        <v xml:space="preserve"> </v>
      </c>
      <c r="P359" s="8" t="str">
        <f>IF(IF(COUNTIF($B$5:B359,B359)&gt;1," ",SUMIF($B$5:$B$423,B359,$L$5:$L$423))=0," ",IF(COUNTIF($B$5:B359,B359)&gt;1," ",SUMIF($B$5:$B$423,B359,$L$5:$L$423)))</f>
        <v xml:space="preserve"> </v>
      </c>
      <c r="Q359" s="8" t="str">
        <f t="shared" si="51"/>
        <v xml:space="preserve"> </v>
      </c>
      <c r="R359" s="8" t="str">
        <f t="shared" si="50"/>
        <v xml:space="preserve"> </v>
      </c>
      <c r="S359" s="48" t="str">
        <f t="shared" si="48"/>
        <v xml:space="preserve"> </v>
      </c>
      <c r="T359" s="14" t="str">
        <f>IF(F359&gt;0,IFERROR(VLOOKUP($F359,[1]Sheet1!$C$3:$L$3445,10,0),"EOSS"),"")</f>
        <v/>
      </c>
    </row>
    <row r="360" spans="1:20" x14ac:dyDescent="0.3">
      <c r="A360" s="1"/>
      <c r="B360" s="2"/>
      <c r="C360" s="5" t="str">
        <f t="shared" si="44"/>
        <v xml:space="preserve"> </v>
      </c>
      <c r="D360" s="2"/>
      <c r="E360" s="3"/>
      <c r="F360" s="4"/>
      <c r="G360" s="5"/>
      <c r="H360" s="5"/>
      <c r="I360" s="5" t="str">
        <f t="shared" si="45"/>
        <v xml:space="preserve"> </v>
      </c>
      <c r="J360" s="33"/>
      <c r="K360" s="5" t="str">
        <f t="shared" si="46"/>
        <v xml:space="preserve"> </v>
      </c>
      <c r="L360" s="3" t="str">
        <f t="shared" si="47"/>
        <v xml:space="preserve"> </v>
      </c>
      <c r="M360" s="3" t="str">
        <f>IF(E360&gt;0,IFERROR(VLOOKUP($E360,'[2]Table 1'!$B$2:$I$147,8,0),"0.00")," ")</f>
        <v xml:space="preserve"> </v>
      </c>
      <c r="N360" s="6" t="str">
        <f t="shared" si="49"/>
        <v xml:space="preserve"> </v>
      </c>
      <c r="O360" s="7" t="str">
        <f>IF(IF(COUNTIF($B$5:B360,B360)&gt;1," ",SUMIF($B$5:$B$423,B360,$J$5:$J$423))=0," ",IF(COUNTIF($B$5:B360,B360)&gt;1," ",SUMIF($B$5:$B$423,B360,$J$5:$J$423)))</f>
        <v xml:space="preserve"> </v>
      </c>
      <c r="P360" s="8" t="str">
        <f>IF(IF(COUNTIF($B$5:B360,B360)&gt;1," ",SUMIF($B$5:$B$423,B360,$L$5:$L$423))=0," ",IF(COUNTIF($B$5:B360,B360)&gt;1," ",SUMIF($B$5:$B$423,B360,$L$5:$L$423)))</f>
        <v xml:space="preserve"> </v>
      </c>
      <c r="Q360" s="8" t="str">
        <f t="shared" si="51"/>
        <v xml:space="preserve"> </v>
      </c>
      <c r="R360" s="8" t="str">
        <f t="shared" si="50"/>
        <v xml:space="preserve"> </v>
      </c>
      <c r="S360" s="48" t="str">
        <f t="shared" si="48"/>
        <v xml:space="preserve"> </v>
      </c>
      <c r="T360" s="14" t="str">
        <f>IF(F360&gt;0,IFERROR(VLOOKUP($F360,[1]Sheet1!$C$3:$L$3445,10,0),"EOSS"),"")</f>
        <v/>
      </c>
    </row>
    <row r="361" spans="1:20" x14ac:dyDescent="0.3">
      <c r="A361" s="1"/>
      <c r="B361" s="2"/>
      <c r="C361" s="5" t="str">
        <f t="shared" si="44"/>
        <v xml:space="preserve"> </v>
      </c>
      <c r="D361" s="2"/>
      <c r="E361" s="3"/>
      <c r="F361" s="4"/>
      <c r="G361" s="5"/>
      <c r="H361" s="5"/>
      <c r="I361" s="5" t="str">
        <f t="shared" si="45"/>
        <v xml:space="preserve"> </v>
      </c>
      <c r="J361" s="33"/>
      <c r="K361" s="5" t="str">
        <f t="shared" si="46"/>
        <v xml:space="preserve"> </v>
      </c>
      <c r="L361" s="3" t="str">
        <f t="shared" si="47"/>
        <v xml:space="preserve"> </v>
      </c>
      <c r="M361" s="3" t="str">
        <f>IF(E361&gt;0,IFERROR(VLOOKUP($E361,'[2]Table 1'!$B$2:$I$147,8,0),"0.00")," ")</f>
        <v xml:space="preserve"> </v>
      </c>
      <c r="N361" s="6" t="str">
        <f t="shared" si="49"/>
        <v xml:space="preserve"> </v>
      </c>
      <c r="O361" s="7" t="str">
        <f>IF(IF(COUNTIF($B$5:B361,B361)&gt;1," ",SUMIF($B$5:$B$423,B361,$J$5:$J$423))=0," ",IF(COUNTIF($B$5:B361,B361)&gt;1," ",SUMIF($B$5:$B$423,B361,$J$5:$J$423)))</f>
        <v xml:space="preserve"> </v>
      </c>
      <c r="P361" s="8" t="str">
        <f>IF(IF(COUNTIF($B$5:B361,B361)&gt;1," ",SUMIF($B$5:$B$423,B361,$L$5:$L$423))=0," ",IF(COUNTIF($B$5:B361,B361)&gt;1," ",SUMIF($B$5:$B$423,B361,$L$5:$L$423)))</f>
        <v xml:space="preserve"> </v>
      </c>
      <c r="Q361" s="8" t="str">
        <f t="shared" si="51"/>
        <v xml:space="preserve"> </v>
      </c>
      <c r="R361" s="8" t="str">
        <f t="shared" si="50"/>
        <v xml:space="preserve"> </v>
      </c>
      <c r="S361" s="48" t="str">
        <f t="shared" si="48"/>
        <v xml:space="preserve"> </v>
      </c>
      <c r="T361" s="14" t="str">
        <f>IF(F361&gt;0,IFERROR(VLOOKUP($F361,[1]Sheet1!$C$3:$L$3445,10,0),"EOSS"),"")</f>
        <v/>
      </c>
    </row>
    <row r="362" spans="1:20" x14ac:dyDescent="0.3">
      <c r="A362" s="1"/>
      <c r="B362" s="2"/>
      <c r="C362" s="5" t="str">
        <f t="shared" si="44"/>
        <v xml:space="preserve"> </v>
      </c>
      <c r="D362" s="2"/>
      <c r="E362" s="3"/>
      <c r="F362" s="4"/>
      <c r="G362" s="5"/>
      <c r="H362" s="5"/>
      <c r="I362" s="5" t="str">
        <f t="shared" si="45"/>
        <v xml:space="preserve"> </v>
      </c>
      <c r="J362" s="33"/>
      <c r="K362" s="5" t="str">
        <f t="shared" si="46"/>
        <v xml:space="preserve"> </v>
      </c>
      <c r="L362" s="3" t="str">
        <f t="shared" si="47"/>
        <v xml:space="preserve"> </v>
      </c>
      <c r="M362" s="3" t="str">
        <f>IF(E362&gt;0,IFERROR(VLOOKUP($E362,'[2]Table 1'!$B$2:$I$147,8,0),"0.00")," ")</f>
        <v xml:space="preserve"> </v>
      </c>
      <c r="N362" s="6" t="str">
        <f t="shared" si="49"/>
        <v xml:space="preserve"> </v>
      </c>
      <c r="O362" s="7" t="str">
        <f>IF(IF(COUNTIF($B$5:B362,B362)&gt;1," ",SUMIF($B$5:$B$423,B362,$J$5:$J$423))=0," ",IF(COUNTIF($B$5:B362,B362)&gt;1," ",SUMIF($B$5:$B$423,B362,$J$5:$J$423)))</f>
        <v xml:space="preserve"> </v>
      </c>
      <c r="P362" s="8" t="str">
        <f>IF(IF(COUNTIF($B$5:B362,B362)&gt;1," ",SUMIF($B$5:$B$423,B362,$L$5:$L$423))=0," ",IF(COUNTIF($B$5:B362,B362)&gt;1," ",SUMIF($B$5:$B$423,B362,$L$5:$L$423)))</f>
        <v xml:space="preserve"> </v>
      </c>
      <c r="Q362" s="8" t="str">
        <f t="shared" si="51"/>
        <v xml:space="preserve"> </v>
      </c>
      <c r="R362" s="8" t="str">
        <f t="shared" si="50"/>
        <v xml:space="preserve"> </v>
      </c>
      <c r="S362" s="48" t="str">
        <f t="shared" si="48"/>
        <v xml:space="preserve"> </v>
      </c>
      <c r="T362" s="14" t="str">
        <f>IF(F362&gt;0,IFERROR(VLOOKUP($F362,[1]Sheet1!$C$3:$L$3445,10,0),"EOSS"),"")</f>
        <v/>
      </c>
    </row>
    <row r="363" spans="1:20" x14ac:dyDescent="0.3">
      <c r="A363" s="1"/>
      <c r="B363" s="2"/>
      <c r="C363" s="5" t="str">
        <f t="shared" si="44"/>
        <v xml:space="preserve"> </v>
      </c>
      <c r="D363" s="2"/>
      <c r="E363" s="3"/>
      <c r="F363" s="4"/>
      <c r="G363" s="5"/>
      <c r="H363" s="5"/>
      <c r="I363" s="5" t="str">
        <f t="shared" si="45"/>
        <v xml:space="preserve"> </v>
      </c>
      <c r="J363" s="33"/>
      <c r="K363" s="5" t="str">
        <f t="shared" si="46"/>
        <v xml:space="preserve"> </v>
      </c>
      <c r="L363" s="3" t="str">
        <f t="shared" si="47"/>
        <v xml:space="preserve"> </v>
      </c>
      <c r="M363" s="3" t="str">
        <f>IF(E363&gt;0,IFERROR(VLOOKUP($E363,'[2]Table 1'!$B$2:$I$147,8,0),"0.00")," ")</f>
        <v xml:space="preserve"> </v>
      </c>
      <c r="N363" s="6" t="str">
        <f t="shared" si="49"/>
        <v xml:space="preserve"> </v>
      </c>
      <c r="O363" s="7" t="str">
        <f>IF(IF(COUNTIF($B$5:B363,B363)&gt;1," ",SUMIF($B$5:$B$423,B363,$J$5:$J$423))=0," ",IF(COUNTIF($B$5:B363,B363)&gt;1," ",SUMIF($B$5:$B$423,B363,$J$5:$J$423)))</f>
        <v xml:space="preserve"> </v>
      </c>
      <c r="P363" s="8" t="str">
        <f>IF(IF(COUNTIF($B$5:B363,B363)&gt;1," ",SUMIF($B$5:$B$423,B363,$L$5:$L$423))=0," ",IF(COUNTIF($B$5:B363,B363)&gt;1," ",SUMIF($B$5:$B$423,B363,$L$5:$L$423)))</f>
        <v xml:space="preserve"> </v>
      </c>
      <c r="Q363" s="8" t="str">
        <f t="shared" si="51"/>
        <v xml:space="preserve"> </v>
      </c>
      <c r="R363" s="8" t="str">
        <f t="shared" si="50"/>
        <v xml:space="preserve"> </v>
      </c>
      <c r="S363" s="48" t="str">
        <f t="shared" si="48"/>
        <v xml:space="preserve"> </v>
      </c>
      <c r="T363" s="14" t="str">
        <f>IF(F363&gt;0,IFERROR(VLOOKUP($F363,[1]Sheet1!$C$3:$L$3445,10,0),"EOSS"),"")</f>
        <v/>
      </c>
    </row>
    <row r="364" spans="1:20" x14ac:dyDescent="0.3">
      <c r="A364" s="1"/>
      <c r="B364" s="2"/>
      <c r="C364" s="5" t="str">
        <f t="shared" si="44"/>
        <v xml:space="preserve"> </v>
      </c>
      <c r="D364" s="2"/>
      <c r="E364" s="3"/>
      <c r="F364" s="4"/>
      <c r="G364" s="5"/>
      <c r="H364" s="5"/>
      <c r="I364" s="5" t="str">
        <f t="shared" si="45"/>
        <v xml:space="preserve"> </v>
      </c>
      <c r="J364" s="33"/>
      <c r="K364" s="5" t="str">
        <f t="shared" si="46"/>
        <v xml:space="preserve"> </v>
      </c>
      <c r="L364" s="3" t="str">
        <f t="shared" si="47"/>
        <v xml:space="preserve"> </v>
      </c>
      <c r="M364" s="3" t="str">
        <f>IF(E364&gt;0,IFERROR(VLOOKUP($E364,'[2]Table 1'!$B$2:$I$147,8,0),"0.00")," ")</f>
        <v xml:space="preserve"> </v>
      </c>
      <c r="N364" s="6" t="str">
        <f t="shared" si="49"/>
        <v xml:space="preserve"> </v>
      </c>
      <c r="O364" s="7" t="str">
        <f>IF(IF(COUNTIF($B$5:B364,B364)&gt;1," ",SUMIF($B$5:$B$423,B364,$J$5:$J$423))=0," ",IF(COUNTIF($B$5:B364,B364)&gt;1," ",SUMIF($B$5:$B$423,B364,$J$5:$J$423)))</f>
        <v xml:space="preserve"> </v>
      </c>
      <c r="P364" s="8" t="str">
        <f>IF(IF(COUNTIF($B$5:B364,B364)&gt;1," ",SUMIF($B$5:$B$423,B364,$L$5:$L$423))=0," ",IF(COUNTIF($B$5:B364,B364)&gt;1," ",SUMIF($B$5:$B$423,B364,$L$5:$L$423)))</f>
        <v xml:space="preserve"> </v>
      </c>
      <c r="Q364" s="8" t="str">
        <f t="shared" si="51"/>
        <v xml:space="preserve"> </v>
      </c>
      <c r="R364" s="8" t="str">
        <f t="shared" si="50"/>
        <v xml:space="preserve"> </v>
      </c>
      <c r="S364" s="48" t="str">
        <f t="shared" si="48"/>
        <v xml:space="preserve"> </v>
      </c>
      <c r="T364" s="14" t="str">
        <f>IF(F364&gt;0,IFERROR(VLOOKUP($F364,[1]Sheet1!$C$3:$L$3445,10,0),"EOSS"),"")</f>
        <v/>
      </c>
    </row>
    <row r="365" spans="1:20" x14ac:dyDescent="0.3">
      <c r="A365" s="1"/>
      <c r="B365" s="2"/>
      <c r="C365" s="5" t="str">
        <f t="shared" si="44"/>
        <v xml:space="preserve"> </v>
      </c>
      <c r="D365" s="2"/>
      <c r="E365" s="3"/>
      <c r="F365" s="4"/>
      <c r="G365" s="5"/>
      <c r="H365" s="5"/>
      <c r="I365" s="5" t="str">
        <f t="shared" si="45"/>
        <v xml:space="preserve"> </v>
      </c>
      <c r="J365" s="33"/>
      <c r="K365" s="5" t="str">
        <f t="shared" si="46"/>
        <v xml:space="preserve"> </v>
      </c>
      <c r="L365" s="3" t="str">
        <f t="shared" si="47"/>
        <v xml:space="preserve"> </v>
      </c>
      <c r="M365" s="3" t="str">
        <f>IF(E365&gt;0,IFERROR(VLOOKUP($E365,'[2]Table 1'!$B$2:$I$147,8,0),"0.00")," ")</f>
        <v xml:space="preserve"> </v>
      </c>
      <c r="N365" s="6" t="str">
        <f t="shared" si="49"/>
        <v xml:space="preserve"> </v>
      </c>
      <c r="O365" s="7" t="str">
        <f>IF(IF(COUNTIF($B$5:B365,B365)&gt;1," ",SUMIF($B$5:$B$423,B365,$J$5:$J$423))=0," ",IF(COUNTIF($B$5:B365,B365)&gt;1," ",SUMIF($B$5:$B$423,B365,$J$5:$J$423)))</f>
        <v xml:space="preserve"> </v>
      </c>
      <c r="P365" s="8" t="str">
        <f>IF(IF(COUNTIF($B$5:B365,B365)&gt;1," ",SUMIF($B$5:$B$423,B365,$L$5:$L$423))=0," ",IF(COUNTIF($B$5:B365,B365)&gt;1," ",SUMIF($B$5:$B$423,B365,$L$5:$L$423)))</f>
        <v xml:space="preserve"> </v>
      </c>
      <c r="Q365" s="8" t="str">
        <f t="shared" si="51"/>
        <v xml:space="preserve"> </v>
      </c>
      <c r="R365" s="8" t="str">
        <f t="shared" si="50"/>
        <v xml:space="preserve"> </v>
      </c>
      <c r="S365" s="48" t="str">
        <f t="shared" si="48"/>
        <v xml:space="preserve"> </v>
      </c>
      <c r="T365" s="14" t="str">
        <f>IF(F365&gt;0,IFERROR(VLOOKUP($F365,[1]Sheet1!$C$3:$L$3445,10,0),"EOSS"),"")</f>
        <v/>
      </c>
    </row>
    <row r="366" spans="1:20" x14ac:dyDescent="0.3">
      <c r="A366" s="1"/>
      <c r="B366" s="2"/>
      <c r="C366" s="5" t="str">
        <f t="shared" si="44"/>
        <v xml:space="preserve"> </v>
      </c>
      <c r="D366" s="2"/>
      <c r="E366" s="3"/>
      <c r="F366" s="4"/>
      <c r="G366" s="5"/>
      <c r="H366" s="5"/>
      <c r="I366" s="5" t="str">
        <f t="shared" si="45"/>
        <v xml:space="preserve"> </v>
      </c>
      <c r="J366" s="33"/>
      <c r="K366" s="5" t="str">
        <f t="shared" si="46"/>
        <v xml:space="preserve"> </v>
      </c>
      <c r="L366" s="3" t="str">
        <f t="shared" si="47"/>
        <v xml:space="preserve"> </v>
      </c>
      <c r="M366" s="3" t="str">
        <f>IF(E366&gt;0,IFERROR(VLOOKUP($E366,'[2]Table 1'!$B$2:$I$147,8,0),"0.00")," ")</f>
        <v xml:space="preserve"> </v>
      </c>
      <c r="N366" s="6" t="str">
        <f t="shared" si="49"/>
        <v xml:space="preserve"> </v>
      </c>
      <c r="O366" s="7" t="str">
        <f>IF(IF(COUNTIF($B$5:B366,B366)&gt;1," ",SUMIF($B$5:$B$423,B366,$J$5:$J$423))=0," ",IF(COUNTIF($B$5:B366,B366)&gt;1," ",SUMIF($B$5:$B$423,B366,$J$5:$J$423)))</f>
        <v xml:space="preserve"> </v>
      </c>
      <c r="P366" s="8" t="str">
        <f>IF(IF(COUNTIF($B$5:B366,B366)&gt;1," ",SUMIF($B$5:$B$423,B366,$L$5:$L$423))=0," ",IF(COUNTIF($B$5:B366,B366)&gt;1," ",SUMIF($B$5:$B$423,B366,$L$5:$L$423)))</f>
        <v xml:space="preserve"> </v>
      </c>
      <c r="Q366" s="8" t="str">
        <f t="shared" si="51"/>
        <v xml:space="preserve"> </v>
      </c>
      <c r="R366" s="8" t="str">
        <f t="shared" si="50"/>
        <v xml:space="preserve"> </v>
      </c>
      <c r="S366" s="48" t="str">
        <f t="shared" si="48"/>
        <v xml:space="preserve"> </v>
      </c>
      <c r="T366" s="14" t="str">
        <f>IF(F366&gt;0,IFERROR(VLOOKUP($F366,[1]Sheet1!$C$3:$L$3445,10,0),"EOSS"),"")</f>
        <v/>
      </c>
    </row>
    <row r="367" spans="1:20" x14ac:dyDescent="0.3">
      <c r="A367" s="1"/>
      <c r="B367" s="2"/>
      <c r="C367" s="5" t="str">
        <f t="shared" si="44"/>
        <v xml:space="preserve"> </v>
      </c>
      <c r="D367" s="2"/>
      <c r="E367" s="3"/>
      <c r="F367" s="4"/>
      <c r="G367" s="5"/>
      <c r="H367" s="5"/>
      <c r="I367" s="5" t="str">
        <f t="shared" si="45"/>
        <v xml:space="preserve"> </v>
      </c>
      <c r="J367" s="33"/>
      <c r="K367" s="5" t="str">
        <f t="shared" si="46"/>
        <v xml:space="preserve"> </v>
      </c>
      <c r="L367" s="3" t="str">
        <f t="shared" si="47"/>
        <v xml:space="preserve"> </v>
      </c>
      <c r="M367" s="3" t="str">
        <f>IF(E367&gt;0,IFERROR(VLOOKUP($E367,'[2]Table 1'!$B$2:$I$147,8,0),"0.00")," ")</f>
        <v xml:space="preserve"> </v>
      </c>
      <c r="N367" s="6" t="str">
        <f t="shared" si="49"/>
        <v xml:space="preserve"> </v>
      </c>
      <c r="O367" s="7" t="str">
        <f>IF(IF(COUNTIF($B$5:B367,B367)&gt;1," ",SUMIF($B$5:$B$423,B367,$J$5:$J$423))=0," ",IF(COUNTIF($B$5:B367,B367)&gt;1," ",SUMIF($B$5:$B$423,B367,$J$5:$J$423)))</f>
        <v xml:space="preserve"> </v>
      </c>
      <c r="P367" s="8" t="str">
        <f>IF(IF(COUNTIF($B$5:B367,B367)&gt;1," ",SUMIF($B$5:$B$423,B367,$L$5:$L$423))=0," ",IF(COUNTIF($B$5:B367,B367)&gt;1," ",SUMIF($B$5:$B$423,B367,$L$5:$L$423)))</f>
        <v xml:space="preserve"> </v>
      </c>
      <c r="Q367" s="8" t="str">
        <f t="shared" si="51"/>
        <v xml:space="preserve"> </v>
      </c>
      <c r="R367" s="8" t="str">
        <f t="shared" si="50"/>
        <v xml:space="preserve"> </v>
      </c>
      <c r="S367" s="48" t="str">
        <f t="shared" si="48"/>
        <v xml:space="preserve"> </v>
      </c>
      <c r="T367" s="14" t="str">
        <f>IF(F367&gt;0,IFERROR(VLOOKUP($F367,[1]Sheet1!$C$3:$L$3445,10,0),"EOSS"),"")</f>
        <v/>
      </c>
    </row>
    <row r="368" spans="1:20" x14ac:dyDescent="0.3">
      <c r="A368" s="1"/>
      <c r="B368" s="2"/>
      <c r="C368" s="5" t="str">
        <f t="shared" si="44"/>
        <v xml:space="preserve"> </v>
      </c>
      <c r="D368" s="2"/>
      <c r="E368" s="3"/>
      <c r="F368" s="4"/>
      <c r="G368" s="5"/>
      <c r="H368" s="5"/>
      <c r="I368" s="5" t="str">
        <f t="shared" si="45"/>
        <v xml:space="preserve"> </v>
      </c>
      <c r="J368" s="33"/>
      <c r="K368" s="5" t="str">
        <f t="shared" si="46"/>
        <v xml:space="preserve"> </v>
      </c>
      <c r="L368" s="3" t="str">
        <f t="shared" si="47"/>
        <v xml:space="preserve"> </v>
      </c>
      <c r="M368" s="3" t="str">
        <f>IF(E368&gt;0,IFERROR(VLOOKUP($E368,'[2]Table 1'!$B$2:$I$147,8,0),"0.00")," ")</f>
        <v xml:space="preserve"> </v>
      </c>
      <c r="N368" s="6" t="str">
        <f t="shared" si="49"/>
        <v xml:space="preserve"> </v>
      </c>
      <c r="O368" s="7" t="str">
        <f>IF(IF(COUNTIF($B$5:B368,B368)&gt;1," ",SUMIF($B$5:$B$423,B368,$J$5:$J$423))=0," ",IF(COUNTIF($B$5:B368,B368)&gt;1," ",SUMIF($B$5:$B$423,B368,$J$5:$J$423)))</f>
        <v xml:space="preserve"> </v>
      </c>
      <c r="P368" s="8" t="str">
        <f>IF(IF(COUNTIF($B$5:B368,B368)&gt;1," ",SUMIF($B$5:$B$423,B368,$L$5:$L$423))=0," ",IF(COUNTIF($B$5:B368,B368)&gt;1," ",SUMIF($B$5:$B$423,B368,$L$5:$L$423)))</f>
        <v xml:space="preserve"> </v>
      </c>
      <c r="Q368" s="8" t="str">
        <f t="shared" si="51"/>
        <v xml:space="preserve"> </v>
      </c>
      <c r="R368" s="8" t="str">
        <f t="shared" si="50"/>
        <v xml:space="preserve"> </v>
      </c>
      <c r="S368" s="48" t="str">
        <f t="shared" si="48"/>
        <v xml:space="preserve"> </v>
      </c>
      <c r="T368" s="14" t="str">
        <f>IF(F368&gt;0,IFERROR(VLOOKUP($F368,[1]Sheet1!$C$3:$L$3445,10,0),"EOSS"),"")</f>
        <v/>
      </c>
    </row>
    <row r="369" spans="1:20" x14ac:dyDescent="0.3">
      <c r="A369" s="1"/>
      <c r="B369" s="2"/>
      <c r="C369" s="5" t="str">
        <f t="shared" si="44"/>
        <v xml:space="preserve"> </v>
      </c>
      <c r="D369" s="2"/>
      <c r="E369" s="3"/>
      <c r="F369" s="4"/>
      <c r="G369" s="5"/>
      <c r="H369" s="5"/>
      <c r="I369" s="5" t="str">
        <f t="shared" si="45"/>
        <v xml:space="preserve"> </v>
      </c>
      <c r="J369" s="33"/>
      <c r="K369" s="5" t="str">
        <f t="shared" si="46"/>
        <v xml:space="preserve"> </v>
      </c>
      <c r="L369" s="3" t="str">
        <f t="shared" si="47"/>
        <v xml:space="preserve"> </v>
      </c>
      <c r="M369" s="3" t="str">
        <f>IF(E369&gt;0,IFERROR(VLOOKUP($E369,'[2]Table 1'!$B$2:$I$147,8,0),"0.00")," ")</f>
        <v xml:space="preserve"> </v>
      </c>
      <c r="N369" s="6" t="str">
        <f t="shared" si="49"/>
        <v xml:space="preserve"> </v>
      </c>
      <c r="O369" s="7" t="str">
        <f>IF(IF(COUNTIF($B$5:B369,B369)&gt;1," ",SUMIF($B$5:$B$423,B369,$J$5:$J$423))=0," ",IF(COUNTIF($B$5:B369,B369)&gt;1," ",SUMIF($B$5:$B$423,B369,$J$5:$J$423)))</f>
        <v xml:space="preserve"> </v>
      </c>
      <c r="P369" s="8" t="str">
        <f>IF(IF(COUNTIF($B$5:B369,B369)&gt;1," ",SUMIF($B$5:$B$423,B369,$L$5:$L$423))=0," ",IF(COUNTIF($B$5:B369,B369)&gt;1," ",SUMIF($B$5:$B$423,B369,$L$5:$L$423)))</f>
        <v xml:space="preserve"> </v>
      </c>
      <c r="Q369" s="8" t="str">
        <f t="shared" si="51"/>
        <v xml:space="preserve"> </v>
      </c>
      <c r="R369" s="8" t="str">
        <f t="shared" si="50"/>
        <v xml:space="preserve"> </v>
      </c>
      <c r="S369" s="48" t="str">
        <f t="shared" si="48"/>
        <v xml:space="preserve"> </v>
      </c>
      <c r="T369" s="14" t="str">
        <f>IF(F369&gt;0,IFERROR(VLOOKUP($F369,[1]Sheet1!$C$3:$L$3445,10,0),"EOSS"),"")</f>
        <v/>
      </c>
    </row>
    <row r="370" spans="1:20" x14ac:dyDescent="0.3">
      <c r="A370" s="1"/>
      <c r="B370" s="2"/>
      <c r="C370" s="5" t="str">
        <f t="shared" si="44"/>
        <v xml:space="preserve"> </v>
      </c>
      <c r="D370" s="2"/>
      <c r="E370" s="3"/>
      <c r="F370" s="4"/>
      <c r="G370" s="5"/>
      <c r="H370" s="5"/>
      <c r="I370" s="5" t="str">
        <f t="shared" si="45"/>
        <v xml:space="preserve"> </v>
      </c>
      <c r="J370" s="33"/>
      <c r="K370" s="5" t="str">
        <f t="shared" si="46"/>
        <v xml:space="preserve"> </v>
      </c>
      <c r="L370" s="3" t="str">
        <f t="shared" si="47"/>
        <v xml:space="preserve"> </v>
      </c>
      <c r="M370" s="3" t="str">
        <f>IF(E370&gt;0,IFERROR(VLOOKUP($E370,'[2]Table 1'!$B$2:$I$147,8,0),"0.00")," ")</f>
        <v xml:space="preserve"> </v>
      </c>
      <c r="N370" s="6" t="str">
        <f t="shared" si="49"/>
        <v xml:space="preserve"> </v>
      </c>
      <c r="O370" s="7" t="str">
        <f>IF(IF(COUNTIF($B$5:B370,B370)&gt;1," ",SUMIF($B$5:$B$423,B370,$J$5:$J$423))=0," ",IF(COUNTIF($B$5:B370,B370)&gt;1," ",SUMIF($B$5:$B$423,B370,$J$5:$J$423)))</f>
        <v xml:space="preserve"> </v>
      </c>
      <c r="P370" s="8" t="str">
        <f>IF(IF(COUNTIF($B$5:B370,B370)&gt;1," ",SUMIF($B$5:$B$423,B370,$L$5:$L$423))=0," ",IF(COUNTIF($B$5:B370,B370)&gt;1," ",SUMIF($B$5:$B$423,B370,$L$5:$L$423)))</f>
        <v xml:space="preserve"> </v>
      </c>
      <c r="Q370" s="8" t="str">
        <f t="shared" si="51"/>
        <v xml:space="preserve"> </v>
      </c>
      <c r="R370" s="8" t="str">
        <f t="shared" si="50"/>
        <v xml:space="preserve"> </v>
      </c>
      <c r="S370" s="48" t="str">
        <f t="shared" si="48"/>
        <v xml:space="preserve"> </v>
      </c>
      <c r="T370" s="14" t="str">
        <f>IF(F370&gt;0,IFERROR(VLOOKUP($F370,[1]Sheet1!$C$3:$L$3445,10,0),"EOSS"),"")</f>
        <v/>
      </c>
    </row>
    <row r="371" spans="1:20" x14ac:dyDescent="0.3">
      <c r="A371" s="1"/>
      <c r="B371" s="2"/>
      <c r="C371" s="5" t="str">
        <f t="shared" si="44"/>
        <v xml:space="preserve"> </v>
      </c>
      <c r="D371" s="2"/>
      <c r="E371" s="3"/>
      <c r="F371" s="4"/>
      <c r="G371" s="5"/>
      <c r="H371" s="5"/>
      <c r="I371" s="5" t="str">
        <f t="shared" si="45"/>
        <v xml:space="preserve"> </v>
      </c>
      <c r="J371" s="33"/>
      <c r="K371" s="5" t="str">
        <f t="shared" si="46"/>
        <v xml:space="preserve"> </v>
      </c>
      <c r="L371" s="3" t="str">
        <f t="shared" si="47"/>
        <v xml:space="preserve"> </v>
      </c>
      <c r="M371" s="3" t="str">
        <f>IF(E371&gt;0,IFERROR(VLOOKUP($E371,'[2]Table 1'!$B$2:$I$147,8,0),"0.00")," ")</f>
        <v xml:space="preserve"> </v>
      </c>
      <c r="N371" s="6" t="str">
        <f t="shared" si="49"/>
        <v xml:space="preserve"> </v>
      </c>
      <c r="O371" s="7" t="str">
        <f>IF(IF(COUNTIF($B$5:B371,B371)&gt;1," ",SUMIF($B$5:$B$423,B371,$J$5:$J$423))=0," ",IF(COUNTIF($B$5:B371,B371)&gt;1," ",SUMIF($B$5:$B$423,B371,$J$5:$J$423)))</f>
        <v xml:space="preserve"> </v>
      </c>
      <c r="P371" s="8" t="str">
        <f>IF(IF(COUNTIF($B$5:B371,B371)&gt;1," ",SUMIF($B$5:$B$423,B371,$L$5:$L$423))=0," ",IF(COUNTIF($B$5:B371,B371)&gt;1," ",SUMIF($B$5:$B$423,B371,$L$5:$L$423)))</f>
        <v xml:space="preserve"> </v>
      </c>
      <c r="Q371" s="8" t="str">
        <f t="shared" si="51"/>
        <v xml:space="preserve"> </v>
      </c>
      <c r="R371" s="8" t="str">
        <f t="shared" si="50"/>
        <v xml:space="preserve"> </v>
      </c>
      <c r="S371" s="48" t="str">
        <f t="shared" si="48"/>
        <v xml:space="preserve"> </v>
      </c>
      <c r="T371" s="14" t="str">
        <f>IF(F371&gt;0,IFERROR(VLOOKUP($F371,[1]Sheet1!$C$3:$L$3445,10,0),"EOSS"),"")</f>
        <v/>
      </c>
    </row>
    <row r="372" spans="1:20" x14ac:dyDescent="0.3">
      <c r="A372" s="1"/>
      <c r="B372" s="2"/>
      <c r="C372" s="5" t="str">
        <f t="shared" si="44"/>
        <v xml:space="preserve"> </v>
      </c>
      <c r="D372" s="2"/>
      <c r="E372" s="3"/>
      <c r="F372" s="4"/>
      <c r="G372" s="5"/>
      <c r="H372" s="5"/>
      <c r="I372" s="5" t="str">
        <f t="shared" si="45"/>
        <v xml:space="preserve"> </v>
      </c>
      <c r="J372" s="33"/>
      <c r="K372" s="5" t="str">
        <f t="shared" si="46"/>
        <v xml:space="preserve"> </v>
      </c>
      <c r="L372" s="3" t="str">
        <f t="shared" si="47"/>
        <v xml:space="preserve"> </v>
      </c>
      <c r="M372" s="3" t="str">
        <f>IF(E372&gt;0,IFERROR(VLOOKUP($E372,'[2]Table 1'!$B$2:$I$147,8,0),"0.00")," ")</f>
        <v xml:space="preserve"> </v>
      </c>
      <c r="N372" s="6" t="str">
        <f t="shared" si="49"/>
        <v xml:space="preserve"> </v>
      </c>
      <c r="O372" s="7" t="str">
        <f>IF(IF(COUNTIF($B$5:B372,B372)&gt;1," ",SUMIF($B$5:$B$423,B372,$J$5:$J$423))=0," ",IF(COUNTIF($B$5:B372,B372)&gt;1," ",SUMIF($B$5:$B$423,B372,$J$5:$J$423)))</f>
        <v xml:space="preserve"> </v>
      </c>
      <c r="P372" s="8" t="str">
        <f>IF(IF(COUNTIF($B$5:B372,B372)&gt;1," ",SUMIF($B$5:$B$423,B372,$L$5:$L$423))=0," ",IF(COUNTIF($B$5:B372,B372)&gt;1," ",SUMIF($B$5:$B$423,B372,$L$5:$L$423)))</f>
        <v xml:space="preserve"> </v>
      </c>
      <c r="Q372" s="8" t="str">
        <f t="shared" si="51"/>
        <v xml:space="preserve"> </v>
      </c>
      <c r="R372" s="8" t="str">
        <f t="shared" si="50"/>
        <v xml:space="preserve"> </v>
      </c>
      <c r="S372" s="48" t="str">
        <f t="shared" si="48"/>
        <v xml:space="preserve"> </v>
      </c>
      <c r="T372" s="14" t="str">
        <f>IF(F372&gt;0,IFERROR(VLOOKUP($F372,[1]Sheet1!$C$3:$L$3445,10,0),"EOSS"),"")</f>
        <v/>
      </c>
    </row>
    <row r="373" spans="1:20" x14ac:dyDescent="0.3">
      <c r="A373" s="1"/>
      <c r="B373" s="2"/>
      <c r="C373" s="5" t="str">
        <f t="shared" si="44"/>
        <v xml:space="preserve"> </v>
      </c>
      <c r="D373" s="2"/>
      <c r="E373" s="3"/>
      <c r="F373" s="4"/>
      <c r="G373" s="5"/>
      <c r="H373" s="5"/>
      <c r="I373" s="5" t="str">
        <f t="shared" si="45"/>
        <v xml:space="preserve"> </v>
      </c>
      <c r="J373" s="33"/>
      <c r="K373" s="5" t="str">
        <f t="shared" si="46"/>
        <v xml:space="preserve"> </v>
      </c>
      <c r="L373" s="3" t="str">
        <f t="shared" si="47"/>
        <v xml:space="preserve"> </v>
      </c>
      <c r="M373" s="3" t="str">
        <f>IF(E373&gt;0,IFERROR(VLOOKUP($E373,'[2]Table 1'!$B$2:$I$147,8,0),"0.00")," ")</f>
        <v xml:space="preserve"> </v>
      </c>
      <c r="N373" s="6" t="str">
        <f t="shared" si="49"/>
        <v xml:space="preserve"> </v>
      </c>
      <c r="O373" s="7" t="str">
        <f>IF(IF(COUNTIF($B$5:B373,B373)&gt;1," ",SUMIF($B$5:$B$423,B373,$J$5:$J$423))=0," ",IF(COUNTIF($B$5:B373,B373)&gt;1," ",SUMIF($B$5:$B$423,B373,$J$5:$J$423)))</f>
        <v xml:space="preserve"> </v>
      </c>
      <c r="P373" s="8" t="str">
        <f>IF(IF(COUNTIF($B$5:B373,B373)&gt;1," ",SUMIF($B$5:$B$423,B373,$L$5:$L$423))=0," ",IF(COUNTIF($B$5:B373,B373)&gt;1," ",SUMIF($B$5:$B$423,B373,$L$5:$L$423)))</f>
        <v xml:space="preserve"> </v>
      </c>
      <c r="Q373" s="8" t="str">
        <f t="shared" si="51"/>
        <v xml:space="preserve"> </v>
      </c>
      <c r="R373" s="8" t="str">
        <f t="shared" si="50"/>
        <v xml:space="preserve"> </v>
      </c>
      <c r="S373" s="48" t="str">
        <f t="shared" si="48"/>
        <v xml:space="preserve"> </v>
      </c>
      <c r="T373" s="14" t="str">
        <f>IF(F373&gt;0,IFERROR(VLOOKUP($F373,[1]Sheet1!$C$3:$L$3445,10,0),"EOSS"),"")</f>
        <v/>
      </c>
    </row>
    <row r="374" spans="1:20" x14ac:dyDescent="0.3">
      <c r="A374" s="1"/>
      <c r="B374" s="2"/>
      <c r="C374" s="5" t="str">
        <f t="shared" si="44"/>
        <v xml:space="preserve"> </v>
      </c>
      <c r="D374" s="2"/>
      <c r="E374" s="3"/>
      <c r="F374" s="4"/>
      <c r="G374" s="5"/>
      <c r="H374" s="5"/>
      <c r="I374" s="5" t="str">
        <f t="shared" si="45"/>
        <v xml:space="preserve"> </v>
      </c>
      <c r="J374" s="33"/>
      <c r="K374" s="5" t="str">
        <f t="shared" si="46"/>
        <v xml:space="preserve"> </v>
      </c>
      <c r="L374" s="3" t="str">
        <f t="shared" si="47"/>
        <v xml:space="preserve"> </v>
      </c>
      <c r="M374" s="3" t="str">
        <f>IF(E374&gt;0,IFERROR(VLOOKUP($E374,'[2]Table 1'!$B$2:$I$147,8,0),"0.00")," ")</f>
        <v xml:space="preserve"> </v>
      </c>
      <c r="N374" s="6" t="str">
        <f t="shared" si="49"/>
        <v xml:space="preserve"> </v>
      </c>
      <c r="O374" s="7" t="str">
        <f>IF(IF(COUNTIF($B$5:B374,B374)&gt;1," ",SUMIF($B$5:$B$423,B374,$J$5:$J$423))=0," ",IF(COUNTIF($B$5:B374,B374)&gt;1," ",SUMIF($B$5:$B$423,B374,$J$5:$J$423)))</f>
        <v xml:space="preserve"> </v>
      </c>
      <c r="P374" s="8" t="str">
        <f>IF(IF(COUNTIF($B$5:B374,B374)&gt;1," ",SUMIF($B$5:$B$423,B374,$L$5:$L$423))=0," ",IF(COUNTIF($B$5:B374,B374)&gt;1," ",SUMIF($B$5:$B$423,B374,$L$5:$L$423)))</f>
        <v xml:space="preserve"> </v>
      </c>
      <c r="Q374" s="8" t="str">
        <f t="shared" si="51"/>
        <v xml:space="preserve"> </v>
      </c>
      <c r="R374" s="8" t="str">
        <f t="shared" si="50"/>
        <v xml:space="preserve"> </v>
      </c>
      <c r="S374" s="48" t="str">
        <f t="shared" si="48"/>
        <v xml:space="preserve"> </v>
      </c>
      <c r="T374" s="14" t="str">
        <f>IF(F374&gt;0,IFERROR(VLOOKUP($F374,[1]Sheet1!$C$3:$L$3445,10,0),"EOSS"),"")</f>
        <v/>
      </c>
    </row>
    <row r="375" spans="1:20" x14ac:dyDescent="0.3">
      <c r="A375" s="1"/>
      <c r="B375" s="2"/>
      <c r="C375" s="5" t="str">
        <f t="shared" si="44"/>
        <v xml:space="preserve"> </v>
      </c>
      <c r="D375" s="2"/>
      <c r="E375" s="3"/>
      <c r="F375" s="4"/>
      <c r="G375" s="5"/>
      <c r="H375" s="5"/>
      <c r="I375" s="5" t="str">
        <f t="shared" si="45"/>
        <v xml:space="preserve"> </v>
      </c>
      <c r="J375" s="33"/>
      <c r="K375" s="5" t="str">
        <f t="shared" si="46"/>
        <v xml:space="preserve"> </v>
      </c>
      <c r="L375" s="3" t="str">
        <f t="shared" si="47"/>
        <v xml:space="preserve"> </v>
      </c>
      <c r="M375" s="3" t="str">
        <f>IF(E375&gt;0,IFERROR(VLOOKUP($E375,'[2]Table 1'!$B$2:$I$147,8,0),"0.00")," ")</f>
        <v xml:space="preserve"> </v>
      </c>
      <c r="N375" s="6" t="str">
        <f t="shared" si="49"/>
        <v xml:space="preserve"> </v>
      </c>
      <c r="O375" s="7" t="str">
        <f>IF(IF(COUNTIF($B$5:B375,B375)&gt;1," ",SUMIF($B$5:$B$423,B375,$J$5:$J$423))=0," ",IF(COUNTIF($B$5:B375,B375)&gt;1," ",SUMIF($B$5:$B$423,B375,$J$5:$J$423)))</f>
        <v xml:space="preserve"> </v>
      </c>
      <c r="P375" s="8" t="str">
        <f>IF(IF(COUNTIF($B$5:B375,B375)&gt;1," ",SUMIF($B$5:$B$423,B375,$L$5:$L$423))=0," ",IF(COUNTIF($B$5:B375,B375)&gt;1," ",SUMIF($B$5:$B$423,B375,$L$5:$L$423)))</f>
        <v xml:space="preserve"> </v>
      </c>
      <c r="Q375" s="8" t="str">
        <f t="shared" si="51"/>
        <v xml:space="preserve"> </v>
      </c>
      <c r="R375" s="8" t="str">
        <f t="shared" si="50"/>
        <v xml:space="preserve"> </v>
      </c>
      <c r="S375" s="48" t="str">
        <f t="shared" si="48"/>
        <v xml:space="preserve"> </v>
      </c>
      <c r="T375" s="14" t="str">
        <f>IF(F375&gt;0,IFERROR(VLOOKUP($F375,[1]Sheet1!$C$3:$L$3445,10,0),"EOSS"),"")</f>
        <v/>
      </c>
    </row>
    <row r="376" spans="1:20" x14ac:dyDescent="0.3">
      <c r="A376" s="1"/>
      <c r="B376" s="2"/>
      <c r="C376" s="5" t="str">
        <f t="shared" si="44"/>
        <v xml:space="preserve"> </v>
      </c>
      <c r="D376" s="2"/>
      <c r="E376" s="3"/>
      <c r="F376" s="4"/>
      <c r="G376" s="5"/>
      <c r="H376" s="5"/>
      <c r="I376" s="5" t="str">
        <f t="shared" si="45"/>
        <v xml:space="preserve"> </v>
      </c>
      <c r="J376" s="33"/>
      <c r="K376" s="5" t="str">
        <f t="shared" si="46"/>
        <v xml:space="preserve"> </v>
      </c>
      <c r="L376" s="3" t="str">
        <f t="shared" si="47"/>
        <v xml:space="preserve"> </v>
      </c>
      <c r="M376" s="3" t="str">
        <f>IF(E376&gt;0,IFERROR(VLOOKUP($E376,'[2]Table 1'!$B$2:$I$147,8,0),"0.00")," ")</f>
        <v xml:space="preserve"> </v>
      </c>
      <c r="N376" s="6" t="str">
        <f t="shared" si="49"/>
        <v xml:space="preserve"> </v>
      </c>
      <c r="O376" s="7" t="str">
        <f>IF(IF(COUNTIF($B$5:B376,B376)&gt;1," ",SUMIF($B$5:$B$423,B376,$J$5:$J$423))=0," ",IF(COUNTIF($B$5:B376,B376)&gt;1," ",SUMIF($B$5:$B$423,B376,$J$5:$J$423)))</f>
        <v xml:space="preserve"> </v>
      </c>
      <c r="P376" s="8" t="str">
        <f>IF(IF(COUNTIF($B$5:B376,B376)&gt;1," ",SUMIF($B$5:$B$423,B376,$L$5:$L$423))=0," ",IF(COUNTIF($B$5:B376,B376)&gt;1," ",SUMIF($B$5:$B$423,B376,$L$5:$L$423)))</f>
        <v xml:space="preserve"> </v>
      </c>
      <c r="Q376" s="8" t="str">
        <f t="shared" si="51"/>
        <v xml:space="preserve"> </v>
      </c>
      <c r="R376" s="8" t="str">
        <f t="shared" si="50"/>
        <v xml:space="preserve"> </v>
      </c>
      <c r="S376" s="48" t="str">
        <f t="shared" si="48"/>
        <v xml:space="preserve"> </v>
      </c>
      <c r="T376" s="14" t="str">
        <f>IF(F376&gt;0,IFERROR(VLOOKUP($F376,[1]Sheet1!$C$3:$L$3445,10,0),"EOSS"),"")</f>
        <v/>
      </c>
    </row>
    <row r="377" spans="1:20" x14ac:dyDescent="0.3">
      <c r="A377" s="1"/>
      <c r="B377" s="2"/>
      <c r="C377" s="5" t="str">
        <f t="shared" si="44"/>
        <v xml:space="preserve"> </v>
      </c>
      <c r="D377" s="2"/>
      <c r="E377" s="3"/>
      <c r="F377" s="4"/>
      <c r="G377" s="5"/>
      <c r="H377" s="5"/>
      <c r="I377" s="5" t="str">
        <f t="shared" si="45"/>
        <v xml:space="preserve"> </v>
      </c>
      <c r="J377" s="33"/>
      <c r="K377" s="5" t="str">
        <f t="shared" si="46"/>
        <v xml:space="preserve"> </v>
      </c>
      <c r="L377" s="3" t="str">
        <f t="shared" si="47"/>
        <v xml:space="preserve"> </v>
      </c>
      <c r="M377" s="3" t="str">
        <f>IF(E377&gt;0,IFERROR(VLOOKUP($E377,'[2]Table 1'!$B$2:$I$147,8,0),"0.00")," ")</f>
        <v xml:space="preserve"> </v>
      </c>
      <c r="N377" s="6" t="str">
        <f t="shared" si="49"/>
        <v xml:space="preserve"> </v>
      </c>
      <c r="O377" s="7" t="str">
        <f>IF(IF(COUNTIF($B$5:B377,B377)&gt;1," ",SUMIF($B$5:$B$423,B377,$J$5:$J$423))=0," ",IF(COUNTIF($B$5:B377,B377)&gt;1," ",SUMIF($B$5:$B$423,B377,$J$5:$J$423)))</f>
        <v xml:space="preserve"> </v>
      </c>
      <c r="P377" s="8" t="str">
        <f>IF(IF(COUNTIF($B$5:B377,B377)&gt;1," ",SUMIF($B$5:$B$423,B377,$L$5:$L$423))=0," ",IF(COUNTIF($B$5:B377,B377)&gt;1," ",SUMIF($B$5:$B$423,B377,$L$5:$L$423)))</f>
        <v xml:space="preserve"> </v>
      </c>
      <c r="Q377" s="8" t="str">
        <f t="shared" si="51"/>
        <v xml:space="preserve"> </v>
      </c>
      <c r="R377" s="8" t="str">
        <f t="shared" si="50"/>
        <v xml:space="preserve"> </v>
      </c>
      <c r="S377" s="48" t="str">
        <f t="shared" si="48"/>
        <v xml:space="preserve"> </v>
      </c>
      <c r="T377" s="14" t="str">
        <f>IF(F377&gt;0,IFERROR(VLOOKUP($F377,[1]Sheet1!$C$3:$L$3445,10,0),"EOSS"),"")</f>
        <v/>
      </c>
    </row>
    <row r="378" spans="1:20" x14ac:dyDescent="0.3">
      <c r="A378" s="1"/>
      <c r="B378" s="2"/>
      <c r="C378" s="5" t="str">
        <f t="shared" si="44"/>
        <v xml:space="preserve"> </v>
      </c>
      <c r="D378" s="2"/>
      <c r="E378" s="3"/>
      <c r="F378" s="4"/>
      <c r="G378" s="5"/>
      <c r="H378" s="5"/>
      <c r="I378" s="5" t="str">
        <f t="shared" si="45"/>
        <v xml:space="preserve"> </v>
      </c>
      <c r="J378" s="33"/>
      <c r="K378" s="5" t="str">
        <f t="shared" si="46"/>
        <v xml:space="preserve"> </v>
      </c>
      <c r="L378" s="3" t="str">
        <f t="shared" si="47"/>
        <v xml:space="preserve"> </v>
      </c>
      <c r="M378" s="3" t="str">
        <f>IF(E378&gt;0,IFERROR(VLOOKUP($E378,'[2]Table 1'!$B$2:$I$147,8,0),"0.00")," ")</f>
        <v xml:space="preserve"> </v>
      </c>
      <c r="N378" s="6" t="str">
        <f t="shared" si="49"/>
        <v xml:space="preserve"> </v>
      </c>
      <c r="O378" s="7" t="str">
        <f>IF(IF(COUNTIF($B$5:B378,B378)&gt;1," ",SUMIF($B$5:$B$423,B378,$J$5:$J$423))=0," ",IF(COUNTIF($B$5:B378,B378)&gt;1," ",SUMIF($B$5:$B$423,B378,$J$5:$J$423)))</f>
        <v xml:space="preserve"> </v>
      </c>
      <c r="P378" s="8" t="str">
        <f>IF(IF(COUNTIF($B$5:B378,B378)&gt;1," ",SUMIF($B$5:$B$423,B378,$L$5:$L$423))=0," ",IF(COUNTIF($B$5:B378,B378)&gt;1," ",SUMIF($B$5:$B$423,B378,$L$5:$L$423)))</f>
        <v xml:space="preserve"> </v>
      </c>
      <c r="Q378" s="8" t="str">
        <f t="shared" si="51"/>
        <v xml:space="preserve"> </v>
      </c>
      <c r="R378" s="8" t="str">
        <f t="shared" si="50"/>
        <v xml:space="preserve"> </v>
      </c>
      <c r="S378" s="48" t="str">
        <f t="shared" si="48"/>
        <v xml:space="preserve"> </v>
      </c>
      <c r="T378" s="14" t="str">
        <f>IF(F378&gt;0,IFERROR(VLOOKUP($F378,[1]Sheet1!$C$3:$L$3445,10,0),"EOSS"),"")</f>
        <v/>
      </c>
    </row>
    <row r="379" spans="1:20" x14ac:dyDescent="0.3">
      <c r="A379" s="1"/>
      <c r="B379" s="2"/>
      <c r="C379" s="5" t="str">
        <f t="shared" si="44"/>
        <v xml:space="preserve"> </v>
      </c>
      <c r="D379" s="2"/>
      <c r="E379" s="3"/>
      <c r="F379" s="4"/>
      <c r="G379" s="5"/>
      <c r="H379" s="5"/>
      <c r="I379" s="5" t="str">
        <f t="shared" si="45"/>
        <v xml:space="preserve"> </v>
      </c>
      <c r="J379" s="33"/>
      <c r="K379" s="5" t="str">
        <f t="shared" si="46"/>
        <v xml:space="preserve"> </v>
      </c>
      <c r="L379" s="3" t="str">
        <f t="shared" si="47"/>
        <v xml:space="preserve"> </v>
      </c>
      <c r="M379" s="3" t="str">
        <f>IF(E379&gt;0,IFERROR(VLOOKUP($E379,'[2]Table 1'!$B$2:$I$147,8,0),"0.00")," ")</f>
        <v xml:space="preserve"> </v>
      </c>
      <c r="N379" s="6" t="str">
        <f t="shared" si="49"/>
        <v xml:space="preserve"> </v>
      </c>
      <c r="O379" s="7" t="str">
        <f>IF(IF(COUNTIF($B$5:B379,B379)&gt;1," ",SUMIF($B$5:$B$423,B379,$J$5:$J$423))=0," ",IF(COUNTIF($B$5:B379,B379)&gt;1," ",SUMIF($B$5:$B$423,B379,$J$5:$J$423)))</f>
        <v xml:space="preserve"> </v>
      </c>
      <c r="P379" s="8" t="str">
        <f>IF(IF(COUNTIF($B$5:B379,B379)&gt;1," ",SUMIF($B$5:$B$423,B379,$L$5:$L$423))=0," ",IF(COUNTIF($B$5:B379,B379)&gt;1," ",SUMIF($B$5:$B$423,B379,$L$5:$L$423)))</f>
        <v xml:space="preserve"> </v>
      </c>
      <c r="Q379" s="8" t="str">
        <f t="shared" si="51"/>
        <v xml:space="preserve"> </v>
      </c>
      <c r="R379" s="8" t="str">
        <f t="shared" si="50"/>
        <v xml:space="preserve"> </v>
      </c>
      <c r="S379" s="48" t="str">
        <f t="shared" si="48"/>
        <v xml:space="preserve"> </v>
      </c>
      <c r="T379" s="14" t="str">
        <f>IF(F379&gt;0,IFERROR(VLOOKUP($F379,[1]Sheet1!$C$3:$L$3445,10,0),"EOSS"),"")</f>
        <v/>
      </c>
    </row>
    <row r="380" spans="1:20" x14ac:dyDescent="0.3">
      <c r="A380" s="1"/>
      <c r="B380" s="2"/>
      <c r="C380" s="5" t="str">
        <f t="shared" si="44"/>
        <v xml:space="preserve"> </v>
      </c>
      <c r="D380" s="2"/>
      <c r="E380" s="3"/>
      <c r="F380" s="4"/>
      <c r="G380" s="5"/>
      <c r="H380" s="5"/>
      <c r="I380" s="5" t="str">
        <f t="shared" si="45"/>
        <v xml:space="preserve"> </v>
      </c>
      <c r="J380" s="33"/>
      <c r="K380" s="5" t="str">
        <f t="shared" si="46"/>
        <v xml:space="preserve"> </v>
      </c>
      <c r="L380" s="3" t="str">
        <f t="shared" si="47"/>
        <v xml:space="preserve"> </v>
      </c>
      <c r="M380" s="3" t="str">
        <f>IF(E380&gt;0,IFERROR(VLOOKUP($E380,'[2]Table 1'!$B$2:$I$147,8,0),"0.00")," ")</f>
        <v xml:space="preserve"> </v>
      </c>
      <c r="N380" s="6" t="str">
        <f t="shared" si="49"/>
        <v xml:space="preserve"> </v>
      </c>
      <c r="O380" s="7" t="str">
        <f>IF(IF(COUNTIF($B$5:B380,B380)&gt;1," ",SUMIF($B$5:$B$423,B380,$J$5:$J$423))=0," ",IF(COUNTIF($B$5:B380,B380)&gt;1," ",SUMIF($B$5:$B$423,B380,$J$5:$J$423)))</f>
        <v xml:space="preserve"> </v>
      </c>
      <c r="P380" s="8" t="str">
        <f>IF(IF(COUNTIF($B$5:B380,B380)&gt;1," ",SUMIF($B$5:$B$423,B380,$L$5:$L$423))=0," ",IF(COUNTIF($B$5:B380,B380)&gt;1," ",SUMIF($B$5:$B$423,B380,$L$5:$L$423)))</f>
        <v xml:space="preserve"> </v>
      </c>
      <c r="Q380" s="8" t="str">
        <f t="shared" si="51"/>
        <v xml:space="preserve"> </v>
      </c>
      <c r="R380" s="8" t="str">
        <f t="shared" ref="R342:R403" si="52">IF(B380=""," ",IF(OR(L380="",P380="",Q380=""),"",IFERROR(L380/$P$5*$Q$5,"")))</f>
        <v xml:space="preserve"> </v>
      </c>
      <c r="S380" s="48" t="str">
        <f t="shared" si="48"/>
        <v xml:space="preserve"> </v>
      </c>
      <c r="T380" s="14" t="str">
        <f>IF(F380&gt;0,IFERROR(VLOOKUP($F380,[1]Sheet1!$C$3:$L$3445,10,0),"EOSS"),"")</f>
        <v/>
      </c>
    </row>
    <row r="381" spans="1:20" x14ac:dyDescent="0.3">
      <c r="A381" s="1"/>
      <c r="B381" s="2"/>
      <c r="C381" s="5" t="str">
        <f t="shared" si="44"/>
        <v xml:space="preserve"> </v>
      </c>
      <c r="D381" s="2"/>
      <c r="E381" s="3"/>
      <c r="F381" s="4"/>
      <c r="G381" s="5"/>
      <c r="H381" s="5"/>
      <c r="I381" s="5" t="str">
        <f t="shared" si="45"/>
        <v xml:space="preserve"> </v>
      </c>
      <c r="J381" s="33"/>
      <c r="K381" s="5" t="str">
        <f t="shared" si="46"/>
        <v xml:space="preserve"> </v>
      </c>
      <c r="L381" s="3" t="str">
        <f t="shared" si="47"/>
        <v xml:space="preserve"> </v>
      </c>
      <c r="M381" s="3" t="str">
        <f>IF(E381&gt;0,IFERROR(VLOOKUP($E381,'[2]Table 1'!$B$2:$I$147,8,0),"0.00")," ")</f>
        <v xml:space="preserve"> </v>
      </c>
      <c r="N381" s="6" t="str">
        <f t="shared" si="49"/>
        <v xml:space="preserve"> </v>
      </c>
      <c r="O381" s="7" t="str">
        <f>IF(IF(COUNTIF($B$5:B381,B381)&gt;1," ",SUMIF($B$5:$B$423,B381,$J$5:$J$423))=0," ",IF(COUNTIF($B$5:B381,B381)&gt;1," ",SUMIF($B$5:$B$423,B381,$J$5:$J$423)))</f>
        <v xml:space="preserve"> </v>
      </c>
      <c r="P381" s="8" t="str">
        <f>IF(IF(COUNTIF($B$5:B381,B381)&gt;1," ",SUMIF($B$5:$B$423,B381,$L$5:$L$423))=0," ",IF(COUNTIF($B$5:B381,B381)&gt;1," ",SUMIF($B$5:$B$423,B381,$L$5:$L$423)))</f>
        <v xml:space="preserve"> </v>
      </c>
      <c r="Q381" s="8" t="str">
        <f t="shared" si="51"/>
        <v xml:space="preserve"> </v>
      </c>
      <c r="R381" s="8" t="str">
        <f t="shared" si="52"/>
        <v xml:space="preserve"> </v>
      </c>
      <c r="S381" s="48" t="str">
        <f t="shared" si="48"/>
        <v xml:space="preserve"> </v>
      </c>
      <c r="T381" s="14" t="str">
        <f>IF(F381&gt;0,IFERROR(VLOOKUP($F381,[1]Sheet1!$C$3:$L$3445,10,0),"EOSS"),"")</f>
        <v/>
      </c>
    </row>
    <row r="382" spans="1:20" x14ac:dyDescent="0.3">
      <c r="A382" s="1"/>
      <c r="B382" s="2"/>
      <c r="C382" s="5" t="str">
        <f t="shared" si="44"/>
        <v xml:space="preserve"> </v>
      </c>
      <c r="D382" s="2"/>
      <c r="E382" s="3"/>
      <c r="F382" s="4"/>
      <c r="G382" s="5"/>
      <c r="H382" s="5"/>
      <c r="I382" s="5" t="str">
        <f t="shared" si="45"/>
        <v xml:space="preserve"> </v>
      </c>
      <c r="J382" s="33"/>
      <c r="K382" s="5" t="str">
        <f t="shared" si="46"/>
        <v xml:space="preserve"> </v>
      </c>
      <c r="L382" s="3" t="str">
        <f t="shared" si="47"/>
        <v xml:space="preserve"> </v>
      </c>
      <c r="M382" s="3" t="str">
        <f>IF(E382&gt;0,IFERROR(VLOOKUP($E382,'[2]Table 1'!$B$2:$I$147,8,0),"0.00")," ")</f>
        <v xml:space="preserve"> </v>
      </c>
      <c r="N382" s="6" t="str">
        <f t="shared" si="49"/>
        <v xml:space="preserve"> </v>
      </c>
      <c r="O382" s="7" t="str">
        <f>IF(IF(COUNTIF($B$5:B382,B382)&gt;1," ",SUMIF($B$5:$B$423,B382,$J$5:$J$423))=0," ",IF(COUNTIF($B$5:B382,B382)&gt;1," ",SUMIF($B$5:$B$423,B382,$J$5:$J$423)))</f>
        <v xml:space="preserve"> </v>
      </c>
      <c r="P382" s="8" t="str">
        <f>IF(IF(COUNTIF($B$5:B382,B382)&gt;1," ",SUMIF($B$5:$B$423,B382,$L$5:$L$423))=0," ",IF(COUNTIF($B$5:B382,B382)&gt;1," ",SUMIF($B$5:$B$423,B382,$L$5:$L$423)))</f>
        <v xml:space="preserve"> </v>
      </c>
      <c r="Q382" s="8" t="str">
        <f t="shared" si="51"/>
        <v xml:space="preserve"> </v>
      </c>
      <c r="R382" s="8" t="str">
        <f t="shared" si="52"/>
        <v xml:space="preserve"> </v>
      </c>
      <c r="S382" s="48" t="str">
        <f t="shared" si="48"/>
        <v xml:space="preserve"> </v>
      </c>
      <c r="T382" s="14" t="str">
        <f>IF(F382&gt;0,IFERROR(VLOOKUP($F382,[1]Sheet1!$C$3:$L$3445,10,0),"EOSS"),"")</f>
        <v/>
      </c>
    </row>
    <row r="383" spans="1:20" x14ac:dyDescent="0.3">
      <c r="A383" s="1"/>
      <c r="B383" s="2"/>
      <c r="C383" s="5" t="str">
        <f t="shared" si="44"/>
        <v xml:space="preserve"> </v>
      </c>
      <c r="D383" s="2"/>
      <c r="E383" s="3"/>
      <c r="F383" s="4"/>
      <c r="G383" s="5"/>
      <c r="H383" s="5"/>
      <c r="I383" s="5" t="str">
        <f t="shared" si="45"/>
        <v xml:space="preserve"> </v>
      </c>
      <c r="J383" s="33"/>
      <c r="K383" s="5" t="str">
        <f t="shared" si="46"/>
        <v xml:space="preserve"> </v>
      </c>
      <c r="L383" s="3" t="str">
        <f t="shared" si="47"/>
        <v xml:space="preserve"> </v>
      </c>
      <c r="M383" s="3" t="str">
        <f>IF(E383&gt;0,IFERROR(VLOOKUP($E383,'[2]Table 1'!$B$2:$I$147,8,0),"0.00")," ")</f>
        <v xml:space="preserve"> </v>
      </c>
      <c r="N383" s="6" t="str">
        <f t="shared" si="49"/>
        <v xml:space="preserve"> </v>
      </c>
      <c r="O383" s="7" t="str">
        <f>IF(IF(COUNTIF($B$5:B383,B383)&gt;1," ",SUMIF($B$5:$B$423,B383,$J$5:$J$423))=0," ",IF(COUNTIF($B$5:B383,B383)&gt;1," ",SUMIF($B$5:$B$423,B383,$J$5:$J$423)))</f>
        <v xml:space="preserve"> </v>
      </c>
      <c r="P383" s="8" t="str">
        <f>IF(IF(COUNTIF($B$5:B383,B383)&gt;1," ",SUMIF($B$5:$B$423,B383,$L$5:$L$423))=0," ",IF(COUNTIF($B$5:B383,B383)&gt;1," ",SUMIF($B$5:$B$423,B383,$L$5:$L$423)))</f>
        <v xml:space="preserve"> </v>
      </c>
      <c r="Q383" s="8" t="str">
        <f t="shared" si="51"/>
        <v xml:space="preserve"> </v>
      </c>
      <c r="R383" s="8" t="str">
        <f t="shared" si="52"/>
        <v xml:space="preserve"> </v>
      </c>
      <c r="S383" s="48" t="str">
        <f t="shared" si="48"/>
        <v xml:space="preserve"> </v>
      </c>
      <c r="T383" s="14" t="str">
        <f>IF(F383&gt;0,IFERROR(VLOOKUP($F383,[1]Sheet1!$C$3:$L$3445,10,0),"EOSS"),"")</f>
        <v/>
      </c>
    </row>
    <row r="384" spans="1:20" x14ac:dyDescent="0.3">
      <c r="A384" s="1"/>
      <c r="B384" s="2"/>
      <c r="C384" s="5" t="str">
        <f t="shared" si="44"/>
        <v xml:space="preserve"> </v>
      </c>
      <c r="D384" s="2"/>
      <c r="E384" s="3"/>
      <c r="F384" s="4"/>
      <c r="G384" s="5"/>
      <c r="H384" s="5"/>
      <c r="I384" s="5" t="str">
        <f t="shared" si="45"/>
        <v xml:space="preserve"> </v>
      </c>
      <c r="J384" s="33"/>
      <c r="K384" s="5" t="str">
        <f t="shared" si="46"/>
        <v xml:space="preserve"> </v>
      </c>
      <c r="L384" s="3" t="str">
        <f t="shared" si="47"/>
        <v xml:space="preserve"> </v>
      </c>
      <c r="M384" s="3" t="str">
        <f>IF(E384&gt;0,IFERROR(VLOOKUP($E384,'[2]Table 1'!$B$2:$I$147,8,0),"0.00")," ")</f>
        <v xml:space="preserve"> </v>
      </c>
      <c r="N384" s="6" t="str">
        <f t="shared" si="49"/>
        <v xml:space="preserve"> </v>
      </c>
      <c r="O384" s="7" t="str">
        <f>IF(IF(COUNTIF($B$5:B384,B384)&gt;1," ",SUMIF($B$5:$B$423,B384,$J$5:$J$423))=0," ",IF(COUNTIF($B$5:B384,B384)&gt;1," ",SUMIF($B$5:$B$423,B384,$J$5:$J$423)))</f>
        <v xml:space="preserve"> </v>
      </c>
      <c r="P384" s="8" t="str">
        <f>IF(IF(COUNTIF($B$5:B384,B384)&gt;1," ",SUMIF($B$5:$B$423,B384,$L$5:$L$423))=0," ",IF(COUNTIF($B$5:B384,B384)&gt;1," ",SUMIF($B$5:$B$423,B384,$L$5:$L$423)))</f>
        <v xml:space="preserve"> </v>
      </c>
      <c r="Q384" s="8" t="str">
        <f t="shared" si="51"/>
        <v xml:space="preserve"> </v>
      </c>
      <c r="R384" s="8" t="str">
        <f t="shared" si="52"/>
        <v xml:space="preserve"> </v>
      </c>
      <c r="S384" s="48" t="str">
        <f t="shared" si="48"/>
        <v xml:space="preserve"> </v>
      </c>
      <c r="T384" s="14" t="str">
        <f>IF(F384&gt;0,IFERROR(VLOOKUP($F384,[1]Sheet1!$C$3:$L$3445,10,0),"EOSS"),"")</f>
        <v/>
      </c>
    </row>
    <row r="385" spans="1:20" x14ac:dyDescent="0.3">
      <c r="A385" s="1"/>
      <c r="B385" s="2"/>
      <c r="C385" s="5" t="str">
        <f t="shared" si="44"/>
        <v xml:space="preserve"> </v>
      </c>
      <c r="D385" s="2"/>
      <c r="E385" s="3"/>
      <c r="F385" s="4"/>
      <c r="G385" s="5"/>
      <c r="H385" s="5"/>
      <c r="I385" s="5" t="str">
        <f t="shared" si="45"/>
        <v xml:space="preserve"> </v>
      </c>
      <c r="J385" s="33"/>
      <c r="K385" s="5" t="str">
        <f t="shared" si="46"/>
        <v xml:space="preserve"> </v>
      </c>
      <c r="L385" s="3" t="str">
        <f t="shared" si="47"/>
        <v xml:space="preserve"> </v>
      </c>
      <c r="M385" s="3" t="str">
        <f>IF(E385&gt;0,IFERROR(VLOOKUP($E385,'[2]Table 1'!$B$2:$I$147,8,0),"0.00")," ")</f>
        <v xml:space="preserve"> </v>
      </c>
      <c r="N385" s="6" t="str">
        <f t="shared" si="49"/>
        <v xml:space="preserve"> </v>
      </c>
      <c r="O385" s="7" t="str">
        <f>IF(IF(COUNTIF($B$5:B385,B385)&gt;1," ",SUMIF($B$5:$B$423,B385,$J$5:$J$423))=0," ",IF(COUNTIF($B$5:B385,B385)&gt;1," ",SUMIF($B$5:$B$423,B385,$J$5:$J$423)))</f>
        <v xml:space="preserve"> </v>
      </c>
      <c r="P385" s="8" t="str">
        <f>IF(IF(COUNTIF($B$5:B385,B385)&gt;1," ",SUMIF($B$5:$B$423,B385,$L$5:$L$423))=0," ",IF(COUNTIF($B$5:B385,B385)&gt;1," ",SUMIF($B$5:$B$423,B385,$L$5:$L$423)))</f>
        <v xml:space="preserve"> </v>
      </c>
      <c r="Q385" s="8" t="str">
        <f t="shared" si="51"/>
        <v xml:space="preserve"> </v>
      </c>
      <c r="R385" s="8" t="str">
        <f t="shared" si="52"/>
        <v xml:space="preserve"> </v>
      </c>
      <c r="S385" s="48" t="str">
        <f t="shared" si="48"/>
        <v xml:space="preserve"> </v>
      </c>
      <c r="T385" s="14" t="str">
        <f>IF(F385&gt;0,IFERROR(VLOOKUP($F385,[1]Sheet1!$C$3:$L$3445,10,0),"EOSS"),"")</f>
        <v/>
      </c>
    </row>
    <row r="386" spans="1:20" x14ac:dyDescent="0.3">
      <c r="A386" s="1"/>
      <c r="B386" s="2"/>
      <c r="C386" s="5" t="str">
        <f t="shared" si="44"/>
        <v xml:space="preserve"> </v>
      </c>
      <c r="D386" s="2"/>
      <c r="E386" s="3"/>
      <c r="F386" s="4"/>
      <c r="G386" s="5"/>
      <c r="H386" s="5"/>
      <c r="I386" s="5" t="str">
        <f t="shared" si="45"/>
        <v xml:space="preserve"> </v>
      </c>
      <c r="J386" s="33"/>
      <c r="K386" s="5" t="str">
        <f t="shared" si="46"/>
        <v xml:space="preserve"> </v>
      </c>
      <c r="L386" s="3" t="str">
        <f t="shared" si="47"/>
        <v xml:space="preserve"> </v>
      </c>
      <c r="M386" s="3" t="str">
        <f>IF(E386&gt;0,IFERROR(VLOOKUP($E386,'[2]Table 1'!$B$2:$I$147,8,0),"0.00")," ")</f>
        <v xml:space="preserve"> </v>
      </c>
      <c r="N386" s="6" t="str">
        <f t="shared" si="49"/>
        <v xml:space="preserve"> </v>
      </c>
      <c r="O386" s="7" t="str">
        <f>IF(IF(COUNTIF($B$5:B386,B386)&gt;1," ",SUMIF($B$5:$B$423,B386,$J$5:$J$423))=0," ",IF(COUNTIF($B$5:B386,B386)&gt;1," ",SUMIF($B$5:$B$423,B386,$J$5:$J$423)))</f>
        <v xml:space="preserve"> </v>
      </c>
      <c r="P386" s="8" t="str">
        <f>IF(IF(COUNTIF($B$5:B386,B386)&gt;1," ",SUMIF($B$5:$B$423,B386,$L$5:$L$423))=0," ",IF(COUNTIF($B$5:B386,B386)&gt;1," ",SUMIF($B$5:$B$423,B386,$L$5:$L$423)))</f>
        <v xml:space="preserve"> </v>
      </c>
      <c r="Q386" s="8" t="str">
        <f t="shared" si="51"/>
        <v xml:space="preserve"> </v>
      </c>
      <c r="R386" s="8" t="str">
        <f t="shared" si="52"/>
        <v xml:space="preserve"> </v>
      </c>
      <c r="S386" s="48" t="str">
        <f t="shared" si="48"/>
        <v xml:space="preserve"> </v>
      </c>
      <c r="T386" s="14" t="str">
        <f>IF(F386&gt;0,IFERROR(VLOOKUP($F386,[1]Sheet1!$C$3:$L$3445,10,0),"EOSS"),"")</f>
        <v/>
      </c>
    </row>
    <row r="387" spans="1:20" x14ac:dyDescent="0.3">
      <c r="A387" s="1"/>
      <c r="B387" s="2"/>
      <c r="C387" s="5" t="str">
        <f t="shared" si="44"/>
        <v xml:space="preserve"> </v>
      </c>
      <c r="D387" s="2"/>
      <c r="E387" s="3"/>
      <c r="F387" s="4"/>
      <c r="G387" s="5"/>
      <c r="H387" s="5"/>
      <c r="I387" s="5" t="str">
        <f t="shared" si="45"/>
        <v xml:space="preserve"> </v>
      </c>
      <c r="J387" s="33"/>
      <c r="K387" s="5" t="str">
        <f t="shared" si="46"/>
        <v xml:space="preserve"> </v>
      </c>
      <c r="L387" s="3" t="str">
        <f t="shared" si="47"/>
        <v xml:space="preserve"> </v>
      </c>
      <c r="M387" s="3" t="str">
        <f>IF(E387&gt;0,IFERROR(VLOOKUP($E387,'[2]Table 1'!$B$2:$I$147,8,0),"0.00")," ")</f>
        <v xml:space="preserve"> </v>
      </c>
      <c r="N387" s="6" t="str">
        <f t="shared" si="49"/>
        <v xml:space="preserve"> </v>
      </c>
      <c r="O387" s="7" t="str">
        <f>IF(IF(COUNTIF($B$5:B387,B387)&gt;1," ",SUMIF($B$5:$B$423,B387,$J$5:$J$423))=0," ",IF(COUNTIF($B$5:B387,B387)&gt;1," ",SUMIF($B$5:$B$423,B387,$J$5:$J$423)))</f>
        <v xml:space="preserve"> </v>
      </c>
      <c r="P387" s="8" t="str">
        <f>IF(IF(COUNTIF($B$5:B387,B387)&gt;1," ",SUMIF($B$5:$B$423,B387,$L$5:$L$423))=0," ",IF(COUNTIF($B$5:B387,B387)&gt;1," ",SUMIF($B$5:$B$423,B387,$L$5:$L$423)))</f>
        <v xml:space="preserve"> </v>
      </c>
      <c r="Q387" s="8" t="str">
        <f t="shared" si="51"/>
        <v xml:space="preserve"> </v>
      </c>
      <c r="R387" s="8" t="str">
        <f t="shared" si="52"/>
        <v xml:space="preserve"> </v>
      </c>
      <c r="S387" s="48" t="str">
        <f t="shared" si="48"/>
        <v xml:space="preserve"> </v>
      </c>
      <c r="T387" s="14" t="str">
        <f>IF(F387&gt;0,IFERROR(VLOOKUP($F387,[1]Sheet1!$C$3:$L$3445,10,0),"EOSS"),"")</f>
        <v/>
      </c>
    </row>
    <row r="388" spans="1:20" x14ac:dyDescent="0.3">
      <c r="A388" s="1"/>
      <c r="B388" s="2"/>
      <c r="C388" s="5" t="str">
        <f t="shared" si="44"/>
        <v xml:space="preserve"> </v>
      </c>
      <c r="D388" s="2"/>
      <c r="E388" s="3"/>
      <c r="F388" s="4"/>
      <c r="G388" s="5"/>
      <c r="H388" s="5"/>
      <c r="I388" s="5" t="str">
        <f t="shared" si="45"/>
        <v xml:space="preserve"> </v>
      </c>
      <c r="J388" s="33"/>
      <c r="K388" s="5" t="str">
        <f t="shared" si="46"/>
        <v xml:space="preserve"> </v>
      </c>
      <c r="L388" s="3" t="str">
        <f t="shared" si="47"/>
        <v xml:space="preserve"> </v>
      </c>
      <c r="M388" s="3" t="str">
        <f>IF(E388&gt;0,IFERROR(VLOOKUP($E388,'[2]Table 1'!$B$2:$I$147,8,0),"0.00")," ")</f>
        <v xml:space="preserve"> </v>
      </c>
      <c r="N388" s="6" t="str">
        <f t="shared" si="49"/>
        <v xml:space="preserve"> </v>
      </c>
      <c r="O388" s="7" t="str">
        <f>IF(IF(COUNTIF($B$5:B388,B388)&gt;1," ",SUMIF($B$5:$B$423,B388,$J$5:$J$423))=0," ",IF(COUNTIF($B$5:B388,B388)&gt;1," ",SUMIF($B$5:$B$423,B388,$J$5:$J$423)))</f>
        <v xml:space="preserve"> </v>
      </c>
      <c r="P388" s="8" t="str">
        <f>IF(IF(COUNTIF($B$5:B388,B388)&gt;1," ",SUMIF($B$5:$B$423,B388,$L$5:$L$423))=0," ",IF(COUNTIF($B$5:B388,B388)&gt;1," ",SUMIF($B$5:$B$423,B388,$L$5:$L$423)))</f>
        <v xml:space="preserve"> </v>
      </c>
      <c r="Q388" s="8" t="str">
        <f t="shared" si="51"/>
        <v xml:space="preserve"> </v>
      </c>
      <c r="R388" s="8" t="str">
        <f t="shared" si="52"/>
        <v xml:space="preserve"> </v>
      </c>
      <c r="S388" s="48" t="str">
        <f t="shared" si="48"/>
        <v xml:space="preserve"> </v>
      </c>
      <c r="T388" s="14" t="str">
        <f>IF(F388&gt;0,IFERROR(VLOOKUP($F388,[1]Sheet1!$C$3:$L$3445,10,0),"EOSS"),"")</f>
        <v/>
      </c>
    </row>
    <row r="389" spans="1:20" x14ac:dyDescent="0.3">
      <c r="A389" s="1"/>
      <c r="B389" s="2"/>
      <c r="C389" s="5" t="str">
        <f t="shared" ref="C389:C403" si="53">IF($B389=0," ","Cash")</f>
        <v xml:space="preserve"> </v>
      </c>
      <c r="D389" s="2"/>
      <c r="E389" s="3"/>
      <c r="F389" s="4"/>
      <c r="G389" s="5"/>
      <c r="H389" s="5"/>
      <c r="I389" s="5" t="str">
        <f t="shared" ref="I389:I403" si="54">IF(H389&gt;0,$C$3," ")</f>
        <v xml:space="preserve"> </v>
      </c>
      <c r="J389" s="33"/>
      <c r="K389" s="5" t="str">
        <f t="shared" ref="K389:K403" si="55">IF($F389=0," ","Pcs.")</f>
        <v xml:space="preserve"> </v>
      </c>
      <c r="L389" s="3" t="str">
        <f t="shared" ref="L389:L403" si="56">IF(J389*E389=0," ",J389*E389)</f>
        <v xml:space="preserve"> </v>
      </c>
      <c r="M389" s="3" t="str">
        <f>IF(E389&gt;0,IFERROR(VLOOKUP($E389,'[2]Table 1'!$B$2:$I$147,8,0),"0.00")," ")</f>
        <v xml:space="preserve"> </v>
      </c>
      <c r="N389" s="6" t="str">
        <f t="shared" si="49"/>
        <v xml:space="preserve"> </v>
      </c>
      <c r="O389" s="7" t="str">
        <f>IF(IF(COUNTIF($B$5:B389,B389)&gt;1," ",SUMIF($B$5:$B$423,B389,$J$5:$J$423))=0," ",IF(COUNTIF($B$5:B389,B389)&gt;1," ",SUMIF($B$5:$B$423,B389,$J$5:$J$423)))</f>
        <v xml:space="preserve"> </v>
      </c>
      <c r="P389" s="8" t="str">
        <f>IF(IF(COUNTIF($B$5:B389,B389)&gt;1," ",SUMIF($B$5:$B$423,B389,$L$5:$L$423))=0," ",IF(COUNTIF($B$5:B389,B389)&gt;1," ",SUMIF($B$5:$B$423,B389,$L$5:$L$423)))</f>
        <v xml:space="preserve"> </v>
      </c>
      <c r="Q389" s="8" t="str">
        <f t="shared" si="51"/>
        <v xml:space="preserve"> </v>
      </c>
      <c r="R389" s="8" t="str">
        <f t="shared" si="52"/>
        <v xml:space="preserve"> </v>
      </c>
      <c r="S389" s="48" t="str">
        <f t="shared" ref="S389:S403" si="57">IFERROR(Q389/P389," ")</f>
        <v xml:space="preserve"> </v>
      </c>
      <c r="T389" s="14" t="str">
        <f>IF(F389&gt;0,IFERROR(VLOOKUP($F389,[1]Sheet1!$C$3:$L$3445,10,0),"EOSS"),"")</f>
        <v/>
      </c>
    </row>
    <row r="390" spans="1:20" x14ac:dyDescent="0.3">
      <c r="A390" s="1"/>
      <c r="B390" s="2"/>
      <c r="C390" s="5" t="str">
        <f t="shared" si="53"/>
        <v xml:space="preserve"> </v>
      </c>
      <c r="D390" s="2"/>
      <c r="E390" s="3"/>
      <c r="F390" s="4"/>
      <c r="G390" s="5"/>
      <c r="H390" s="5"/>
      <c r="I390" s="5" t="str">
        <f t="shared" si="54"/>
        <v xml:space="preserve"> </v>
      </c>
      <c r="J390" s="33"/>
      <c r="K390" s="5" t="str">
        <f t="shared" si="55"/>
        <v xml:space="preserve"> </v>
      </c>
      <c r="L390" s="3" t="str">
        <f t="shared" si="56"/>
        <v xml:space="preserve"> </v>
      </c>
      <c r="M390" s="3" t="str">
        <f>IF(E390&gt;0,IFERROR(VLOOKUP($E390,'[2]Table 1'!$B$2:$I$147,8,0),"0.00")," ")</f>
        <v xml:space="preserve"> </v>
      </c>
      <c r="N390" s="6" t="str">
        <f t="shared" ref="N390:N402" si="58">IFERROR(L390+M390," ")</f>
        <v xml:space="preserve"> </v>
      </c>
      <c r="O390" s="7" t="str">
        <f>IF(IF(COUNTIF($B$5:B390,B390)&gt;1," ",SUMIF($B$5:$B$423,B390,$J$5:$J$423))=0," ",IF(COUNTIF($B$5:B390,B390)&gt;1," ",SUMIF($B$5:$B$423,B390,$J$5:$J$423)))</f>
        <v xml:space="preserve"> </v>
      </c>
      <c r="P390" s="8" t="str">
        <f>IF(IF(COUNTIF($B$5:B390,B390)&gt;1," ",SUMIF($B$5:$B$423,B390,$L$5:$L$423))=0," ",IF(COUNTIF($B$5:B390,B390)&gt;1," ",SUMIF($B$5:$B$423,B390,$L$5:$L$423)))</f>
        <v xml:space="preserve"> </v>
      </c>
      <c r="Q390" s="8" t="str">
        <f t="shared" si="51"/>
        <v xml:space="preserve"> </v>
      </c>
      <c r="R390" s="8" t="str">
        <f t="shared" si="52"/>
        <v xml:space="preserve"> </v>
      </c>
      <c r="S390" s="48" t="str">
        <f t="shared" si="57"/>
        <v xml:space="preserve"> </v>
      </c>
      <c r="T390" s="14" t="str">
        <f>IF(F390&gt;0,IFERROR(VLOOKUP($F390,[1]Sheet1!$C$3:$L$3445,10,0),"EOSS"),"")</f>
        <v/>
      </c>
    </row>
    <row r="391" spans="1:20" x14ac:dyDescent="0.3">
      <c r="A391" s="1"/>
      <c r="B391" s="2"/>
      <c r="C391" s="5" t="str">
        <f t="shared" si="53"/>
        <v xml:space="preserve"> </v>
      </c>
      <c r="D391" s="2"/>
      <c r="E391" s="3"/>
      <c r="F391" s="4"/>
      <c r="G391" s="5"/>
      <c r="H391" s="5"/>
      <c r="I391" s="5" t="str">
        <f t="shared" si="54"/>
        <v xml:space="preserve"> </v>
      </c>
      <c r="J391" s="33"/>
      <c r="K391" s="5" t="str">
        <f t="shared" si="55"/>
        <v xml:space="preserve"> </v>
      </c>
      <c r="L391" s="3" t="str">
        <f t="shared" si="56"/>
        <v xml:space="preserve"> </v>
      </c>
      <c r="M391" s="3" t="str">
        <f>IF(E391&gt;0,IFERROR(VLOOKUP($E391,'[2]Table 1'!$B$2:$I$147,8,0),"0.00")," ")</f>
        <v xml:space="preserve"> </v>
      </c>
      <c r="N391" s="6" t="str">
        <f t="shared" si="58"/>
        <v xml:space="preserve"> </v>
      </c>
      <c r="O391" s="7" t="str">
        <f>IF(IF(COUNTIF($B$5:B391,B391)&gt;1," ",SUMIF($B$5:$B$423,B391,$J$5:$J$423))=0," ",IF(COUNTIF($B$5:B391,B391)&gt;1," ",SUMIF($B$5:$B$423,B391,$J$5:$J$423)))</f>
        <v xml:space="preserve"> </v>
      </c>
      <c r="P391" s="8" t="str">
        <f>IF(IF(COUNTIF($B$5:B391,B391)&gt;1," ",SUMIF($B$5:$B$423,B391,$L$5:$L$423))=0," ",IF(COUNTIF($B$5:B391,B391)&gt;1," ",SUMIF($B$5:$B$423,B391,$L$5:$L$423)))</f>
        <v xml:space="preserve"> </v>
      </c>
      <c r="Q391" s="8" t="str">
        <f t="shared" si="51"/>
        <v xml:space="preserve"> </v>
      </c>
      <c r="R391" s="8" t="str">
        <f t="shared" si="52"/>
        <v xml:space="preserve"> </v>
      </c>
      <c r="S391" s="48" t="str">
        <f t="shared" si="57"/>
        <v xml:space="preserve"> </v>
      </c>
      <c r="T391" s="14" t="str">
        <f>IF(F391&gt;0,IFERROR(VLOOKUP($F391,[1]Sheet1!$C$3:$L$3445,10,0),"EOSS"),"")</f>
        <v/>
      </c>
    </row>
    <row r="392" spans="1:20" x14ac:dyDescent="0.3">
      <c r="A392" s="1"/>
      <c r="B392" s="2"/>
      <c r="C392" s="5" t="str">
        <f t="shared" si="53"/>
        <v xml:space="preserve"> </v>
      </c>
      <c r="D392" s="2"/>
      <c r="E392" s="3"/>
      <c r="F392" s="4"/>
      <c r="G392" s="5"/>
      <c r="H392" s="5"/>
      <c r="I392" s="5" t="str">
        <f t="shared" si="54"/>
        <v xml:space="preserve"> </v>
      </c>
      <c r="J392" s="33"/>
      <c r="K392" s="5" t="str">
        <f t="shared" si="55"/>
        <v xml:space="preserve"> </v>
      </c>
      <c r="L392" s="3" t="str">
        <f t="shared" si="56"/>
        <v xml:space="preserve"> </v>
      </c>
      <c r="M392" s="3" t="str">
        <f>IF(E392&gt;0,IFERROR(VLOOKUP($E392,'[2]Table 1'!$B$2:$I$147,8,0),"0.00")," ")</f>
        <v xml:space="preserve"> </v>
      </c>
      <c r="N392" s="6" t="str">
        <f t="shared" si="58"/>
        <v xml:space="preserve"> </v>
      </c>
      <c r="O392" s="7" t="str">
        <f>IF(IF(COUNTIF($B$5:B392,B392)&gt;1," ",SUMIF($B$5:$B$423,B392,$J$5:$J$423))=0," ",IF(COUNTIF($B$5:B392,B392)&gt;1," ",SUMIF($B$5:$B$423,B392,$J$5:$J$423)))</f>
        <v xml:space="preserve"> </v>
      </c>
      <c r="P392" s="8" t="str">
        <f>IF(IF(COUNTIF($B$5:B392,B392)&gt;1," ",SUMIF($B$5:$B$423,B392,$L$5:$L$423))=0," ",IF(COUNTIF($B$5:B392,B392)&gt;1," ",SUMIF($B$5:$B$423,B392,$L$5:$L$423)))</f>
        <v xml:space="preserve"> </v>
      </c>
      <c r="Q392" s="8" t="str">
        <f t="shared" si="51"/>
        <v xml:space="preserve"> </v>
      </c>
      <c r="R392" s="8" t="str">
        <f t="shared" si="52"/>
        <v xml:space="preserve"> </v>
      </c>
      <c r="S392" s="48" t="str">
        <f t="shared" si="57"/>
        <v xml:space="preserve"> </v>
      </c>
      <c r="T392" s="14" t="str">
        <f>IF(F392&gt;0,IFERROR(VLOOKUP($F392,[1]Sheet1!$C$3:$L$3445,10,0),"EOSS"),"")</f>
        <v/>
      </c>
    </row>
    <row r="393" spans="1:20" x14ac:dyDescent="0.3">
      <c r="A393" s="1"/>
      <c r="B393" s="2"/>
      <c r="C393" s="5" t="str">
        <f t="shared" si="53"/>
        <v xml:space="preserve"> </v>
      </c>
      <c r="D393" s="2"/>
      <c r="E393" s="3"/>
      <c r="F393" s="4"/>
      <c r="G393" s="5"/>
      <c r="H393" s="5"/>
      <c r="I393" s="5" t="str">
        <f t="shared" si="54"/>
        <v xml:space="preserve"> </v>
      </c>
      <c r="J393" s="33"/>
      <c r="K393" s="5" t="str">
        <f t="shared" si="55"/>
        <v xml:space="preserve"> </v>
      </c>
      <c r="L393" s="3" t="str">
        <f t="shared" si="56"/>
        <v xml:space="preserve"> </v>
      </c>
      <c r="M393" s="3" t="str">
        <f>IF(E393&gt;0,IFERROR(VLOOKUP($E393,'[2]Table 1'!$B$2:$I$147,8,0),"0.00")," ")</f>
        <v xml:space="preserve"> </v>
      </c>
      <c r="N393" s="6" t="str">
        <f t="shared" si="58"/>
        <v xml:space="preserve"> </v>
      </c>
      <c r="O393" s="7" t="str">
        <f>IF(IF(COUNTIF($B$5:B393,B393)&gt;1," ",SUMIF($B$5:$B$423,B393,$J$5:$J$423))=0," ",IF(COUNTIF($B$5:B393,B393)&gt;1," ",SUMIF($B$5:$B$423,B393,$J$5:$J$423)))</f>
        <v xml:space="preserve"> </v>
      </c>
      <c r="P393" s="8" t="str">
        <f>IF(IF(COUNTIF($B$5:B393,B393)&gt;1," ",SUMIF($B$5:$B$423,B393,$L$5:$L$423))=0," ",IF(COUNTIF($B$5:B393,B393)&gt;1," ",SUMIF($B$5:$B$423,B393,$L$5:$L$423)))</f>
        <v xml:space="preserve"> </v>
      </c>
      <c r="Q393" s="8" t="str">
        <f t="shared" si="51"/>
        <v xml:space="preserve"> </v>
      </c>
      <c r="R393" s="8" t="str">
        <f t="shared" si="52"/>
        <v xml:space="preserve"> </v>
      </c>
      <c r="S393" s="48" t="str">
        <f t="shared" si="57"/>
        <v xml:space="preserve"> </v>
      </c>
      <c r="T393" s="14" t="str">
        <f>IF(F393&gt;0,IFERROR(VLOOKUP($F393,[1]Sheet1!$C$3:$L$3445,10,0),"EOSS"),"")</f>
        <v/>
      </c>
    </row>
    <row r="394" spans="1:20" x14ac:dyDescent="0.3">
      <c r="A394" s="1"/>
      <c r="B394" s="2"/>
      <c r="C394" s="5" t="str">
        <f t="shared" si="53"/>
        <v xml:space="preserve"> </v>
      </c>
      <c r="D394" s="2"/>
      <c r="E394" s="3"/>
      <c r="F394" s="4"/>
      <c r="G394" s="5"/>
      <c r="H394" s="5"/>
      <c r="I394" s="5" t="str">
        <f t="shared" si="54"/>
        <v xml:space="preserve"> </v>
      </c>
      <c r="J394" s="33"/>
      <c r="K394" s="5" t="str">
        <f t="shared" si="55"/>
        <v xml:space="preserve"> </v>
      </c>
      <c r="L394" s="3" t="str">
        <f t="shared" si="56"/>
        <v xml:space="preserve"> </v>
      </c>
      <c r="M394" s="3" t="str">
        <f>IF(E394&gt;0,IFERROR(VLOOKUP($E394,'[2]Table 1'!$B$2:$I$147,8,0),"0.00")," ")</f>
        <v xml:space="preserve"> </v>
      </c>
      <c r="N394" s="6" t="str">
        <f t="shared" si="58"/>
        <v xml:space="preserve"> </v>
      </c>
      <c r="O394" s="7" t="str">
        <f>IF(IF(COUNTIF($B$5:B394,B394)&gt;1," ",SUMIF($B$5:$B$423,B394,$J$5:$J$423))=0," ",IF(COUNTIF($B$5:B394,B394)&gt;1," ",SUMIF($B$5:$B$423,B394,$J$5:$J$423)))</f>
        <v xml:space="preserve"> </v>
      </c>
      <c r="P394" s="8" t="str">
        <f>IF(IF(COUNTIF($B$5:B394,B394)&gt;1," ",SUMIF($B$5:$B$423,B394,$L$5:$L$423))=0," ",IF(COUNTIF($B$5:B394,B394)&gt;1," ",SUMIF($B$5:$B$423,B394,$L$5:$L$423)))</f>
        <v xml:space="preserve"> </v>
      </c>
      <c r="Q394" s="8" t="str">
        <f t="shared" si="51"/>
        <v xml:space="preserve"> </v>
      </c>
      <c r="R394" s="8" t="str">
        <f t="shared" si="52"/>
        <v xml:space="preserve"> </v>
      </c>
      <c r="S394" s="48" t="str">
        <f t="shared" si="57"/>
        <v xml:space="preserve"> </v>
      </c>
      <c r="T394" s="14" t="str">
        <f>IF(F394&gt;0,IFERROR(VLOOKUP($F394,[1]Sheet1!$C$3:$L$3445,10,0),"EOSS"),"")</f>
        <v/>
      </c>
    </row>
    <row r="395" spans="1:20" x14ac:dyDescent="0.3">
      <c r="A395" s="1"/>
      <c r="B395" s="2"/>
      <c r="C395" s="5" t="str">
        <f t="shared" si="53"/>
        <v xml:space="preserve"> </v>
      </c>
      <c r="D395" s="2"/>
      <c r="E395" s="3"/>
      <c r="F395" s="4"/>
      <c r="G395" s="5"/>
      <c r="H395" s="5"/>
      <c r="I395" s="5" t="str">
        <f t="shared" si="54"/>
        <v xml:space="preserve"> </v>
      </c>
      <c r="J395" s="33"/>
      <c r="K395" s="5" t="str">
        <f t="shared" si="55"/>
        <v xml:space="preserve"> </v>
      </c>
      <c r="L395" s="3" t="str">
        <f t="shared" si="56"/>
        <v xml:space="preserve"> </v>
      </c>
      <c r="M395" s="3" t="str">
        <f>IF(E395&gt;0,IFERROR(VLOOKUP($E395,'[2]Table 1'!$B$2:$I$147,8,0),"0.00")," ")</f>
        <v xml:space="preserve"> </v>
      </c>
      <c r="N395" s="6" t="str">
        <f t="shared" si="58"/>
        <v xml:space="preserve"> </v>
      </c>
      <c r="O395" s="7" t="str">
        <f>IF(IF(COUNTIF($B$5:B395,B395)&gt;1," ",SUMIF($B$5:$B$423,B395,$J$5:$J$423))=0," ",IF(COUNTIF($B$5:B395,B395)&gt;1," ",SUMIF($B$5:$B$423,B395,$J$5:$J$423)))</f>
        <v xml:space="preserve"> </v>
      </c>
      <c r="P395" s="8" t="str">
        <f>IF(IF(COUNTIF($B$5:B395,B395)&gt;1," ",SUMIF($B$5:$B$423,B395,$L$5:$L$423))=0," ",IF(COUNTIF($B$5:B395,B395)&gt;1," ",SUMIF($B$5:$B$423,B395,$L$5:$L$423)))</f>
        <v xml:space="preserve"> </v>
      </c>
      <c r="Q395" s="8" t="str">
        <f t="shared" si="51"/>
        <v xml:space="preserve"> </v>
      </c>
      <c r="R395" s="8" t="str">
        <f t="shared" si="52"/>
        <v xml:space="preserve"> </v>
      </c>
      <c r="S395" s="48" t="str">
        <f t="shared" si="57"/>
        <v xml:space="preserve"> </v>
      </c>
      <c r="T395" s="14" t="str">
        <f>IF(F395&gt;0,IFERROR(VLOOKUP($F395,[1]Sheet1!$C$3:$L$3445,10,0),"EOSS"),"")</f>
        <v/>
      </c>
    </row>
    <row r="396" spans="1:20" x14ac:dyDescent="0.3">
      <c r="A396" s="1"/>
      <c r="B396" s="2"/>
      <c r="C396" s="5" t="str">
        <f t="shared" si="53"/>
        <v xml:space="preserve"> </v>
      </c>
      <c r="D396" s="2"/>
      <c r="E396" s="3"/>
      <c r="F396" s="4"/>
      <c r="G396" s="5"/>
      <c r="H396" s="5"/>
      <c r="I396" s="5" t="str">
        <f t="shared" si="54"/>
        <v xml:space="preserve"> </v>
      </c>
      <c r="J396" s="33"/>
      <c r="K396" s="5" t="str">
        <f t="shared" si="55"/>
        <v xml:space="preserve"> </v>
      </c>
      <c r="L396" s="3" t="str">
        <f t="shared" si="56"/>
        <v xml:space="preserve"> </v>
      </c>
      <c r="M396" s="3" t="str">
        <f>IF(E396&gt;0,IFERROR(VLOOKUP($E396,'[2]Table 1'!$B$2:$I$147,8,0),"0.00")," ")</f>
        <v xml:space="preserve"> </v>
      </c>
      <c r="N396" s="6" t="str">
        <f t="shared" si="58"/>
        <v xml:space="preserve"> </v>
      </c>
      <c r="O396" s="7" t="str">
        <f>IF(IF(COUNTIF($B$5:B396,B396)&gt;1," ",SUMIF($B$5:$B$423,B396,$J$5:$J$423))=0," ",IF(COUNTIF($B$5:B396,B396)&gt;1," ",SUMIF($B$5:$B$423,B396,$J$5:$J$423)))</f>
        <v xml:space="preserve"> </v>
      </c>
      <c r="P396" s="8" t="str">
        <f>IF(IF(COUNTIF($B$5:B396,B396)&gt;1," ",SUMIF($B$5:$B$423,B396,$L$5:$L$423))=0," ",IF(COUNTIF($B$5:B396,B396)&gt;1," ",SUMIF($B$5:$B$423,B396,$L$5:$L$423)))</f>
        <v xml:space="preserve"> </v>
      </c>
      <c r="Q396" s="8" t="str">
        <f t="shared" si="51"/>
        <v xml:space="preserve"> </v>
      </c>
      <c r="R396" s="8" t="str">
        <f t="shared" si="52"/>
        <v xml:space="preserve"> </v>
      </c>
      <c r="S396" s="48" t="str">
        <f t="shared" si="57"/>
        <v xml:space="preserve"> </v>
      </c>
      <c r="T396" s="14" t="str">
        <f>IF(F396&gt;0,IFERROR(VLOOKUP($F396,[1]Sheet1!$C$3:$L$3445,10,0),"EOSS"),"")</f>
        <v/>
      </c>
    </row>
    <row r="397" spans="1:20" x14ac:dyDescent="0.3">
      <c r="A397" s="1"/>
      <c r="B397" s="2"/>
      <c r="C397" s="5" t="str">
        <f t="shared" si="53"/>
        <v xml:space="preserve"> </v>
      </c>
      <c r="D397" s="2"/>
      <c r="E397" s="3"/>
      <c r="F397" s="4"/>
      <c r="G397" s="5"/>
      <c r="H397" s="5"/>
      <c r="I397" s="5" t="str">
        <f t="shared" si="54"/>
        <v xml:space="preserve"> </v>
      </c>
      <c r="J397" s="33"/>
      <c r="K397" s="5" t="str">
        <f t="shared" si="55"/>
        <v xml:space="preserve"> </v>
      </c>
      <c r="L397" s="3" t="str">
        <f t="shared" si="56"/>
        <v xml:space="preserve"> </v>
      </c>
      <c r="M397" s="3" t="str">
        <f>IF(E397&gt;0,IFERROR(VLOOKUP($E397,'[2]Table 1'!$B$2:$I$147,8,0),"0.00")," ")</f>
        <v xml:space="preserve"> </v>
      </c>
      <c r="N397" s="6" t="str">
        <f t="shared" si="58"/>
        <v xml:space="preserve"> </v>
      </c>
      <c r="O397" s="7" t="str">
        <f>IF(IF(COUNTIF($B$5:B397,B397)&gt;1," ",SUMIF($B$5:$B$423,B397,$J$5:$J$423))=0," ",IF(COUNTIF($B$5:B397,B397)&gt;1," ",SUMIF($B$5:$B$423,B397,$J$5:$J$423)))</f>
        <v xml:space="preserve"> </v>
      </c>
      <c r="P397" s="8" t="str">
        <f>IF(IF(COUNTIF($B$5:B397,B397)&gt;1," ",SUMIF($B$5:$B$423,B397,$L$5:$L$423))=0," ",IF(COUNTIF($B$5:B397,B397)&gt;1," ",SUMIF($B$5:$B$423,B397,$L$5:$L$423)))</f>
        <v xml:space="preserve"> </v>
      </c>
      <c r="Q397" s="8" t="str">
        <f t="shared" si="51"/>
        <v xml:space="preserve"> </v>
      </c>
      <c r="R397" s="8" t="str">
        <f t="shared" si="52"/>
        <v xml:space="preserve"> </v>
      </c>
      <c r="S397" s="48" t="str">
        <f t="shared" si="57"/>
        <v xml:space="preserve"> </v>
      </c>
      <c r="T397" s="14" t="str">
        <f>IF(F397&gt;0,IFERROR(VLOOKUP($F397,[1]Sheet1!$C$3:$L$3445,10,0),"EOSS"),"")</f>
        <v/>
      </c>
    </row>
    <row r="398" spans="1:20" x14ac:dyDescent="0.3">
      <c r="A398" s="1"/>
      <c r="B398" s="2"/>
      <c r="C398" s="5" t="str">
        <f t="shared" si="53"/>
        <v xml:space="preserve"> </v>
      </c>
      <c r="D398" s="2"/>
      <c r="E398" s="3"/>
      <c r="F398" s="4"/>
      <c r="G398" s="5"/>
      <c r="H398" s="5"/>
      <c r="I398" s="5" t="str">
        <f t="shared" si="54"/>
        <v xml:space="preserve"> </v>
      </c>
      <c r="J398" s="33"/>
      <c r="K398" s="5" t="str">
        <f t="shared" si="55"/>
        <v xml:space="preserve"> </v>
      </c>
      <c r="L398" s="3" t="str">
        <f t="shared" si="56"/>
        <v xml:space="preserve"> </v>
      </c>
      <c r="M398" s="3" t="str">
        <f>IF(E398&gt;0,IFERROR(VLOOKUP($E398,'[2]Table 1'!$B$2:$I$147,8,0),"0.00")," ")</f>
        <v xml:space="preserve"> </v>
      </c>
      <c r="N398" s="6" t="str">
        <f t="shared" si="58"/>
        <v xml:space="preserve"> </v>
      </c>
      <c r="O398" s="7" t="str">
        <f>IF(IF(COUNTIF($B$5:B398,B398)&gt;1," ",SUMIF($B$5:$B$423,B398,$J$5:$J$423))=0," ",IF(COUNTIF($B$5:B398,B398)&gt;1," ",SUMIF($B$5:$B$423,B398,$J$5:$J$423)))</f>
        <v xml:space="preserve"> </v>
      </c>
      <c r="P398" s="8" t="str">
        <f>IF(IF(COUNTIF($B$5:B398,B398)&gt;1," ",SUMIF($B$5:$B$423,B398,$L$5:$L$423))=0," ",IF(COUNTIF($B$5:B398,B398)&gt;1," ",SUMIF($B$5:$B$423,B398,$L$5:$L$423)))</f>
        <v xml:space="preserve"> </v>
      </c>
      <c r="Q398" s="8" t="str">
        <f t="shared" si="51"/>
        <v xml:space="preserve"> </v>
      </c>
      <c r="R398" s="8" t="str">
        <f t="shared" si="52"/>
        <v xml:space="preserve"> </v>
      </c>
      <c r="S398" s="48" t="str">
        <f t="shared" si="57"/>
        <v xml:space="preserve"> </v>
      </c>
      <c r="T398" s="14" t="str">
        <f>IF(F398&gt;0,IFERROR(VLOOKUP($F398,[1]Sheet1!$C$3:$L$3445,10,0),"EOSS"),"")</f>
        <v/>
      </c>
    </row>
    <row r="399" spans="1:20" x14ac:dyDescent="0.3">
      <c r="A399" s="1"/>
      <c r="B399" s="2"/>
      <c r="C399" s="5" t="str">
        <f t="shared" si="53"/>
        <v xml:space="preserve"> </v>
      </c>
      <c r="D399" s="2"/>
      <c r="E399" s="3"/>
      <c r="F399" s="4"/>
      <c r="G399" s="5"/>
      <c r="H399" s="5"/>
      <c r="I399" s="5" t="str">
        <f t="shared" si="54"/>
        <v xml:space="preserve"> </v>
      </c>
      <c r="J399" s="33"/>
      <c r="K399" s="5" t="str">
        <f t="shared" si="55"/>
        <v xml:space="preserve"> </v>
      </c>
      <c r="L399" s="3" t="str">
        <f t="shared" si="56"/>
        <v xml:space="preserve"> </v>
      </c>
      <c r="M399" s="3" t="str">
        <f>IF(E399&gt;0,IFERROR(VLOOKUP($E399,'[2]Table 1'!$B$2:$I$147,8,0),"0.00")," ")</f>
        <v xml:space="preserve"> </v>
      </c>
      <c r="N399" s="6" t="str">
        <f t="shared" si="58"/>
        <v xml:space="preserve"> </v>
      </c>
      <c r="O399" s="7" t="str">
        <f>IF(IF(COUNTIF($B$5:B399,B399)&gt;1," ",SUMIF($B$5:$B$423,B399,$J$5:$J$423))=0," ",IF(COUNTIF($B$5:B399,B399)&gt;1," ",SUMIF($B$5:$B$423,B399,$J$5:$J$423)))</f>
        <v xml:space="preserve"> </v>
      </c>
      <c r="P399" s="8" t="str">
        <f>IF(IF(COUNTIF($B$5:B399,B399)&gt;1," ",SUMIF($B$5:$B$423,B399,$L$5:$L$423))=0," ",IF(COUNTIF($B$5:B399,B399)&gt;1," ",SUMIF($B$5:$B$423,B399,$L$5:$L$423)))</f>
        <v xml:space="preserve"> </v>
      </c>
      <c r="Q399" s="8" t="str">
        <f t="shared" si="51"/>
        <v xml:space="preserve"> </v>
      </c>
      <c r="R399" s="8" t="str">
        <f t="shared" si="52"/>
        <v xml:space="preserve"> </v>
      </c>
      <c r="S399" s="48" t="str">
        <f t="shared" si="57"/>
        <v xml:space="preserve"> </v>
      </c>
      <c r="T399" s="14" t="str">
        <f>IF(F399&gt;0,IFERROR(VLOOKUP($F399,[1]Sheet1!$C$3:$L$3445,10,0),"EOSS"),"")</f>
        <v/>
      </c>
    </row>
    <row r="400" spans="1:20" x14ac:dyDescent="0.3">
      <c r="A400" s="1"/>
      <c r="B400" s="2"/>
      <c r="C400" s="5" t="str">
        <f t="shared" si="53"/>
        <v xml:space="preserve"> </v>
      </c>
      <c r="D400" s="2"/>
      <c r="E400" s="3"/>
      <c r="F400" s="4"/>
      <c r="G400" s="5"/>
      <c r="H400" s="5"/>
      <c r="I400" s="5" t="str">
        <f t="shared" si="54"/>
        <v xml:space="preserve"> </v>
      </c>
      <c r="J400" s="33"/>
      <c r="K400" s="5" t="str">
        <f t="shared" si="55"/>
        <v xml:space="preserve"> </v>
      </c>
      <c r="L400" s="3" t="str">
        <f t="shared" si="56"/>
        <v xml:space="preserve"> </v>
      </c>
      <c r="M400" s="3" t="str">
        <f>IF(E400&gt;0,IFERROR(VLOOKUP($E400,'[2]Table 1'!$B$2:$I$147,8,0),"0.00")," ")</f>
        <v xml:space="preserve"> </v>
      </c>
      <c r="N400" s="6" t="str">
        <f t="shared" si="58"/>
        <v xml:space="preserve"> </v>
      </c>
      <c r="O400" s="7" t="str">
        <f>IF(IF(COUNTIF($B$5:B400,B400)&gt;1," ",SUMIF($B$5:$B$423,B400,$J$5:$J$423))=0," ",IF(COUNTIF($B$5:B400,B400)&gt;1," ",SUMIF($B$5:$B$423,B400,$J$5:$J$423)))</f>
        <v xml:space="preserve"> </v>
      </c>
      <c r="P400" s="8" t="str">
        <f>IF(IF(COUNTIF($B$5:B400,B400)&gt;1," ",SUMIF($B$5:$B$423,B400,$L$5:$L$423))=0," ",IF(COUNTIF($B$5:B400,B400)&gt;1," ",SUMIF($B$5:$B$423,B400,$L$5:$L$423)))</f>
        <v xml:space="preserve"> </v>
      </c>
      <c r="Q400" s="8" t="str">
        <f t="shared" si="51"/>
        <v xml:space="preserve"> </v>
      </c>
      <c r="R400" s="8" t="str">
        <f t="shared" si="52"/>
        <v xml:space="preserve"> </v>
      </c>
      <c r="S400" s="48" t="str">
        <f t="shared" si="57"/>
        <v xml:space="preserve"> </v>
      </c>
      <c r="T400" s="14" t="str">
        <f>IF(F400&gt;0,IFERROR(VLOOKUP($F400,[1]Sheet1!$C$3:$L$3445,10,0),"EOSS"),"")</f>
        <v/>
      </c>
    </row>
    <row r="401" spans="1:20" x14ac:dyDescent="0.3">
      <c r="A401" s="1"/>
      <c r="B401" s="2"/>
      <c r="C401" s="5" t="str">
        <f t="shared" si="53"/>
        <v xml:space="preserve"> </v>
      </c>
      <c r="D401" s="2"/>
      <c r="E401" s="3"/>
      <c r="F401" s="4"/>
      <c r="G401" s="5"/>
      <c r="H401" s="5"/>
      <c r="I401" s="5" t="str">
        <f t="shared" si="54"/>
        <v xml:space="preserve"> </v>
      </c>
      <c r="J401" s="33"/>
      <c r="K401" s="5" t="str">
        <f t="shared" si="55"/>
        <v xml:space="preserve"> </v>
      </c>
      <c r="L401" s="3" t="str">
        <f t="shared" si="56"/>
        <v xml:space="preserve"> </v>
      </c>
      <c r="M401" s="3" t="str">
        <f>IF(E401&gt;0,IFERROR(VLOOKUP($E401,'[2]Table 1'!$B$2:$I$147,8,0),"0.00")," ")</f>
        <v xml:space="preserve"> </v>
      </c>
      <c r="N401" s="6" t="str">
        <f t="shared" si="58"/>
        <v xml:space="preserve"> </v>
      </c>
      <c r="O401" s="7" t="str">
        <f>IF(IF(COUNTIF($B$5:B401,B401)&gt;1," ",SUMIF($B$5:$B$423,B401,$J$5:$J$423))=0," ",IF(COUNTIF($B$5:B401,B401)&gt;1," ",SUMIF($B$5:$B$423,B401,$J$5:$J$423)))</f>
        <v xml:space="preserve"> </v>
      </c>
      <c r="P401" s="8" t="str">
        <f>IF(IF(COUNTIF($B$5:B401,B401)&gt;1," ",SUMIF($B$5:$B$423,B401,$L$5:$L$423))=0," ",IF(COUNTIF($B$5:B401,B401)&gt;1," ",SUMIF($B$5:$B$423,B401,$L$5:$L$423)))</f>
        <v xml:space="preserve"> </v>
      </c>
      <c r="Q401" s="8" t="str">
        <f t="shared" si="51"/>
        <v xml:space="preserve"> </v>
      </c>
      <c r="R401" s="8" t="str">
        <f t="shared" si="52"/>
        <v xml:space="preserve"> </v>
      </c>
      <c r="S401" s="48" t="str">
        <f t="shared" si="57"/>
        <v xml:space="preserve"> </v>
      </c>
      <c r="T401" s="14" t="str">
        <f>IF(F401&gt;0,IFERROR(VLOOKUP($F401,[1]Sheet1!$C$3:$L$3445,10,0),"EOSS"),"")</f>
        <v/>
      </c>
    </row>
    <row r="402" spans="1:20" x14ac:dyDescent="0.3">
      <c r="A402" s="1"/>
      <c r="B402" s="2"/>
      <c r="C402" s="5" t="str">
        <f t="shared" si="53"/>
        <v xml:space="preserve"> </v>
      </c>
      <c r="D402" s="2"/>
      <c r="E402" s="3"/>
      <c r="F402" s="4"/>
      <c r="G402" s="5"/>
      <c r="H402" s="5"/>
      <c r="I402" s="5" t="str">
        <f t="shared" si="54"/>
        <v xml:space="preserve"> </v>
      </c>
      <c r="J402" s="33"/>
      <c r="K402" s="5" t="str">
        <f t="shared" si="55"/>
        <v xml:space="preserve"> </v>
      </c>
      <c r="L402" s="3" t="str">
        <f t="shared" si="56"/>
        <v xml:space="preserve"> </v>
      </c>
      <c r="M402" s="3" t="str">
        <f>IF(E402&gt;0,IFERROR(VLOOKUP($E402,'[2]Table 1'!$B$2:$I$147,8,0),"0.00")," ")</f>
        <v xml:space="preserve"> </v>
      </c>
      <c r="N402" s="6" t="str">
        <f t="shared" si="58"/>
        <v xml:space="preserve"> </v>
      </c>
      <c r="O402" s="7" t="str">
        <f>IF(IF(COUNTIF($B$5:B402,B402)&gt;1," ",SUMIF($B$5:$B$423,B402,$J$5:$J$423))=0," ",IF(COUNTIF($B$5:B402,B402)&gt;1," ",SUMIF($B$5:$B$423,B402,$J$5:$J$423)))</f>
        <v xml:space="preserve"> </v>
      </c>
      <c r="P402" s="8" t="str">
        <f>IF(IF(COUNTIF($B$5:B402,B402)&gt;1," ",SUMIF($B$5:$B$423,B402,$L$5:$L$423))=0," ",IF(COUNTIF($B$5:B402,B402)&gt;1," ",SUMIF($B$5:$B$423,B402,$L$5:$L$423)))</f>
        <v xml:space="preserve"> </v>
      </c>
      <c r="Q402" s="8" t="str">
        <f t="shared" si="51"/>
        <v xml:space="preserve"> </v>
      </c>
      <c r="R402" s="8" t="str">
        <f t="shared" si="52"/>
        <v xml:space="preserve"> </v>
      </c>
      <c r="S402" s="48" t="str">
        <f t="shared" si="57"/>
        <v xml:space="preserve"> </v>
      </c>
      <c r="T402" s="14" t="str">
        <f>IF(F402&gt;0,IFERROR(VLOOKUP($F402,[1]Sheet1!$C$3:$L$3445,10,0),"EOSS"),"")</f>
        <v/>
      </c>
    </row>
    <row r="403" spans="1:20" ht="15" thickBot="1" x14ac:dyDescent="0.35">
      <c r="A403" s="58"/>
      <c r="B403" s="59"/>
      <c r="C403" s="60" t="str">
        <f t="shared" si="53"/>
        <v xml:space="preserve"> </v>
      </c>
      <c r="D403" s="59"/>
      <c r="E403" s="61"/>
      <c r="F403" s="62"/>
      <c r="G403" s="60"/>
      <c r="H403" s="60"/>
      <c r="I403" s="60" t="str">
        <f t="shared" si="54"/>
        <v xml:space="preserve"> </v>
      </c>
      <c r="J403" s="63"/>
      <c r="K403" s="60" t="str">
        <f t="shared" si="55"/>
        <v xml:space="preserve"> </v>
      </c>
      <c r="L403" s="61" t="str">
        <f t="shared" si="56"/>
        <v xml:space="preserve"> </v>
      </c>
      <c r="M403" s="61" t="str">
        <f>IF(E403&gt;0,IFERROR(VLOOKUP($E403,'[2]Table 1'!$B$2:$I$147,8,0),"0.00")," ")</f>
        <v xml:space="preserve"> </v>
      </c>
      <c r="N403" s="64" t="str">
        <f t="shared" ref="N342:N403" si="59">IFERROR(L403+M403," ")</f>
        <v xml:space="preserve"> </v>
      </c>
      <c r="O403" s="7" t="str">
        <f>IF(IF(COUNTIF($B$5:B403,B403)&gt;1," ",SUMIF($B$5:$B$423,B403,$J$5:$J$423))=0," ",IF(COUNTIF($B$5:B403,B403)&gt;1," ",SUMIF($B$5:$B$423,B403,$J$5:$J$423)))</f>
        <v xml:space="preserve"> </v>
      </c>
      <c r="P403" s="8" t="str">
        <f>IF(IF(COUNTIF($B$5:B403,B403)&gt;1," ",SUMIF($B$5:$B$423,B403,$L$5:$L$423))=0," ",IF(COUNTIF($B$5:B403,B403)&gt;1," ",SUMIF($B$5:$B$423,B403,$L$5:$L$423)))</f>
        <v xml:space="preserve"> </v>
      </c>
      <c r="Q403" s="8" t="str">
        <f t="shared" si="51"/>
        <v xml:space="preserve"> </v>
      </c>
      <c r="R403" s="8" t="str">
        <f t="shared" si="52"/>
        <v xml:space="preserve"> </v>
      </c>
      <c r="S403" s="48" t="str">
        <f t="shared" si="57"/>
        <v xml:space="preserve"> </v>
      </c>
      <c r="T403" s="14" t="str">
        <f>IF(F403&gt;0,IFERROR(VLOOKUP($F403,[1]Sheet1!$C$3:$L$3445,10,0),"EOSS"),"")</f>
        <v/>
      </c>
    </row>
    <row r="404" spans="1:20" ht="18" thickBot="1" x14ac:dyDescent="0.35">
      <c r="J404" s="31">
        <f>SUBTOTAL(9,J5:J403)</f>
        <v>0</v>
      </c>
      <c r="L404" s="53">
        <f>SUBTOTAL(9,L5:L403)</f>
        <v>0</v>
      </c>
      <c r="N404" s="53">
        <f>SUBTOTAL(9,N5:N403)</f>
        <v>0</v>
      </c>
    </row>
    <row r="405" spans="1:20" ht="15" thickTop="1" x14ac:dyDescent="0.3"/>
  </sheetData>
  <autoFilter ref="A4:T403" xr:uid="{5C9744C4-3B3C-4F7F-B050-D465EE7DFC5D}">
    <sortState xmlns:xlrd2="http://schemas.microsoft.com/office/spreadsheetml/2017/richdata2" ref="A5:T403">
      <sortCondition ref="B4:B403"/>
    </sortState>
  </autoFilter>
  <mergeCells count="5">
    <mergeCell ref="A1:N1"/>
    <mergeCell ref="A2:N2"/>
    <mergeCell ref="E3:N3"/>
    <mergeCell ref="A3:B3"/>
    <mergeCell ref="C3:D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DC262-5842-4C35-BFDC-6C3A78A05E2E}">
  <dimension ref="A1:L2002"/>
  <sheetViews>
    <sheetView workbookViewId="0">
      <pane ySplit="4" topLeftCell="A5" activePane="bottomLeft" state="frozen"/>
      <selection pane="bottomLeft" activeCell="C13" sqref="C13"/>
    </sheetView>
  </sheetViews>
  <sheetFormatPr defaultRowHeight="13.8" x14ac:dyDescent="0.3"/>
  <cols>
    <col min="1" max="1" width="13.77734375" style="9" customWidth="1"/>
    <col min="2" max="2" width="16.88671875" style="9" bestFit="1" customWidth="1"/>
    <col min="3" max="3" width="19" style="28" bestFit="1" customWidth="1"/>
    <col min="4" max="4" width="8.88671875" style="9"/>
    <col min="5" max="5" width="17.6640625" style="9" bestFit="1" customWidth="1"/>
    <col min="6" max="6" width="18.88671875" style="9" customWidth="1"/>
    <col min="7" max="7" width="10.77734375" style="9" bestFit="1" customWidth="1"/>
    <col min="8" max="8" width="8.88671875" style="9"/>
    <col min="9" max="9" width="8.88671875" style="29"/>
    <col min="10" max="10" width="16.33203125" style="29" customWidth="1"/>
    <col min="11" max="11" width="10.6640625" style="9" customWidth="1"/>
    <col min="12" max="12" width="18.33203125" style="9" customWidth="1"/>
    <col min="13" max="16384" width="8.88671875" style="9"/>
  </cols>
  <sheetData>
    <row r="1" spans="1:12" ht="23.4" thickBot="1" x14ac:dyDescent="0.35">
      <c r="A1" s="70" t="s">
        <v>0</v>
      </c>
      <c r="B1" s="71"/>
      <c r="C1" s="71"/>
      <c r="D1" s="71"/>
      <c r="E1" s="71"/>
      <c r="F1" s="71"/>
      <c r="G1" s="71"/>
      <c r="H1" s="71"/>
      <c r="I1" s="71"/>
      <c r="J1" s="71"/>
      <c r="K1" s="30" t="s">
        <v>24</v>
      </c>
      <c r="L1" s="30" t="s">
        <v>25</v>
      </c>
    </row>
    <row r="2" spans="1:12" ht="18" thickBot="1" x14ac:dyDescent="0.35">
      <c r="A2" s="72" t="s">
        <v>20</v>
      </c>
      <c r="B2" s="71"/>
      <c r="C2" s="71"/>
      <c r="D2" s="71"/>
      <c r="E2" s="71"/>
      <c r="F2" s="71"/>
      <c r="G2" s="71"/>
      <c r="H2" s="71"/>
      <c r="I2" s="71"/>
      <c r="J2" s="71"/>
      <c r="K2" s="30">
        <f>IF(SUBTOTAL(9,G5:G1048576)=0," ",SUBTOTAL(9,G5:G1048576))</f>
        <v>1567</v>
      </c>
      <c r="L2" s="49">
        <f>IF(SUBTOTAL(9,J5:J1048576)=0," ",SUBTOTAL(9,J5:J1048576))</f>
        <v>3848486.1000000192</v>
      </c>
    </row>
    <row r="3" spans="1:12" ht="15.6" thickBot="1" x14ac:dyDescent="0.35">
      <c r="A3" s="73" t="s">
        <v>16</v>
      </c>
      <c r="B3" s="74"/>
      <c r="C3" s="10" t="s">
        <v>17</v>
      </c>
      <c r="D3" s="73" t="s">
        <v>33</v>
      </c>
      <c r="E3" s="75"/>
      <c r="F3" s="75"/>
      <c r="G3" s="75"/>
      <c r="H3" s="75"/>
      <c r="I3" s="75"/>
      <c r="J3" s="74"/>
    </row>
    <row r="4" spans="1:12" ht="14.4" thickBot="1" x14ac:dyDescent="0.35">
      <c r="A4" s="11" t="s">
        <v>2</v>
      </c>
      <c r="B4" s="12" t="s">
        <v>5</v>
      </c>
      <c r="C4" s="13" t="s">
        <v>7</v>
      </c>
      <c r="D4" s="12" t="s">
        <v>8</v>
      </c>
      <c r="E4" s="12" t="s">
        <v>9</v>
      </c>
      <c r="F4" s="12" t="s">
        <v>10</v>
      </c>
      <c r="G4" s="13" t="s">
        <v>11</v>
      </c>
      <c r="H4" s="12" t="s">
        <v>12</v>
      </c>
      <c r="I4" s="15" t="s">
        <v>6</v>
      </c>
      <c r="J4" s="16" t="s">
        <v>21</v>
      </c>
    </row>
    <row r="5" spans="1:12" x14ac:dyDescent="0.3">
      <c r="A5" s="17" t="str">
        <f>IF(C5&gt;0,RIGHT($D$3,10)," ")</f>
        <v>01-05-2026</v>
      </c>
      <c r="B5" s="18" t="s">
        <v>137</v>
      </c>
      <c r="C5" s="19">
        <v>8909285701669</v>
      </c>
      <c r="D5" s="18" t="s">
        <v>37</v>
      </c>
      <c r="E5" s="18" t="s">
        <v>138</v>
      </c>
      <c r="F5" s="20" t="str">
        <f>IF(C5&gt;0,$C$3," ")</f>
        <v>FLYING MACHINE</v>
      </c>
      <c r="G5" s="18">
        <v>1</v>
      </c>
      <c r="H5" s="20" t="str">
        <f t="shared" ref="H5:H68" si="0">IF(G5&gt;0,"Pcs."," ")</f>
        <v>Pcs.</v>
      </c>
      <c r="I5" s="21">
        <v>2343</v>
      </c>
      <c r="J5" s="22">
        <f t="shared" ref="J5:J68" si="1">IF(I5*G5=0," ",I5*G5)</f>
        <v>2343</v>
      </c>
    </row>
    <row r="6" spans="1:12" x14ac:dyDescent="0.3">
      <c r="A6" s="23" t="str">
        <f t="shared" ref="A6:A68" si="2">IF(C6&gt;0,RIGHT($D$3,10)," ")</f>
        <v>01-05-2026</v>
      </c>
      <c r="B6" s="24" t="s">
        <v>137</v>
      </c>
      <c r="C6" s="4">
        <v>8909285701737</v>
      </c>
      <c r="D6" s="24" t="s">
        <v>51</v>
      </c>
      <c r="E6" s="24" t="s">
        <v>139</v>
      </c>
      <c r="F6" s="25" t="str">
        <f t="shared" ref="F6:F68" si="3">IF(C6&gt;0,$C$3," ")</f>
        <v>FLYING MACHINE</v>
      </c>
      <c r="G6" s="24">
        <v>1</v>
      </c>
      <c r="H6" s="25" t="str">
        <f t="shared" si="0"/>
        <v>Pcs.</v>
      </c>
      <c r="I6" s="26">
        <v>2343</v>
      </c>
      <c r="J6" s="27">
        <f t="shared" si="1"/>
        <v>2343</v>
      </c>
    </row>
    <row r="7" spans="1:12" x14ac:dyDescent="0.3">
      <c r="A7" s="23" t="str">
        <f t="shared" si="2"/>
        <v>01-05-2026</v>
      </c>
      <c r="B7" s="24" t="s">
        <v>137</v>
      </c>
      <c r="C7" s="4">
        <v>8909285701843</v>
      </c>
      <c r="D7" s="24" t="s">
        <v>37</v>
      </c>
      <c r="E7" s="24" t="s">
        <v>140</v>
      </c>
      <c r="F7" s="25" t="str">
        <f t="shared" si="3"/>
        <v>FLYING MACHINE</v>
      </c>
      <c r="G7" s="24">
        <v>1</v>
      </c>
      <c r="H7" s="25" t="str">
        <f t="shared" si="0"/>
        <v>Pcs.</v>
      </c>
      <c r="I7" s="26">
        <v>3160</v>
      </c>
      <c r="J7" s="27">
        <f t="shared" si="1"/>
        <v>3160</v>
      </c>
    </row>
    <row r="8" spans="1:12" x14ac:dyDescent="0.3">
      <c r="A8" s="23" t="str">
        <f t="shared" si="2"/>
        <v>01-05-2026</v>
      </c>
      <c r="B8" s="24" t="s">
        <v>137</v>
      </c>
      <c r="C8" s="4">
        <v>8909285702109</v>
      </c>
      <c r="D8" s="24" t="s">
        <v>46</v>
      </c>
      <c r="E8" s="24" t="s">
        <v>141</v>
      </c>
      <c r="F8" s="25" t="str">
        <f t="shared" si="3"/>
        <v>FLYING MACHINE</v>
      </c>
      <c r="G8" s="24">
        <v>1</v>
      </c>
      <c r="H8" s="25" t="str">
        <f t="shared" si="0"/>
        <v>Pcs.</v>
      </c>
      <c r="I8" s="26">
        <v>3160</v>
      </c>
      <c r="J8" s="27">
        <f t="shared" si="1"/>
        <v>3160</v>
      </c>
    </row>
    <row r="9" spans="1:12" x14ac:dyDescent="0.3">
      <c r="A9" s="23" t="str">
        <f t="shared" si="2"/>
        <v>01-05-2026</v>
      </c>
      <c r="B9" s="24" t="s">
        <v>137</v>
      </c>
      <c r="C9" s="4">
        <v>8909285702116</v>
      </c>
      <c r="D9" s="24" t="s">
        <v>37</v>
      </c>
      <c r="E9" s="24" t="s">
        <v>141</v>
      </c>
      <c r="F9" s="25" t="str">
        <f t="shared" si="3"/>
        <v>FLYING MACHINE</v>
      </c>
      <c r="G9" s="24">
        <v>1</v>
      </c>
      <c r="H9" s="25" t="str">
        <f t="shared" si="0"/>
        <v>Pcs.</v>
      </c>
      <c r="I9" s="26">
        <v>3160</v>
      </c>
      <c r="J9" s="27">
        <f t="shared" si="1"/>
        <v>3160</v>
      </c>
    </row>
    <row r="10" spans="1:12" x14ac:dyDescent="0.3">
      <c r="A10" s="23" t="str">
        <f t="shared" si="2"/>
        <v>01-05-2026</v>
      </c>
      <c r="B10" s="24" t="s">
        <v>137</v>
      </c>
      <c r="C10" s="4">
        <v>8909285702123</v>
      </c>
      <c r="D10" s="24" t="s">
        <v>57</v>
      </c>
      <c r="E10" s="24" t="s">
        <v>141</v>
      </c>
      <c r="F10" s="25" t="str">
        <f t="shared" si="3"/>
        <v>FLYING MACHINE</v>
      </c>
      <c r="G10" s="24">
        <v>1</v>
      </c>
      <c r="H10" s="25" t="str">
        <f t="shared" si="0"/>
        <v>Pcs.</v>
      </c>
      <c r="I10" s="26">
        <v>3160</v>
      </c>
      <c r="J10" s="27">
        <f t="shared" si="1"/>
        <v>3160</v>
      </c>
    </row>
    <row r="11" spans="1:12" x14ac:dyDescent="0.3">
      <c r="A11" s="23" t="str">
        <f t="shared" si="2"/>
        <v>01-05-2026</v>
      </c>
      <c r="B11" s="24" t="s">
        <v>137</v>
      </c>
      <c r="C11" s="4">
        <v>8909285702475</v>
      </c>
      <c r="D11" s="24" t="s">
        <v>37</v>
      </c>
      <c r="E11" s="24" t="s">
        <v>142</v>
      </c>
      <c r="F11" s="25" t="str">
        <f t="shared" si="3"/>
        <v>FLYING MACHINE</v>
      </c>
      <c r="G11" s="24">
        <v>1</v>
      </c>
      <c r="H11" s="25" t="str">
        <f t="shared" si="0"/>
        <v>Pcs.</v>
      </c>
      <c r="I11" s="26">
        <v>4213</v>
      </c>
      <c r="J11" s="27">
        <f t="shared" si="1"/>
        <v>4213</v>
      </c>
    </row>
    <row r="12" spans="1:12" x14ac:dyDescent="0.3">
      <c r="A12" s="23" t="str">
        <f t="shared" si="2"/>
        <v>01-05-2026</v>
      </c>
      <c r="B12" s="24" t="s">
        <v>137</v>
      </c>
      <c r="C12" s="4">
        <v>8909285702482</v>
      </c>
      <c r="D12" s="24" t="s">
        <v>57</v>
      </c>
      <c r="E12" s="24" t="s">
        <v>142</v>
      </c>
      <c r="F12" s="25" t="str">
        <f t="shared" si="3"/>
        <v>FLYING MACHINE</v>
      </c>
      <c r="G12" s="24">
        <v>1</v>
      </c>
      <c r="H12" s="25" t="str">
        <f t="shared" si="0"/>
        <v>Pcs.</v>
      </c>
      <c r="I12" s="26">
        <v>4213</v>
      </c>
      <c r="J12" s="27">
        <f t="shared" si="1"/>
        <v>4213</v>
      </c>
    </row>
    <row r="13" spans="1:12" x14ac:dyDescent="0.3">
      <c r="A13" s="23" t="str">
        <f t="shared" si="2"/>
        <v>01-05-2026</v>
      </c>
      <c r="B13" s="24" t="s">
        <v>137</v>
      </c>
      <c r="C13" s="4">
        <v>8909285702505</v>
      </c>
      <c r="D13" s="24" t="s">
        <v>39</v>
      </c>
      <c r="E13" s="24" t="s">
        <v>142</v>
      </c>
      <c r="F13" s="25" t="str">
        <f t="shared" si="3"/>
        <v>FLYING MACHINE</v>
      </c>
      <c r="G13" s="24">
        <v>1</v>
      </c>
      <c r="H13" s="25" t="str">
        <f t="shared" si="0"/>
        <v>Pcs.</v>
      </c>
      <c r="I13" s="26">
        <v>4213</v>
      </c>
      <c r="J13" s="27">
        <f t="shared" si="1"/>
        <v>4213</v>
      </c>
    </row>
    <row r="14" spans="1:12" x14ac:dyDescent="0.3">
      <c r="A14" s="23" t="str">
        <f t="shared" si="2"/>
        <v>01-05-2026</v>
      </c>
      <c r="B14" s="24" t="s">
        <v>137</v>
      </c>
      <c r="C14" s="4">
        <v>8909285704790</v>
      </c>
      <c r="D14" s="24" t="s">
        <v>51</v>
      </c>
      <c r="E14" s="24" t="s">
        <v>143</v>
      </c>
      <c r="F14" s="25" t="str">
        <f t="shared" si="3"/>
        <v>FLYING MACHINE</v>
      </c>
      <c r="G14" s="24">
        <v>1</v>
      </c>
      <c r="H14" s="25" t="str">
        <f t="shared" si="0"/>
        <v>Pcs.</v>
      </c>
      <c r="I14" s="26">
        <v>7374</v>
      </c>
      <c r="J14" s="27">
        <f t="shared" si="1"/>
        <v>7374</v>
      </c>
    </row>
    <row r="15" spans="1:12" x14ac:dyDescent="0.3">
      <c r="A15" s="23" t="str">
        <f t="shared" si="2"/>
        <v>01-05-2026</v>
      </c>
      <c r="B15" s="24" t="s">
        <v>137</v>
      </c>
      <c r="C15" s="4">
        <v>8909285704806</v>
      </c>
      <c r="D15" s="24" t="s">
        <v>46</v>
      </c>
      <c r="E15" s="24" t="s">
        <v>143</v>
      </c>
      <c r="F15" s="25" t="str">
        <f t="shared" si="3"/>
        <v>FLYING MACHINE</v>
      </c>
      <c r="G15" s="24">
        <v>2</v>
      </c>
      <c r="H15" s="25" t="str">
        <f t="shared" si="0"/>
        <v>Pcs.</v>
      </c>
      <c r="I15" s="26">
        <v>7374</v>
      </c>
      <c r="J15" s="27">
        <f t="shared" si="1"/>
        <v>14748</v>
      </c>
    </row>
    <row r="16" spans="1:12" x14ac:dyDescent="0.3">
      <c r="A16" s="23" t="str">
        <f t="shared" si="2"/>
        <v>01-05-2026</v>
      </c>
      <c r="B16" s="24" t="s">
        <v>137</v>
      </c>
      <c r="C16" s="4">
        <v>8909285704820</v>
      </c>
      <c r="D16" s="24" t="s">
        <v>57</v>
      </c>
      <c r="E16" s="24" t="s">
        <v>143</v>
      </c>
      <c r="F16" s="25" t="str">
        <f t="shared" si="3"/>
        <v>FLYING MACHINE</v>
      </c>
      <c r="G16" s="24">
        <v>1</v>
      </c>
      <c r="H16" s="25" t="str">
        <f t="shared" si="0"/>
        <v>Pcs.</v>
      </c>
      <c r="I16" s="26">
        <v>7374</v>
      </c>
      <c r="J16" s="27">
        <f t="shared" si="1"/>
        <v>7374</v>
      </c>
    </row>
    <row r="17" spans="1:10" x14ac:dyDescent="0.3">
      <c r="A17" s="23" t="str">
        <f t="shared" si="2"/>
        <v>01-05-2026</v>
      </c>
      <c r="B17" s="24" t="s">
        <v>137</v>
      </c>
      <c r="C17" s="4">
        <v>8909285704882</v>
      </c>
      <c r="D17" s="24" t="s">
        <v>51</v>
      </c>
      <c r="E17" s="24" t="s">
        <v>144</v>
      </c>
      <c r="F17" s="25" t="str">
        <f t="shared" si="3"/>
        <v>FLYING MACHINE</v>
      </c>
      <c r="G17" s="24">
        <v>2</v>
      </c>
      <c r="H17" s="25" t="str">
        <f t="shared" si="0"/>
        <v>Pcs.</v>
      </c>
      <c r="I17" s="26">
        <v>7374</v>
      </c>
      <c r="J17" s="27">
        <f t="shared" si="1"/>
        <v>14748</v>
      </c>
    </row>
    <row r="18" spans="1:10" x14ac:dyDescent="0.3">
      <c r="A18" s="23" t="str">
        <f t="shared" si="2"/>
        <v>01-05-2026</v>
      </c>
      <c r="B18" s="24" t="s">
        <v>137</v>
      </c>
      <c r="C18" s="4">
        <v>8909285704899</v>
      </c>
      <c r="D18" s="24" t="s">
        <v>46</v>
      </c>
      <c r="E18" s="24" t="s">
        <v>144</v>
      </c>
      <c r="F18" s="25" t="str">
        <f t="shared" si="3"/>
        <v>FLYING MACHINE</v>
      </c>
      <c r="G18" s="24">
        <v>2</v>
      </c>
      <c r="H18" s="25" t="str">
        <f t="shared" si="0"/>
        <v>Pcs.</v>
      </c>
      <c r="I18" s="26">
        <v>7374</v>
      </c>
      <c r="J18" s="27">
        <f t="shared" si="1"/>
        <v>14748</v>
      </c>
    </row>
    <row r="19" spans="1:10" x14ac:dyDescent="0.3">
      <c r="A19" s="23" t="str">
        <f t="shared" si="2"/>
        <v>01-05-2026</v>
      </c>
      <c r="B19" s="24" t="s">
        <v>137</v>
      </c>
      <c r="C19" s="4">
        <v>8909285704905</v>
      </c>
      <c r="D19" s="24" t="s">
        <v>37</v>
      </c>
      <c r="E19" s="24" t="s">
        <v>144</v>
      </c>
      <c r="F19" s="25" t="str">
        <f t="shared" si="3"/>
        <v>FLYING MACHINE</v>
      </c>
      <c r="G19" s="24">
        <v>1</v>
      </c>
      <c r="H19" s="25" t="str">
        <f t="shared" si="0"/>
        <v>Pcs.</v>
      </c>
      <c r="I19" s="26">
        <v>7374</v>
      </c>
      <c r="J19" s="27">
        <f t="shared" si="1"/>
        <v>7374</v>
      </c>
    </row>
    <row r="20" spans="1:10" x14ac:dyDescent="0.3">
      <c r="A20" s="23" t="str">
        <f t="shared" si="2"/>
        <v>01-05-2026</v>
      </c>
      <c r="B20" s="24" t="s">
        <v>36</v>
      </c>
      <c r="C20" s="4">
        <v>8905951679959</v>
      </c>
      <c r="D20" s="24">
        <v>30</v>
      </c>
      <c r="E20" s="24" t="s">
        <v>145</v>
      </c>
      <c r="F20" s="25" t="str">
        <f t="shared" si="3"/>
        <v>FLYING MACHINE</v>
      </c>
      <c r="G20" s="24">
        <v>1</v>
      </c>
      <c r="H20" s="25" t="str">
        <f t="shared" si="0"/>
        <v>Pcs.</v>
      </c>
      <c r="I20" s="26">
        <v>1874</v>
      </c>
      <c r="J20" s="27">
        <f t="shared" si="1"/>
        <v>1874</v>
      </c>
    </row>
    <row r="21" spans="1:10" x14ac:dyDescent="0.3">
      <c r="A21" s="23" t="str">
        <f t="shared" si="2"/>
        <v>01-05-2026</v>
      </c>
      <c r="B21" s="24" t="s">
        <v>36</v>
      </c>
      <c r="C21" s="4">
        <v>8905951679966</v>
      </c>
      <c r="D21" s="24">
        <v>32</v>
      </c>
      <c r="E21" s="24" t="s">
        <v>145</v>
      </c>
      <c r="F21" s="25" t="str">
        <f t="shared" si="3"/>
        <v>FLYING MACHINE</v>
      </c>
      <c r="G21" s="24">
        <v>3</v>
      </c>
      <c r="H21" s="25" t="str">
        <f t="shared" si="0"/>
        <v>Pcs.</v>
      </c>
      <c r="I21" s="26">
        <v>1874</v>
      </c>
      <c r="J21" s="27">
        <f t="shared" si="1"/>
        <v>5622</v>
      </c>
    </row>
    <row r="22" spans="1:10" x14ac:dyDescent="0.3">
      <c r="A22" s="23" t="str">
        <f t="shared" si="2"/>
        <v>01-05-2026</v>
      </c>
      <c r="B22" s="24" t="s">
        <v>36</v>
      </c>
      <c r="C22" s="4">
        <v>8905951680153</v>
      </c>
      <c r="D22" s="24">
        <v>30</v>
      </c>
      <c r="E22" s="24" t="s">
        <v>146</v>
      </c>
      <c r="F22" s="25" t="str">
        <f t="shared" si="3"/>
        <v>FLYING MACHINE</v>
      </c>
      <c r="G22" s="24">
        <v>1</v>
      </c>
      <c r="H22" s="25" t="str">
        <f t="shared" si="0"/>
        <v>Pcs.</v>
      </c>
      <c r="I22" s="26">
        <v>1874.06</v>
      </c>
      <c r="J22" s="27">
        <f t="shared" si="1"/>
        <v>1874.06</v>
      </c>
    </row>
    <row r="23" spans="1:10" x14ac:dyDescent="0.3">
      <c r="A23" s="23" t="str">
        <f t="shared" si="2"/>
        <v>01-05-2026</v>
      </c>
      <c r="B23" s="24" t="s">
        <v>36</v>
      </c>
      <c r="C23" s="4">
        <v>8905951680160</v>
      </c>
      <c r="D23" s="24">
        <v>32</v>
      </c>
      <c r="E23" s="24" t="s">
        <v>146</v>
      </c>
      <c r="F23" s="25" t="str">
        <f t="shared" si="3"/>
        <v>FLYING MACHINE</v>
      </c>
      <c r="G23" s="24">
        <v>1</v>
      </c>
      <c r="H23" s="25" t="str">
        <f t="shared" si="0"/>
        <v>Pcs.</v>
      </c>
      <c r="I23" s="26">
        <v>1874.06</v>
      </c>
      <c r="J23" s="27">
        <f t="shared" si="1"/>
        <v>1874.06</v>
      </c>
    </row>
    <row r="24" spans="1:10" x14ac:dyDescent="0.3">
      <c r="A24" s="23" t="str">
        <f t="shared" si="2"/>
        <v>01-05-2026</v>
      </c>
      <c r="B24" s="24" t="s">
        <v>36</v>
      </c>
      <c r="C24" s="4">
        <v>8905951680740</v>
      </c>
      <c r="D24" s="24">
        <v>28</v>
      </c>
      <c r="E24" s="24" t="s">
        <v>147</v>
      </c>
      <c r="F24" s="25" t="str">
        <f t="shared" si="3"/>
        <v>FLYING MACHINE</v>
      </c>
      <c r="G24" s="24">
        <v>1</v>
      </c>
      <c r="H24" s="25" t="str">
        <f t="shared" si="0"/>
        <v>Pcs.</v>
      </c>
      <c r="I24" s="26">
        <v>2155.31</v>
      </c>
      <c r="J24" s="27">
        <f t="shared" si="1"/>
        <v>2155.31</v>
      </c>
    </row>
    <row r="25" spans="1:10" x14ac:dyDescent="0.3">
      <c r="A25" s="23" t="str">
        <f t="shared" si="2"/>
        <v>01-05-2026</v>
      </c>
      <c r="B25" s="24" t="s">
        <v>36</v>
      </c>
      <c r="C25" s="4">
        <v>8905951681068</v>
      </c>
      <c r="D25" s="24">
        <v>32</v>
      </c>
      <c r="E25" s="24" t="s">
        <v>148</v>
      </c>
      <c r="F25" s="25" t="str">
        <f t="shared" si="3"/>
        <v>FLYING MACHINE</v>
      </c>
      <c r="G25" s="24">
        <v>3</v>
      </c>
      <c r="H25" s="25" t="str">
        <f t="shared" si="0"/>
        <v>Pcs.</v>
      </c>
      <c r="I25" s="26">
        <v>2437</v>
      </c>
      <c r="J25" s="27">
        <f t="shared" si="1"/>
        <v>7311</v>
      </c>
    </row>
    <row r="26" spans="1:10" x14ac:dyDescent="0.3">
      <c r="A26" s="23" t="str">
        <f t="shared" si="2"/>
        <v>01-05-2026</v>
      </c>
      <c r="B26" s="24" t="s">
        <v>36</v>
      </c>
      <c r="C26" s="4">
        <v>8905951681143</v>
      </c>
      <c r="D26" s="24">
        <v>28</v>
      </c>
      <c r="E26" s="24" t="s">
        <v>149</v>
      </c>
      <c r="F26" s="25" t="str">
        <f t="shared" si="3"/>
        <v>FLYING MACHINE</v>
      </c>
      <c r="G26" s="24">
        <v>1</v>
      </c>
      <c r="H26" s="25" t="str">
        <f t="shared" si="0"/>
        <v>Pcs.</v>
      </c>
      <c r="I26" s="26">
        <v>2437</v>
      </c>
      <c r="J26" s="27">
        <f t="shared" si="1"/>
        <v>2437</v>
      </c>
    </row>
    <row r="27" spans="1:10" x14ac:dyDescent="0.3">
      <c r="A27" s="23" t="str">
        <f t="shared" si="2"/>
        <v>01-05-2026</v>
      </c>
      <c r="B27" s="24" t="s">
        <v>36</v>
      </c>
      <c r="C27" s="4">
        <v>8905951681457</v>
      </c>
      <c r="D27" s="24">
        <v>30</v>
      </c>
      <c r="E27" s="24" t="s">
        <v>150</v>
      </c>
      <c r="F27" s="25" t="str">
        <f t="shared" si="3"/>
        <v>FLYING MACHINE</v>
      </c>
      <c r="G27" s="24">
        <v>2</v>
      </c>
      <c r="H27" s="25" t="str">
        <f t="shared" si="0"/>
        <v>Pcs.</v>
      </c>
      <c r="I27" s="26">
        <v>2436.5700000000002</v>
      </c>
      <c r="J27" s="27">
        <f t="shared" si="1"/>
        <v>4873.1400000000003</v>
      </c>
    </row>
    <row r="28" spans="1:10" x14ac:dyDescent="0.3">
      <c r="A28" s="23" t="str">
        <f t="shared" si="2"/>
        <v>01-05-2026</v>
      </c>
      <c r="B28" s="24" t="s">
        <v>36</v>
      </c>
      <c r="C28" s="4">
        <v>8905951681471</v>
      </c>
      <c r="D28" s="24">
        <v>34</v>
      </c>
      <c r="E28" s="24" t="s">
        <v>150</v>
      </c>
      <c r="F28" s="25" t="str">
        <f t="shared" si="3"/>
        <v>FLYING MACHINE</v>
      </c>
      <c r="G28" s="24">
        <v>1</v>
      </c>
      <c r="H28" s="25" t="str">
        <f t="shared" si="0"/>
        <v>Pcs.</v>
      </c>
      <c r="I28" s="26">
        <v>2436.5700000000002</v>
      </c>
      <c r="J28" s="27">
        <f t="shared" si="1"/>
        <v>2436.5700000000002</v>
      </c>
    </row>
    <row r="29" spans="1:10" x14ac:dyDescent="0.3">
      <c r="A29" s="23" t="str">
        <f t="shared" si="2"/>
        <v>01-05-2026</v>
      </c>
      <c r="B29" s="24" t="s">
        <v>36</v>
      </c>
      <c r="C29" s="4">
        <v>8905951683079</v>
      </c>
      <c r="D29" s="24">
        <v>34</v>
      </c>
      <c r="E29" s="24" t="s">
        <v>55</v>
      </c>
      <c r="F29" s="25" t="str">
        <f t="shared" si="3"/>
        <v>FLYING MACHINE</v>
      </c>
      <c r="G29" s="24">
        <v>1</v>
      </c>
      <c r="H29" s="25" t="str">
        <f t="shared" si="0"/>
        <v>Pcs.</v>
      </c>
      <c r="I29" s="26">
        <v>2624</v>
      </c>
      <c r="J29" s="27">
        <f t="shared" si="1"/>
        <v>2624</v>
      </c>
    </row>
    <row r="30" spans="1:10" x14ac:dyDescent="0.3">
      <c r="A30" s="23" t="str">
        <f t="shared" si="2"/>
        <v>01-05-2026</v>
      </c>
      <c r="B30" s="24" t="s">
        <v>36</v>
      </c>
      <c r="C30" s="4">
        <v>8905951683086</v>
      </c>
      <c r="D30" s="24">
        <v>36</v>
      </c>
      <c r="E30" s="24" t="s">
        <v>55</v>
      </c>
      <c r="F30" s="25" t="str">
        <f t="shared" si="3"/>
        <v>FLYING MACHINE</v>
      </c>
      <c r="G30" s="24">
        <v>1</v>
      </c>
      <c r="H30" s="25" t="str">
        <f t="shared" si="0"/>
        <v>Pcs.</v>
      </c>
      <c r="I30" s="26">
        <v>2624.07</v>
      </c>
      <c r="J30" s="27">
        <f t="shared" si="1"/>
        <v>2624.07</v>
      </c>
    </row>
    <row r="31" spans="1:10" x14ac:dyDescent="0.3">
      <c r="A31" s="23" t="str">
        <f t="shared" si="2"/>
        <v>01-05-2026</v>
      </c>
      <c r="B31" s="24" t="s">
        <v>36</v>
      </c>
      <c r="C31" s="4">
        <v>8905951686377</v>
      </c>
      <c r="D31" s="24">
        <v>34</v>
      </c>
      <c r="E31" s="24" t="s">
        <v>114</v>
      </c>
      <c r="F31" s="25" t="str">
        <f t="shared" si="3"/>
        <v>FLYING MACHINE</v>
      </c>
      <c r="G31" s="24">
        <v>1</v>
      </c>
      <c r="H31" s="25" t="str">
        <f t="shared" si="0"/>
        <v>Pcs.</v>
      </c>
      <c r="I31" s="26">
        <v>2624</v>
      </c>
      <c r="J31" s="27">
        <f t="shared" si="1"/>
        <v>2624</v>
      </c>
    </row>
    <row r="32" spans="1:10" x14ac:dyDescent="0.3">
      <c r="A32" s="23" t="str">
        <f t="shared" si="2"/>
        <v>01-05-2026</v>
      </c>
      <c r="B32" s="24" t="s">
        <v>36</v>
      </c>
      <c r="C32" s="4">
        <v>8905951687756</v>
      </c>
      <c r="D32" s="24">
        <v>30</v>
      </c>
      <c r="E32" s="24" t="s">
        <v>151</v>
      </c>
      <c r="F32" s="25" t="str">
        <f t="shared" si="3"/>
        <v>FLYING MACHINE</v>
      </c>
      <c r="G32" s="24">
        <v>1</v>
      </c>
      <c r="H32" s="25" t="str">
        <f t="shared" si="0"/>
        <v>Pcs.</v>
      </c>
      <c r="I32" s="26">
        <v>3160</v>
      </c>
      <c r="J32" s="27">
        <f t="shared" si="1"/>
        <v>3160</v>
      </c>
    </row>
    <row r="33" spans="1:10" x14ac:dyDescent="0.3">
      <c r="A33" s="23" t="str">
        <f t="shared" si="2"/>
        <v>01-05-2026</v>
      </c>
      <c r="B33" s="24" t="s">
        <v>36</v>
      </c>
      <c r="C33" s="4">
        <v>8905951687763</v>
      </c>
      <c r="D33" s="24">
        <v>32</v>
      </c>
      <c r="E33" s="24" t="s">
        <v>151</v>
      </c>
      <c r="F33" s="25" t="str">
        <f t="shared" si="3"/>
        <v>FLYING MACHINE</v>
      </c>
      <c r="G33" s="24">
        <v>2</v>
      </c>
      <c r="H33" s="25" t="str">
        <f t="shared" si="0"/>
        <v>Pcs.</v>
      </c>
      <c r="I33" s="26">
        <v>3160</v>
      </c>
      <c r="J33" s="27">
        <f t="shared" si="1"/>
        <v>6320</v>
      </c>
    </row>
    <row r="34" spans="1:10" x14ac:dyDescent="0.3">
      <c r="A34" s="23" t="str">
        <f t="shared" si="2"/>
        <v>01-05-2026</v>
      </c>
      <c r="B34" s="24" t="s">
        <v>36</v>
      </c>
      <c r="C34" s="4">
        <v>8905951687770</v>
      </c>
      <c r="D34" s="24">
        <v>34</v>
      </c>
      <c r="E34" s="24" t="s">
        <v>151</v>
      </c>
      <c r="F34" s="25" t="str">
        <f t="shared" si="3"/>
        <v>FLYING MACHINE</v>
      </c>
      <c r="G34" s="24">
        <v>1</v>
      </c>
      <c r="H34" s="25" t="str">
        <f t="shared" si="0"/>
        <v>Pcs.</v>
      </c>
      <c r="I34" s="26">
        <v>3160</v>
      </c>
      <c r="J34" s="27">
        <f t="shared" si="1"/>
        <v>3160</v>
      </c>
    </row>
    <row r="35" spans="1:10" x14ac:dyDescent="0.3">
      <c r="A35" s="23" t="str">
        <f t="shared" si="2"/>
        <v>01-05-2026</v>
      </c>
      <c r="B35" s="24" t="s">
        <v>36</v>
      </c>
      <c r="C35" s="4">
        <v>8905951687787</v>
      </c>
      <c r="D35" s="24">
        <v>36</v>
      </c>
      <c r="E35" s="24" t="s">
        <v>151</v>
      </c>
      <c r="F35" s="25" t="str">
        <f t="shared" si="3"/>
        <v>FLYING MACHINE</v>
      </c>
      <c r="G35" s="24">
        <v>1</v>
      </c>
      <c r="H35" s="25" t="str">
        <f t="shared" si="0"/>
        <v>Pcs.</v>
      </c>
      <c r="I35" s="26">
        <v>3160</v>
      </c>
      <c r="J35" s="27">
        <f t="shared" si="1"/>
        <v>3160</v>
      </c>
    </row>
    <row r="36" spans="1:10" x14ac:dyDescent="0.3">
      <c r="A36" s="23" t="str">
        <f t="shared" si="2"/>
        <v>01-05-2026</v>
      </c>
      <c r="B36" s="24" t="s">
        <v>36</v>
      </c>
      <c r="C36" s="4">
        <v>8905951688265</v>
      </c>
      <c r="D36" s="24">
        <v>32</v>
      </c>
      <c r="E36" s="24" t="s">
        <v>152</v>
      </c>
      <c r="F36" s="25" t="str">
        <f t="shared" si="3"/>
        <v>FLYING MACHINE</v>
      </c>
      <c r="G36" s="24">
        <v>1</v>
      </c>
      <c r="H36" s="25" t="str">
        <f t="shared" si="0"/>
        <v>Pcs.</v>
      </c>
      <c r="I36" s="26">
        <v>3160</v>
      </c>
      <c r="J36" s="27">
        <f t="shared" si="1"/>
        <v>3160</v>
      </c>
    </row>
    <row r="37" spans="1:10" x14ac:dyDescent="0.3">
      <c r="A37" s="23" t="str">
        <f t="shared" si="2"/>
        <v>01-05-2026</v>
      </c>
      <c r="B37" s="24" t="s">
        <v>36</v>
      </c>
      <c r="C37" s="4">
        <v>8905951690251</v>
      </c>
      <c r="D37" s="24">
        <v>28</v>
      </c>
      <c r="E37" s="24" t="s">
        <v>153</v>
      </c>
      <c r="F37" s="25" t="str">
        <f t="shared" si="3"/>
        <v>FLYING MACHINE</v>
      </c>
      <c r="G37" s="24">
        <v>1</v>
      </c>
      <c r="H37" s="25" t="str">
        <f t="shared" si="0"/>
        <v>Pcs.</v>
      </c>
      <c r="I37" s="26">
        <v>3160</v>
      </c>
      <c r="J37" s="27">
        <f t="shared" si="1"/>
        <v>3160</v>
      </c>
    </row>
    <row r="38" spans="1:10" x14ac:dyDescent="0.3">
      <c r="A38" s="23" t="str">
        <f t="shared" si="2"/>
        <v>01-05-2026</v>
      </c>
      <c r="B38" s="24" t="s">
        <v>36</v>
      </c>
      <c r="C38" s="4">
        <v>8905951693184</v>
      </c>
      <c r="D38" s="24">
        <v>28</v>
      </c>
      <c r="E38" s="24" t="s">
        <v>154</v>
      </c>
      <c r="F38" s="25" t="str">
        <f t="shared" si="3"/>
        <v>FLYING MACHINE</v>
      </c>
      <c r="G38" s="24">
        <v>1</v>
      </c>
      <c r="H38" s="25" t="str">
        <f t="shared" si="0"/>
        <v>Pcs.</v>
      </c>
      <c r="I38" s="26">
        <v>3159.66</v>
      </c>
      <c r="J38" s="27">
        <f t="shared" si="1"/>
        <v>3159.66</v>
      </c>
    </row>
    <row r="39" spans="1:10" x14ac:dyDescent="0.3">
      <c r="A39" s="23" t="str">
        <f t="shared" si="2"/>
        <v>01-05-2026</v>
      </c>
      <c r="B39" s="24" t="s">
        <v>36</v>
      </c>
      <c r="C39" s="4">
        <v>8905951693207</v>
      </c>
      <c r="D39" s="24">
        <v>32</v>
      </c>
      <c r="E39" s="24" t="s">
        <v>154</v>
      </c>
      <c r="F39" s="25" t="str">
        <f t="shared" si="3"/>
        <v>FLYING MACHINE</v>
      </c>
      <c r="G39" s="24">
        <v>2</v>
      </c>
      <c r="H39" s="25" t="str">
        <f t="shared" si="0"/>
        <v>Pcs.</v>
      </c>
      <c r="I39" s="26">
        <v>3160</v>
      </c>
      <c r="J39" s="27">
        <f t="shared" si="1"/>
        <v>6320</v>
      </c>
    </row>
    <row r="40" spans="1:10" x14ac:dyDescent="0.3">
      <c r="A40" s="23" t="str">
        <f t="shared" si="2"/>
        <v>01-05-2026</v>
      </c>
      <c r="B40" s="24" t="s">
        <v>36</v>
      </c>
      <c r="C40" s="4">
        <v>8905951694198</v>
      </c>
      <c r="D40" s="24">
        <v>34</v>
      </c>
      <c r="E40" s="24" t="s">
        <v>155</v>
      </c>
      <c r="F40" s="25" t="str">
        <f t="shared" si="3"/>
        <v>FLYING MACHINE</v>
      </c>
      <c r="G40" s="24">
        <v>1</v>
      </c>
      <c r="H40" s="25" t="str">
        <f t="shared" si="0"/>
        <v>Pcs.</v>
      </c>
      <c r="I40" s="26">
        <v>3160</v>
      </c>
      <c r="J40" s="27">
        <f t="shared" si="1"/>
        <v>3160</v>
      </c>
    </row>
    <row r="41" spans="1:10" x14ac:dyDescent="0.3">
      <c r="A41" s="23" t="str">
        <f t="shared" si="2"/>
        <v>01-05-2026</v>
      </c>
      <c r="B41" s="24" t="s">
        <v>36</v>
      </c>
      <c r="C41" s="4">
        <v>8905951694884</v>
      </c>
      <c r="D41" s="24">
        <v>32</v>
      </c>
      <c r="E41" s="24" t="s">
        <v>156</v>
      </c>
      <c r="F41" s="25" t="str">
        <f t="shared" si="3"/>
        <v>FLYING MACHINE</v>
      </c>
      <c r="G41" s="24">
        <v>2</v>
      </c>
      <c r="H41" s="25" t="str">
        <f t="shared" si="0"/>
        <v>Pcs.</v>
      </c>
      <c r="I41" s="26">
        <v>3159.66</v>
      </c>
      <c r="J41" s="27">
        <f t="shared" si="1"/>
        <v>6319.32</v>
      </c>
    </row>
    <row r="42" spans="1:10" x14ac:dyDescent="0.3">
      <c r="A42" s="23" t="str">
        <f t="shared" si="2"/>
        <v>01-05-2026</v>
      </c>
      <c r="B42" s="24" t="s">
        <v>36</v>
      </c>
      <c r="C42" s="4">
        <v>8905951694891</v>
      </c>
      <c r="D42" s="24">
        <v>34</v>
      </c>
      <c r="E42" s="24" t="s">
        <v>156</v>
      </c>
      <c r="F42" s="25" t="str">
        <f t="shared" si="3"/>
        <v>FLYING MACHINE</v>
      </c>
      <c r="G42" s="24">
        <v>3</v>
      </c>
      <c r="H42" s="25" t="str">
        <f t="shared" si="0"/>
        <v>Pcs.</v>
      </c>
      <c r="I42" s="26">
        <v>3159.66</v>
      </c>
      <c r="J42" s="27">
        <f t="shared" si="1"/>
        <v>9478.98</v>
      </c>
    </row>
    <row r="43" spans="1:10" x14ac:dyDescent="0.3">
      <c r="A43" s="23" t="str">
        <f t="shared" si="2"/>
        <v>01-05-2026</v>
      </c>
      <c r="B43" s="24" t="s">
        <v>36</v>
      </c>
      <c r="C43" s="4">
        <v>8905951695577</v>
      </c>
      <c r="D43" s="24">
        <v>30</v>
      </c>
      <c r="E43" s="24" t="s">
        <v>72</v>
      </c>
      <c r="F43" s="25" t="str">
        <f t="shared" si="3"/>
        <v>FLYING MACHINE</v>
      </c>
      <c r="G43" s="24">
        <v>2</v>
      </c>
      <c r="H43" s="25" t="str">
        <f t="shared" si="0"/>
        <v>Pcs.</v>
      </c>
      <c r="I43" s="26">
        <v>3160</v>
      </c>
      <c r="J43" s="27">
        <f t="shared" si="1"/>
        <v>6320</v>
      </c>
    </row>
    <row r="44" spans="1:10" x14ac:dyDescent="0.3">
      <c r="A44" s="23" t="str">
        <f t="shared" si="2"/>
        <v>01-05-2026</v>
      </c>
      <c r="B44" s="24" t="s">
        <v>36</v>
      </c>
      <c r="C44" s="4">
        <v>8905951695584</v>
      </c>
      <c r="D44" s="24">
        <v>32</v>
      </c>
      <c r="E44" s="24" t="s">
        <v>72</v>
      </c>
      <c r="F44" s="25" t="str">
        <f t="shared" si="3"/>
        <v>FLYING MACHINE</v>
      </c>
      <c r="G44" s="24">
        <v>3</v>
      </c>
      <c r="H44" s="25" t="str">
        <f t="shared" si="0"/>
        <v>Pcs.</v>
      </c>
      <c r="I44" s="26">
        <v>3160</v>
      </c>
      <c r="J44" s="27">
        <f t="shared" si="1"/>
        <v>9480</v>
      </c>
    </row>
    <row r="45" spans="1:10" x14ac:dyDescent="0.3">
      <c r="A45" s="23" t="str">
        <f t="shared" si="2"/>
        <v>01-05-2026</v>
      </c>
      <c r="B45" s="24" t="s">
        <v>36</v>
      </c>
      <c r="C45" s="4">
        <v>8905951698479</v>
      </c>
      <c r="D45" s="24">
        <v>30</v>
      </c>
      <c r="E45" s="24" t="s">
        <v>157</v>
      </c>
      <c r="F45" s="25" t="str">
        <f t="shared" si="3"/>
        <v>FLYING MACHINE</v>
      </c>
      <c r="G45" s="24">
        <v>2</v>
      </c>
      <c r="H45" s="25" t="str">
        <f t="shared" si="0"/>
        <v>Pcs.</v>
      </c>
      <c r="I45" s="26">
        <v>3686</v>
      </c>
      <c r="J45" s="27">
        <f t="shared" si="1"/>
        <v>7372</v>
      </c>
    </row>
    <row r="46" spans="1:10" x14ac:dyDescent="0.3">
      <c r="A46" s="23" t="str">
        <f t="shared" si="2"/>
        <v>01-05-2026</v>
      </c>
      <c r="B46" s="24" t="s">
        <v>36</v>
      </c>
      <c r="C46" s="4">
        <v>8905951698486</v>
      </c>
      <c r="D46" s="24">
        <v>32</v>
      </c>
      <c r="E46" s="24" t="s">
        <v>157</v>
      </c>
      <c r="F46" s="25" t="str">
        <f t="shared" si="3"/>
        <v>FLYING MACHINE</v>
      </c>
      <c r="G46" s="24">
        <v>4</v>
      </c>
      <c r="H46" s="25" t="str">
        <f t="shared" si="0"/>
        <v>Pcs.</v>
      </c>
      <c r="I46" s="26">
        <v>3686</v>
      </c>
      <c r="J46" s="27">
        <f t="shared" si="1"/>
        <v>14744</v>
      </c>
    </row>
    <row r="47" spans="1:10" x14ac:dyDescent="0.3">
      <c r="A47" s="23" t="str">
        <f t="shared" si="2"/>
        <v>01-05-2026</v>
      </c>
      <c r="B47" s="24" t="s">
        <v>36</v>
      </c>
      <c r="C47" s="4">
        <v>8905951698493</v>
      </c>
      <c r="D47" s="24">
        <v>34</v>
      </c>
      <c r="E47" s="24" t="s">
        <v>157</v>
      </c>
      <c r="F47" s="25" t="str">
        <f t="shared" si="3"/>
        <v>FLYING MACHINE</v>
      </c>
      <c r="G47" s="24">
        <v>3</v>
      </c>
      <c r="H47" s="25" t="str">
        <f t="shared" si="0"/>
        <v>Pcs.</v>
      </c>
      <c r="I47" s="26">
        <v>3686</v>
      </c>
      <c r="J47" s="27">
        <f t="shared" si="1"/>
        <v>11058</v>
      </c>
    </row>
    <row r="48" spans="1:10" x14ac:dyDescent="0.3">
      <c r="A48" s="23" t="str">
        <f t="shared" si="2"/>
        <v>01-05-2026</v>
      </c>
      <c r="B48" s="24" t="s">
        <v>36</v>
      </c>
      <c r="C48" s="4">
        <v>8905951698509</v>
      </c>
      <c r="D48" s="24">
        <v>36</v>
      </c>
      <c r="E48" s="24" t="s">
        <v>157</v>
      </c>
      <c r="F48" s="25" t="str">
        <f t="shared" si="3"/>
        <v>FLYING MACHINE</v>
      </c>
      <c r="G48" s="24">
        <v>3</v>
      </c>
      <c r="H48" s="25" t="str">
        <f t="shared" si="0"/>
        <v>Pcs.</v>
      </c>
      <c r="I48" s="26">
        <v>3686</v>
      </c>
      <c r="J48" s="27">
        <f t="shared" si="1"/>
        <v>11058</v>
      </c>
    </row>
    <row r="49" spans="1:10" x14ac:dyDescent="0.3">
      <c r="A49" s="23" t="str">
        <f t="shared" si="2"/>
        <v>01-05-2026</v>
      </c>
      <c r="B49" s="24" t="s">
        <v>36</v>
      </c>
      <c r="C49" s="4">
        <v>8905951704378</v>
      </c>
      <c r="D49" s="24">
        <v>30</v>
      </c>
      <c r="E49" s="24" t="s">
        <v>158</v>
      </c>
      <c r="F49" s="25" t="str">
        <f t="shared" si="3"/>
        <v>FLYING MACHINE</v>
      </c>
      <c r="G49" s="24">
        <v>2</v>
      </c>
      <c r="H49" s="25" t="str">
        <f t="shared" si="0"/>
        <v>Pcs.</v>
      </c>
      <c r="I49" s="26">
        <v>4213.24</v>
      </c>
      <c r="J49" s="27">
        <f t="shared" si="1"/>
        <v>8426.48</v>
      </c>
    </row>
    <row r="50" spans="1:10" x14ac:dyDescent="0.3">
      <c r="A50" s="23" t="str">
        <f t="shared" si="2"/>
        <v>01-05-2026</v>
      </c>
      <c r="B50" s="24" t="s">
        <v>36</v>
      </c>
      <c r="C50" s="4">
        <v>8905951704385</v>
      </c>
      <c r="D50" s="24">
        <v>32</v>
      </c>
      <c r="E50" s="24" t="s">
        <v>158</v>
      </c>
      <c r="F50" s="25" t="str">
        <f t="shared" si="3"/>
        <v>FLYING MACHINE</v>
      </c>
      <c r="G50" s="24">
        <v>4</v>
      </c>
      <c r="H50" s="25" t="str">
        <f t="shared" si="0"/>
        <v>Pcs.</v>
      </c>
      <c r="I50" s="26">
        <v>4213</v>
      </c>
      <c r="J50" s="27">
        <f t="shared" si="1"/>
        <v>16852</v>
      </c>
    </row>
    <row r="51" spans="1:10" x14ac:dyDescent="0.3">
      <c r="A51" s="23" t="str">
        <f t="shared" si="2"/>
        <v>01-05-2026</v>
      </c>
      <c r="B51" s="24" t="s">
        <v>36</v>
      </c>
      <c r="C51" s="4">
        <v>8905951704408</v>
      </c>
      <c r="D51" s="24">
        <v>36</v>
      </c>
      <c r="E51" s="24" t="s">
        <v>158</v>
      </c>
      <c r="F51" s="25" t="str">
        <f t="shared" si="3"/>
        <v>FLYING MACHINE</v>
      </c>
      <c r="G51" s="24">
        <v>2</v>
      </c>
      <c r="H51" s="25" t="str">
        <f t="shared" si="0"/>
        <v>Pcs.</v>
      </c>
      <c r="I51" s="26">
        <v>4213</v>
      </c>
      <c r="J51" s="27">
        <f t="shared" si="1"/>
        <v>8426</v>
      </c>
    </row>
    <row r="52" spans="1:10" x14ac:dyDescent="0.3">
      <c r="A52" s="23" t="str">
        <f t="shared" si="2"/>
        <v>01-05-2026</v>
      </c>
      <c r="B52" s="24" t="s">
        <v>36</v>
      </c>
      <c r="C52" s="4">
        <v>8905951705078</v>
      </c>
      <c r="D52" s="24">
        <v>30</v>
      </c>
      <c r="E52" s="24" t="s">
        <v>159</v>
      </c>
      <c r="F52" s="25" t="str">
        <f t="shared" si="3"/>
        <v>FLYING MACHINE</v>
      </c>
      <c r="G52" s="24">
        <v>1</v>
      </c>
      <c r="H52" s="25" t="str">
        <f t="shared" si="0"/>
        <v>Pcs.</v>
      </c>
      <c r="I52" s="26">
        <v>4213.24</v>
      </c>
      <c r="J52" s="27">
        <f t="shared" si="1"/>
        <v>4213.24</v>
      </c>
    </row>
    <row r="53" spans="1:10" x14ac:dyDescent="0.3">
      <c r="A53" s="23" t="str">
        <f t="shared" si="2"/>
        <v>01-05-2026</v>
      </c>
      <c r="B53" s="24" t="s">
        <v>36</v>
      </c>
      <c r="C53" s="4">
        <v>8905951705085</v>
      </c>
      <c r="D53" s="24">
        <v>32</v>
      </c>
      <c r="E53" s="24" t="s">
        <v>159</v>
      </c>
      <c r="F53" s="25" t="str">
        <f t="shared" si="3"/>
        <v>FLYING MACHINE</v>
      </c>
      <c r="G53" s="24">
        <v>4</v>
      </c>
      <c r="H53" s="25" t="str">
        <f t="shared" si="0"/>
        <v>Pcs.</v>
      </c>
      <c r="I53" s="26">
        <v>4213</v>
      </c>
      <c r="J53" s="27">
        <f t="shared" si="1"/>
        <v>16852</v>
      </c>
    </row>
    <row r="54" spans="1:10" x14ac:dyDescent="0.3">
      <c r="A54" s="23" t="str">
        <f t="shared" si="2"/>
        <v>01-05-2026</v>
      </c>
      <c r="B54" s="24" t="s">
        <v>36</v>
      </c>
      <c r="C54" s="4">
        <v>8905951705092</v>
      </c>
      <c r="D54" s="24">
        <v>34</v>
      </c>
      <c r="E54" s="24" t="s">
        <v>159</v>
      </c>
      <c r="F54" s="25" t="str">
        <f t="shared" si="3"/>
        <v>FLYING MACHINE</v>
      </c>
      <c r="G54" s="24">
        <v>3</v>
      </c>
      <c r="H54" s="25" t="str">
        <f t="shared" si="0"/>
        <v>Pcs.</v>
      </c>
      <c r="I54" s="26">
        <v>4213</v>
      </c>
      <c r="J54" s="27">
        <f t="shared" si="1"/>
        <v>12639</v>
      </c>
    </row>
    <row r="55" spans="1:10" x14ac:dyDescent="0.3">
      <c r="A55" s="23" t="str">
        <f t="shared" si="2"/>
        <v>01-05-2026</v>
      </c>
      <c r="B55" s="24" t="s">
        <v>36</v>
      </c>
      <c r="C55" s="4">
        <v>8905951705108</v>
      </c>
      <c r="D55" s="24">
        <v>36</v>
      </c>
      <c r="E55" s="24" t="s">
        <v>159</v>
      </c>
      <c r="F55" s="25" t="str">
        <f t="shared" si="3"/>
        <v>FLYING MACHINE</v>
      </c>
      <c r="G55" s="24">
        <v>3</v>
      </c>
      <c r="H55" s="25" t="str">
        <f t="shared" si="0"/>
        <v>Pcs.</v>
      </c>
      <c r="I55" s="26">
        <v>4213</v>
      </c>
      <c r="J55" s="27">
        <f t="shared" si="1"/>
        <v>12639</v>
      </c>
    </row>
    <row r="56" spans="1:10" x14ac:dyDescent="0.3">
      <c r="A56" s="23" t="str">
        <f t="shared" si="2"/>
        <v>01-05-2026</v>
      </c>
      <c r="B56" s="24" t="s">
        <v>36</v>
      </c>
      <c r="C56" s="4">
        <v>8905952833411</v>
      </c>
      <c r="D56" s="24">
        <v>32</v>
      </c>
      <c r="E56" s="24" t="s">
        <v>160</v>
      </c>
      <c r="F56" s="25" t="str">
        <f t="shared" si="3"/>
        <v>FLYING MACHINE</v>
      </c>
      <c r="G56" s="24">
        <v>2</v>
      </c>
      <c r="H56" s="25" t="str">
        <f t="shared" si="0"/>
        <v>Pcs.</v>
      </c>
      <c r="I56" s="26">
        <v>3476</v>
      </c>
      <c r="J56" s="27">
        <f t="shared" si="1"/>
        <v>6952</v>
      </c>
    </row>
    <row r="57" spans="1:10" x14ac:dyDescent="0.3">
      <c r="A57" s="23" t="str">
        <f t="shared" si="2"/>
        <v>01-05-2026</v>
      </c>
      <c r="B57" s="24" t="s">
        <v>36</v>
      </c>
      <c r="C57" s="4">
        <v>8905952833428</v>
      </c>
      <c r="D57" s="24">
        <v>34</v>
      </c>
      <c r="E57" s="24" t="s">
        <v>160</v>
      </c>
      <c r="F57" s="25" t="str">
        <f t="shared" si="3"/>
        <v>FLYING MACHINE</v>
      </c>
      <c r="G57" s="24">
        <v>1</v>
      </c>
      <c r="H57" s="25" t="str">
        <f t="shared" si="0"/>
        <v>Pcs.</v>
      </c>
      <c r="I57" s="26">
        <v>3476</v>
      </c>
      <c r="J57" s="27">
        <f t="shared" si="1"/>
        <v>3476</v>
      </c>
    </row>
    <row r="58" spans="1:10" x14ac:dyDescent="0.3">
      <c r="A58" s="23" t="str">
        <f t="shared" si="2"/>
        <v>01-05-2026</v>
      </c>
      <c r="B58" s="24" t="s">
        <v>36</v>
      </c>
      <c r="C58" s="4">
        <v>8905952833435</v>
      </c>
      <c r="D58" s="24">
        <v>36</v>
      </c>
      <c r="E58" s="24" t="s">
        <v>160</v>
      </c>
      <c r="F58" s="25" t="str">
        <f t="shared" si="3"/>
        <v>FLYING MACHINE</v>
      </c>
      <c r="G58" s="24">
        <v>1</v>
      </c>
      <c r="H58" s="25" t="str">
        <f t="shared" si="0"/>
        <v>Pcs.</v>
      </c>
      <c r="I58" s="26">
        <v>3476</v>
      </c>
      <c r="J58" s="27">
        <f t="shared" si="1"/>
        <v>3476</v>
      </c>
    </row>
    <row r="59" spans="1:10" x14ac:dyDescent="0.3">
      <c r="A59" s="23" t="str">
        <f t="shared" si="2"/>
        <v>01-05-2026</v>
      </c>
      <c r="B59" s="24" t="s">
        <v>36</v>
      </c>
      <c r="C59" s="4">
        <v>8905952835934</v>
      </c>
      <c r="D59" s="24">
        <v>32</v>
      </c>
      <c r="E59" s="24" t="s">
        <v>90</v>
      </c>
      <c r="F59" s="25" t="str">
        <f t="shared" si="3"/>
        <v>FLYING MACHINE</v>
      </c>
      <c r="G59" s="24">
        <v>1</v>
      </c>
      <c r="H59" s="25" t="str">
        <f t="shared" si="0"/>
        <v>Pcs.</v>
      </c>
      <c r="I59" s="26">
        <v>2342.81</v>
      </c>
      <c r="J59" s="27">
        <f t="shared" si="1"/>
        <v>2342.81</v>
      </c>
    </row>
    <row r="60" spans="1:10" x14ac:dyDescent="0.3">
      <c r="A60" s="23" t="str">
        <f t="shared" si="2"/>
        <v>01-05-2026</v>
      </c>
      <c r="B60" s="24" t="s">
        <v>36</v>
      </c>
      <c r="C60" s="4">
        <v>8905952835941</v>
      </c>
      <c r="D60" s="24">
        <v>34</v>
      </c>
      <c r="E60" s="24" t="s">
        <v>90</v>
      </c>
      <c r="F60" s="25" t="str">
        <f t="shared" si="3"/>
        <v>FLYING MACHINE</v>
      </c>
      <c r="G60" s="24">
        <v>2</v>
      </c>
      <c r="H60" s="25" t="str">
        <f t="shared" si="0"/>
        <v>Pcs.</v>
      </c>
      <c r="I60" s="26">
        <v>2343</v>
      </c>
      <c r="J60" s="27">
        <f t="shared" si="1"/>
        <v>4686</v>
      </c>
    </row>
    <row r="61" spans="1:10" x14ac:dyDescent="0.3">
      <c r="A61" s="23" t="str">
        <f t="shared" si="2"/>
        <v>01-05-2026</v>
      </c>
      <c r="B61" s="24" t="s">
        <v>36</v>
      </c>
      <c r="C61" s="4">
        <v>8905952836016</v>
      </c>
      <c r="D61" s="24">
        <v>30</v>
      </c>
      <c r="E61" s="24" t="s">
        <v>161</v>
      </c>
      <c r="F61" s="25" t="str">
        <f t="shared" si="3"/>
        <v>FLYING MACHINE</v>
      </c>
      <c r="G61" s="24">
        <v>1</v>
      </c>
      <c r="H61" s="25" t="str">
        <f t="shared" si="0"/>
        <v>Pcs.</v>
      </c>
      <c r="I61" s="26">
        <v>2624</v>
      </c>
      <c r="J61" s="27">
        <f t="shared" si="1"/>
        <v>2624</v>
      </c>
    </row>
    <row r="62" spans="1:10" x14ac:dyDescent="0.3">
      <c r="A62" s="23" t="str">
        <f t="shared" si="2"/>
        <v>01-05-2026</v>
      </c>
      <c r="B62" s="24" t="s">
        <v>36</v>
      </c>
      <c r="C62" s="4">
        <v>8905952836030</v>
      </c>
      <c r="D62" s="24">
        <v>34</v>
      </c>
      <c r="E62" s="24" t="s">
        <v>161</v>
      </c>
      <c r="F62" s="25" t="str">
        <f t="shared" si="3"/>
        <v>FLYING MACHINE</v>
      </c>
      <c r="G62" s="24">
        <v>1</v>
      </c>
      <c r="H62" s="25" t="str">
        <f t="shared" si="0"/>
        <v>Pcs.</v>
      </c>
      <c r="I62" s="26">
        <v>2624</v>
      </c>
      <c r="J62" s="27">
        <f t="shared" si="1"/>
        <v>2624</v>
      </c>
    </row>
    <row r="63" spans="1:10" x14ac:dyDescent="0.3">
      <c r="A63" s="23" t="str">
        <f t="shared" si="2"/>
        <v>01-05-2026</v>
      </c>
      <c r="B63" s="24" t="s">
        <v>36</v>
      </c>
      <c r="C63" s="4">
        <v>8905952836047</v>
      </c>
      <c r="D63" s="24">
        <v>36</v>
      </c>
      <c r="E63" s="24" t="s">
        <v>161</v>
      </c>
      <c r="F63" s="25" t="str">
        <f t="shared" si="3"/>
        <v>FLYING MACHINE</v>
      </c>
      <c r="G63" s="24">
        <v>1</v>
      </c>
      <c r="H63" s="25" t="str">
        <f t="shared" si="0"/>
        <v>Pcs.</v>
      </c>
      <c r="I63" s="26">
        <v>2624</v>
      </c>
      <c r="J63" s="27">
        <f t="shared" si="1"/>
        <v>2624</v>
      </c>
    </row>
    <row r="64" spans="1:10" x14ac:dyDescent="0.3">
      <c r="A64" s="23" t="str">
        <f t="shared" si="2"/>
        <v>01-05-2026</v>
      </c>
      <c r="B64" s="24" t="s">
        <v>36</v>
      </c>
      <c r="C64" s="4">
        <v>8905952836221</v>
      </c>
      <c r="D64" s="24">
        <v>36</v>
      </c>
      <c r="E64" s="24" t="s">
        <v>162</v>
      </c>
      <c r="F64" s="25" t="str">
        <f t="shared" si="3"/>
        <v>FLYING MACHINE</v>
      </c>
      <c r="G64" s="24">
        <v>1</v>
      </c>
      <c r="H64" s="25" t="str">
        <f t="shared" si="0"/>
        <v>Pcs.</v>
      </c>
      <c r="I64" s="26">
        <v>2624</v>
      </c>
      <c r="J64" s="27">
        <f t="shared" si="1"/>
        <v>2624</v>
      </c>
    </row>
    <row r="65" spans="1:10" x14ac:dyDescent="0.3">
      <c r="A65" s="23" t="str">
        <f t="shared" si="2"/>
        <v>01-05-2026</v>
      </c>
      <c r="B65" s="24" t="s">
        <v>36</v>
      </c>
      <c r="C65" s="4">
        <v>8905952838355</v>
      </c>
      <c r="D65" s="24">
        <v>30</v>
      </c>
      <c r="E65" s="24" t="s">
        <v>163</v>
      </c>
      <c r="F65" s="25" t="str">
        <f t="shared" si="3"/>
        <v>FLYING MACHINE</v>
      </c>
      <c r="G65" s="24">
        <v>1</v>
      </c>
      <c r="H65" s="25" t="str">
        <f t="shared" si="0"/>
        <v>Pcs.</v>
      </c>
      <c r="I65" s="26">
        <v>2343</v>
      </c>
      <c r="J65" s="27">
        <f t="shared" si="1"/>
        <v>2343</v>
      </c>
    </row>
    <row r="66" spans="1:10" x14ac:dyDescent="0.3">
      <c r="A66" s="23" t="str">
        <f t="shared" si="2"/>
        <v>01-05-2026</v>
      </c>
      <c r="B66" s="24" t="s">
        <v>36</v>
      </c>
      <c r="C66" s="4">
        <v>8905952838362</v>
      </c>
      <c r="D66" s="24">
        <v>32</v>
      </c>
      <c r="E66" s="24" t="s">
        <v>163</v>
      </c>
      <c r="F66" s="25" t="str">
        <f t="shared" si="3"/>
        <v>FLYING MACHINE</v>
      </c>
      <c r="G66" s="24">
        <v>4</v>
      </c>
      <c r="H66" s="25" t="str">
        <f t="shared" si="0"/>
        <v>Pcs.</v>
      </c>
      <c r="I66" s="26">
        <v>2343</v>
      </c>
      <c r="J66" s="27">
        <f t="shared" si="1"/>
        <v>9372</v>
      </c>
    </row>
    <row r="67" spans="1:10" x14ac:dyDescent="0.3">
      <c r="A67" s="23" t="str">
        <f t="shared" si="2"/>
        <v>01-05-2026</v>
      </c>
      <c r="B67" s="24" t="s">
        <v>36</v>
      </c>
      <c r="C67" s="4">
        <v>8905952838379</v>
      </c>
      <c r="D67" s="24">
        <v>34</v>
      </c>
      <c r="E67" s="24" t="s">
        <v>163</v>
      </c>
      <c r="F67" s="25" t="str">
        <f t="shared" si="3"/>
        <v>FLYING MACHINE</v>
      </c>
      <c r="G67" s="24">
        <v>4</v>
      </c>
      <c r="H67" s="25" t="str">
        <f t="shared" si="0"/>
        <v>Pcs.</v>
      </c>
      <c r="I67" s="26">
        <v>2343</v>
      </c>
      <c r="J67" s="27">
        <f t="shared" si="1"/>
        <v>9372</v>
      </c>
    </row>
    <row r="68" spans="1:10" x14ac:dyDescent="0.3">
      <c r="A68" s="23" t="str">
        <f t="shared" si="2"/>
        <v>01-05-2026</v>
      </c>
      <c r="B68" s="24" t="s">
        <v>36</v>
      </c>
      <c r="C68" s="4">
        <v>8905952839086</v>
      </c>
      <c r="D68" s="24">
        <v>32</v>
      </c>
      <c r="E68" s="24" t="s">
        <v>164</v>
      </c>
      <c r="F68" s="25" t="str">
        <f t="shared" si="3"/>
        <v>FLYING MACHINE</v>
      </c>
      <c r="G68" s="24">
        <v>1</v>
      </c>
      <c r="H68" s="25" t="str">
        <f t="shared" si="0"/>
        <v>Pcs.</v>
      </c>
      <c r="I68" s="26">
        <v>2624</v>
      </c>
      <c r="J68" s="27">
        <f t="shared" si="1"/>
        <v>2624</v>
      </c>
    </row>
    <row r="69" spans="1:10" x14ac:dyDescent="0.3">
      <c r="A69" s="23" t="str">
        <f t="shared" ref="A69:A132" si="4">IF(C69&gt;0,RIGHT($D$3,10)," ")</f>
        <v>01-05-2026</v>
      </c>
      <c r="B69" s="24" t="s">
        <v>36</v>
      </c>
      <c r="C69" s="4">
        <v>8905952839093</v>
      </c>
      <c r="D69" s="24">
        <v>34</v>
      </c>
      <c r="E69" s="24" t="s">
        <v>164</v>
      </c>
      <c r="F69" s="25" t="str">
        <f t="shared" ref="F69:F132" si="5">IF(C69&gt;0,$C$3," ")</f>
        <v>FLYING MACHINE</v>
      </c>
      <c r="G69" s="24">
        <v>2</v>
      </c>
      <c r="H69" s="25" t="str">
        <f t="shared" ref="H69:H132" si="6">IF(G69&gt;0,"Pcs."," ")</f>
        <v>Pcs.</v>
      </c>
      <c r="I69" s="26">
        <v>2624</v>
      </c>
      <c r="J69" s="27">
        <f t="shared" ref="J69:J132" si="7">IF(I69*G69=0," ",I69*G69)</f>
        <v>5248</v>
      </c>
    </row>
    <row r="70" spans="1:10" x14ac:dyDescent="0.3">
      <c r="A70" s="23" t="str">
        <f t="shared" si="4"/>
        <v>01-05-2026</v>
      </c>
      <c r="B70" s="24" t="s">
        <v>36</v>
      </c>
      <c r="C70" s="4">
        <v>8905952839628</v>
      </c>
      <c r="D70" s="24">
        <v>32</v>
      </c>
      <c r="E70" s="24" t="s">
        <v>165</v>
      </c>
      <c r="F70" s="25" t="str">
        <f t="shared" si="5"/>
        <v>FLYING MACHINE</v>
      </c>
      <c r="G70" s="24">
        <v>1</v>
      </c>
      <c r="H70" s="25" t="str">
        <f t="shared" si="6"/>
        <v>Pcs.</v>
      </c>
      <c r="I70" s="26">
        <v>2624</v>
      </c>
      <c r="J70" s="27">
        <f t="shared" si="7"/>
        <v>2624</v>
      </c>
    </row>
    <row r="71" spans="1:10" x14ac:dyDescent="0.3">
      <c r="A71" s="23" t="str">
        <f t="shared" si="4"/>
        <v>01-05-2026</v>
      </c>
      <c r="B71" s="24" t="s">
        <v>36</v>
      </c>
      <c r="C71" s="4">
        <v>8905952839789</v>
      </c>
      <c r="D71" s="24">
        <v>28</v>
      </c>
      <c r="E71" s="24" t="s">
        <v>166</v>
      </c>
      <c r="F71" s="25" t="str">
        <f t="shared" si="5"/>
        <v>FLYING MACHINE</v>
      </c>
      <c r="G71" s="24">
        <v>1</v>
      </c>
      <c r="H71" s="25" t="str">
        <f t="shared" si="6"/>
        <v>Pcs.</v>
      </c>
      <c r="I71" s="26">
        <v>2343</v>
      </c>
      <c r="J71" s="27">
        <f t="shared" si="7"/>
        <v>2343</v>
      </c>
    </row>
    <row r="72" spans="1:10" x14ac:dyDescent="0.3">
      <c r="A72" s="23" t="str">
        <f t="shared" si="4"/>
        <v>01-05-2026</v>
      </c>
      <c r="B72" s="24" t="s">
        <v>36</v>
      </c>
      <c r="C72" s="4">
        <v>8905952839796</v>
      </c>
      <c r="D72" s="24">
        <v>35</v>
      </c>
      <c r="E72" s="24" t="s">
        <v>166</v>
      </c>
      <c r="F72" s="25" t="str">
        <f t="shared" si="5"/>
        <v>FLYING MACHINE</v>
      </c>
      <c r="G72" s="24">
        <v>1</v>
      </c>
      <c r="H72" s="25" t="str">
        <f t="shared" si="6"/>
        <v>Pcs.</v>
      </c>
      <c r="I72" s="26">
        <v>2343</v>
      </c>
      <c r="J72" s="27">
        <f t="shared" si="7"/>
        <v>2343</v>
      </c>
    </row>
    <row r="73" spans="1:10" x14ac:dyDescent="0.3">
      <c r="A73" s="23" t="str">
        <f t="shared" si="4"/>
        <v>01-05-2026</v>
      </c>
      <c r="B73" s="24" t="s">
        <v>36</v>
      </c>
      <c r="C73" s="4">
        <v>8905952839802</v>
      </c>
      <c r="D73" s="24">
        <v>32</v>
      </c>
      <c r="E73" s="24" t="s">
        <v>166</v>
      </c>
      <c r="F73" s="25" t="str">
        <f t="shared" si="5"/>
        <v>FLYING MACHINE</v>
      </c>
      <c r="G73" s="24">
        <v>3</v>
      </c>
      <c r="H73" s="25" t="str">
        <f t="shared" si="6"/>
        <v>Pcs.</v>
      </c>
      <c r="I73" s="26">
        <v>2343</v>
      </c>
      <c r="J73" s="27">
        <f t="shared" si="7"/>
        <v>7029</v>
      </c>
    </row>
    <row r="74" spans="1:10" x14ac:dyDescent="0.3">
      <c r="A74" s="23" t="str">
        <f t="shared" si="4"/>
        <v>01-05-2026</v>
      </c>
      <c r="B74" s="24" t="s">
        <v>36</v>
      </c>
      <c r="C74" s="4">
        <v>8905952839819</v>
      </c>
      <c r="D74" s="24">
        <v>34</v>
      </c>
      <c r="E74" s="24" t="s">
        <v>166</v>
      </c>
      <c r="F74" s="25" t="str">
        <f t="shared" si="5"/>
        <v>FLYING MACHINE</v>
      </c>
      <c r="G74" s="24">
        <v>2</v>
      </c>
      <c r="H74" s="25" t="str">
        <f t="shared" si="6"/>
        <v>Pcs.</v>
      </c>
      <c r="I74" s="26">
        <v>2343</v>
      </c>
      <c r="J74" s="27">
        <f t="shared" si="7"/>
        <v>4686</v>
      </c>
    </row>
    <row r="75" spans="1:10" x14ac:dyDescent="0.3">
      <c r="A75" s="23" t="str">
        <f t="shared" si="4"/>
        <v>01-05-2026</v>
      </c>
      <c r="B75" s="24" t="s">
        <v>36</v>
      </c>
      <c r="C75" s="4">
        <v>8905952840266</v>
      </c>
      <c r="D75" s="24">
        <v>34</v>
      </c>
      <c r="E75" s="24" t="s">
        <v>167</v>
      </c>
      <c r="F75" s="25" t="str">
        <f t="shared" si="5"/>
        <v>FLYING MACHINE</v>
      </c>
      <c r="G75" s="24">
        <v>3</v>
      </c>
      <c r="H75" s="25" t="str">
        <f t="shared" si="6"/>
        <v>Pcs.</v>
      </c>
      <c r="I75" s="26">
        <v>2343</v>
      </c>
      <c r="J75" s="27">
        <f t="shared" si="7"/>
        <v>7029</v>
      </c>
    </row>
    <row r="76" spans="1:10" x14ac:dyDescent="0.3">
      <c r="A76" s="23" t="str">
        <f t="shared" si="4"/>
        <v>01-05-2026</v>
      </c>
      <c r="B76" s="24" t="s">
        <v>36</v>
      </c>
      <c r="C76" s="4">
        <v>8905952841348</v>
      </c>
      <c r="D76" s="24">
        <v>34</v>
      </c>
      <c r="E76" s="24" t="s">
        <v>168</v>
      </c>
      <c r="F76" s="25" t="str">
        <f t="shared" si="5"/>
        <v>FLYING MACHINE</v>
      </c>
      <c r="G76" s="24">
        <v>1</v>
      </c>
      <c r="H76" s="25" t="str">
        <f t="shared" si="6"/>
        <v>Pcs.</v>
      </c>
      <c r="I76" s="26">
        <v>2624</v>
      </c>
      <c r="J76" s="27">
        <f t="shared" si="7"/>
        <v>2624</v>
      </c>
    </row>
    <row r="77" spans="1:10" x14ac:dyDescent="0.3">
      <c r="A77" s="23" t="str">
        <f t="shared" si="4"/>
        <v>01-05-2026</v>
      </c>
      <c r="B77" s="24" t="s">
        <v>36</v>
      </c>
      <c r="C77" s="4">
        <v>8905952841508</v>
      </c>
      <c r="D77" s="24">
        <v>30</v>
      </c>
      <c r="E77" s="24" t="s">
        <v>169</v>
      </c>
      <c r="F77" s="25" t="str">
        <f t="shared" si="5"/>
        <v>FLYING MACHINE</v>
      </c>
      <c r="G77" s="24">
        <v>1</v>
      </c>
      <c r="H77" s="25" t="str">
        <f t="shared" si="6"/>
        <v>Pcs.</v>
      </c>
      <c r="I77" s="26">
        <v>3160</v>
      </c>
      <c r="J77" s="27">
        <f t="shared" si="7"/>
        <v>3160</v>
      </c>
    </row>
    <row r="78" spans="1:10" x14ac:dyDescent="0.3">
      <c r="A78" s="23" t="str">
        <f t="shared" si="4"/>
        <v>01-05-2026</v>
      </c>
      <c r="B78" s="24" t="s">
        <v>36</v>
      </c>
      <c r="C78" s="4">
        <v>8905952841515</v>
      </c>
      <c r="D78" s="24">
        <v>32</v>
      </c>
      <c r="E78" s="24" t="s">
        <v>169</v>
      </c>
      <c r="F78" s="25" t="str">
        <f t="shared" si="5"/>
        <v>FLYING MACHINE</v>
      </c>
      <c r="G78" s="24">
        <v>3</v>
      </c>
      <c r="H78" s="25" t="str">
        <f t="shared" si="6"/>
        <v>Pcs.</v>
      </c>
      <c r="I78" s="26">
        <v>3160</v>
      </c>
      <c r="J78" s="27">
        <f t="shared" si="7"/>
        <v>9480</v>
      </c>
    </row>
    <row r="79" spans="1:10" x14ac:dyDescent="0.3">
      <c r="A79" s="23" t="str">
        <f t="shared" si="4"/>
        <v>01-05-2026</v>
      </c>
      <c r="B79" s="24" t="s">
        <v>36</v>
      </c>
      <c r="C79" s="4">
        <v>8905952841522</v>
      </c>
      <c r="D79" s="24">
        <v>34</v>
      </c>
      <c r="E79" s="24" t="s">
        <v>169</v>
      </c>
      <c r="F79" s="25" t="str">
        <f t="shared" si="5"/>
        <v>FLYING MACHINE</v>
      </c>
      <c r="G79" s="24">
        <v>3</v>
      </c>
      <c r="H79" s="25" t="str">
        <f t="shared" si="6"/>
        <v>Pcs.</v>
      </c>
      <c r="I79" s="26">
        <v>3160</v>
      </c>
      <c r="J79" s="27">
        <f t="shared" si="7"/>
        <v>9480</v>
      </c>
    </row>
    <row r="80" spans="1:10" x14ac:dyDescent="0.3">
      <c r="A80" s="23" t="str">
        <f t="shared" si="4"/>
        <v>01-05-2026</v>
      </c>
      <c r="B80" s="24" t="s">
        <v>36</v>
      </c>
      <c r="C80" s="4">
        <v>8905952841607</v>
      </c>
      <c r="D80" s="24">
        <v>32</v>
      </c>
      <c r="E80" s="24" t="s">
        <v>170</v>
      </c>
      <c r="F80" s="25" t="str">
        <f t="shared" si="5"/>
        <v>FLYING MACHINE</v>
      </c>
      <c r="G80" s="24">
        <v>1</v>
      </c>
      <c r="H80" s="25" t="str">
        <f t="shared" si="6"/>
        <v>Pcs.</v>
      </c>
      <c r="I80" s="26">
        <v>3160</v>
      </c>
      <c r="J80" s="27">
        <f t="shared" si="7"/>
        <v>3160</v>
      </c>
    </row>
    <row r="81" spans="1:10" x14ac:dyDescent="0.3">
      <c r="A81" s="23" t="str">
        <f t="shared" si="4"/>
        <v>01-05-2026</v>
      </c>
      <c r="B81" s="24" t="s">
        <v>36</v>
      </c>
      <c r="C81" s="4">
        <v>8905952841683</v>
      </c>
      <c r="D81" s="24">
        <v>30</v>
      </c>
      <c r="E81" s="24" t="s">
        <v>171</v>
      </c>
      <c r="F81" s="25" t="str">
        <f t="shared" si="5"/>
        <v>FLYING MACHINE</v>
      </c>
      <c r="G81" s="24">
        <v>1</v>
      </c>
      <c r="H81" s="25" t="str">
        <f t="shared" si="6"/>
        <v>Pcs.</v>
      </c>
      <c r="I81" s="26">
        <v>3159.66</v>
      </c>
      <c r="J81" s="27">
        <f t="shared" si="7"/>
        <v>3159.66</v>
      </c>
    </row>
    <row r="82" spans="1:10" x14ac:dyDescent="0.3">
      <c r="A82" s="23" t="str">
        <f t="shared" si="4"/>
        <v>01-05-2026</v>
      </c>
      <c r="B82" s="24" t="s">
        <v>36</v>
      </c>
      <c r="C82" s="4">
        <v>8905952841690</v>
      </c>
      <c r="D82" s="24">
        <v>32</v>
      </c>
      <c r="E82" s="24" t="s">
        <v>171</v>
      </c>
      <c r="F82" s="25" t="str">
        <f t="shared" si="5"/>
        <v>FLYING MACHINE</v>
      </c>
      <c r="G82" s="24">
        <v>1</v>
      </c>
      <c r="H82" s="25" t="str">
        <f t="shared" si="6"/>
        <v>Pcs.</v>
      </c>
      <c r="I82" s="26">
        <v>3160</v>
      </c>
      <c r="J82" s="27">
        <f t="shared" si="7"/>
        <v>3160</v>
      </c>
    </row>
    <row r="83" spans="1:10" x14ac:dyDescent="0.3">
      <c r="A83" s="23" t="str">
        <f t="shared" si="4"/>
        <v>01-05-2026</v>
      </c>
      <c r="B83" s="24" t="s">
        <v>36</v>
      </c>
      <c r="C83" s="4">
        <v>8905952841706</v>
      </c>
      <c r="D83" s="24">
        <v>34</v>
      </c>
      <c r="E83" s="24" t="s">
        <v>171</v>
      </c>
      <c r="F83" s="25" t="str">
        <f t="shared" si="5"/>
        <v>FLYING MACHINE</v>
      </c>
      <c r="G83" s="24">
        <v>1</v>
      </c>
      <c r="H83" s="25" t="str">
        <f t="shared" si="6"/>
        <v>Pcs.</v>
      </c>
      <c r="I83" s="26">
        <v>3159.66</v>
      </c>
      <c r="J83" s="27">
        <f t="shared" si="7"/>
        <v>3159.66</v>
      </c>
    </row>
    <row r="84" spans="1:10" x14ac:dyDescent="0.3">
      <c r="A84" s="23" t="str">
        <f t="shared" si="4"/>
        <v>01-05-2026</v>
      </c>
      <c r="B84" s="24" t="s">
        <v>36</v>
      </c>
      <c r="C84" s="4">
        <v>8905952842031</v>
      </c>
      <c r="D84" s="24">
        <v>28</v>
      </c>
      <c r="E84" s="24" t="s">
        <v>172</v>
      </c>
      <c r="F84" s="25" t="str">
        <f t="shared" si="5"/>
        <v>FLYING MACHINE</v>
      </c>
      <c r="G84" s="24">
        <v>1</v>
      </c>
      <c r="H84" s="25" t="str">
        <f t="shared" si="6"/>
        <v>Pcs.</v>
      </c>
      <c r="I84" s="26">
        <v>3160</v>
      </c>
      <c r="J84" s="27">
        <f t="shared" si="7"/>
        <v>3160</v>
      </c>
    </row>
    <row r="85" spans="1:10" x14ac:dyDescent="0.3">
      <c r="A85" s="23" t="str">
        <f t="shared" si="4"/>
        <v>01-05-2026</v>
      </c>
      <c r="B85" s="24" t="s">
        <v>36</v>
      </c>
      <c r="C85" s="4">
        <v>8905952842048</v>
      </c>
      <c r="D85" s="24">
        <v>30</v>
      </c>
      <c r="E85" s="24" t="s">
        <v>172</v>
      </c>
      <c r="F85" s="25" t="str">
        <f t="shared" si="5"/>
        <v>FLYING MACHINE</v>
      </c>
      <c r="G85" s="24">
        <v>1</v>
      </c>
      <c r="H85" s="25" t="str">
        <f t="shared" si="6"/>
        <v>Pcs.</v>
      </c>
      <c r="I85" s="26">
        <v>3160</v>
      </c>
      <c r="J85" s="27">
        <f t="shared" si="7"/>
        <v>3160</v>
      </c>
    </row>
    <row r="86" spans="1:10" x14ac:dyDescent="0.3">
      <c r="A86" s="23" t="str">
        <f t="shared" si="4"/>
        <v>01-05-2026</v>
      </c>
      <c r="B86" s="24" t="s">
        <v>36</v>
      </c>
      <c r="C86" s="4">
        <v>8905952842055</v>
      </c>
      <c r="D86" s="24">
        <v>32</v>
      </c>
      <c r="E86" s="24" t="s">
        <v>172</v>
      </c>
      <c r="F86" s="25" t="str">
        <f t="shared" si="5"/>
        <v>FLYING MACHINE</v>
      </c>
      <c r="G86" s="24">
        <v>1</v>
      </c>
      <c r="H86" s="25" t="str">
        <f t="shared" si="6"/>
        <v>Pcs.</v>
      </c>
      <c r="I86" s="26">
        <v>3160</v>
      </c>
      <c r="J86" s="27">
        <f t="shared" si="7"/>
        <v>3160</v>
      </c>
    </row>
    <row r="87" spans="1:10" x14ac:dyDescent="0.3">
      <c r="A87" s="23" t="str">
        <f t="shared" si="4"/>
        <v>01-05-2026</v>
      </c>
      <c r="B87" s="24" t="s">
        <v>36</v>
      </c>
      <c r="C87" s="4">
        <v>8905952842130</v>
      </c>
      <c r="D87" s="24">
        <v>30</v>
      </c>
      <c r="E87" s="24" t="s">
        <v>173</v>
      </c>
      <c r="F87" s="25" t="str">
        <f t="shared" si="5"/>
        <v>FLYING MACHINE</v>
      </c>
      <c r="G87" s="24">
        <v>1</v>
      </c>
      <c r="H87" s="25" t="str">
        <f t="shared" si="6"/>
        <v>Pcs.</v>
      </c>
      <c r="I87" s="26">
        <v>3160</v>
      </c>
      <c r="J87" s="27">
        <f t="shared" si="7"/>
        <v>3160</v>
      </c>
    </row>
    <row r="88" spans="1:10" x14ac:dyDescent="0.3">
      <c r="A88" s="23" t="str">
        <f t="shared" si="4"/>
        <v>01-05-2026</v>
      </c>
      <c r="B88" s="24" t="s">
        <v>36</v>
      </c>
      <c r="C88" s="4">
        <v>8905952842147</v>
      </c>
      <c r="D88" s="24">
        <v>32</v>
      </c>
      <c r="E88" s="24" t="s">
        <v>173</v>
      </c>
      <c r="F88" s="25" t="str">
        <f t="shared" si="5"/>
        <v>FLYING MACHINE</v>
      </c>
      <c r="G88" s="24">
        <v>1</v>
      </c>
      <c r="H88" s="25" t="str">
        <f t="shared" si="6"/>
        <v>Pcs.</v>
      </c>
      <c r="I88" s="26">
        <v>3160</v>
      </c>
      <c r="J88" s="27">
        <f t="shared" si="7"/>
        <v>3160</v>
      </c>
    </row>
    <row r="89" spans="1:10" x14ac:dyDescent="0.3">
      <c r="A89" s="23" t="str">
        <f t="shared" si="4"/>
        <v>01-05-2026</v>
      </c>
      <c r="B89" s="24" t="s">
        <v>36</v>
      </c>
      <c r="C89" s="4">
        <v>8905952842161</v>
      </c>
      <c r="D89" s="24">
        <v>36</v>
      </c>
      <c r="E89" s="24" t="s">
        <v>173</v>
      </c>
      <c r="F89" s="25" t="str">
        <f t="shared" si="5"/>
        <v>FLYING MACHINE</v>
      </c>
      <c r="G89" s="24">
        <v>1</v>
      </c>
      <c r="H89" s="25" t="str">
        <f t="shared" si="6"/>
        <v>Pcs.</v>
      </c>
      <c r="I89" s="26">
        <v>3160</v>
      </c>
      <c r="J89" s="27">
        <f t="shared" si="7"/>
        <v>3160</v>
      </c>
    </row>
    <row r="90" spans="1:10" x14ac:dyDescent="0.3">
      <c r="A90" s="23" t="str">
        <f t="shared" si="4"/>
        <v>01-05-2026</v>
      </c>
      <c r="B90" s="24" t="s">
        <v>36</v>
      </c>
      <c r="C90" s="4">
        <v>8905952842246</v>
      </c>
      <c r="D90" s="24">
        <v>34</v>
      </c>
      <c r="E90" s="24" t="s">
        <v>174</v>
      </c>
      <c r="F90" s="25" t="str">
        <f t="shared" si="5"/>
        <v>FLYING MACHINE</v>
      </c>
      <c r="G90" s="24">
        <v>1</v>
      </c>
      <c r="H90" s="25" t="str">
        <f t="shared" si="6"/>
        <v>Pcs.</v>
      </c>
      <c r="I90" s="26">
        <v>3476</v>
      </c>
      <c r="J90" s="27">
        <f t="shared" si="7"/>
        <v>3476</v>
      </c>
    </row>
    <row r="91" spans="1:10" x14ac:dyDescent="0.3">
      <c r="A91" s="23" t="str">
        <f t="shared" si="4"/>
        <v>01-05-2026</v>
      </c>
      <c r="B91" s="24" t="s">
        <v>36</v>
      </c>
      <c r="C91" s="4">
        <v>8905952842321</v>
      </c>
      <c r="D91" s="24">
        <v>34</v>
      </c>
      <c r="E91" s="24" t="s">
        <v>175</v>
      </c>
      <c r="F91" s="25" t="str">
        <f t="shared" si="5"/>
        <v>FLYING MACHINE</v>
      </c>
      <c r="G91" s="24">
        <v>1</v>
      </c>
      <c r="H91" s="25" t="str">
        <f t="shared" si="6"/>
        <v>Pcs.</v>
      </c>
      <c r="I91" s="26">
        <v>3476</v>
      </c>
      <c r="J91" s="27">
        <f t="shared" si="7"/>
        <v>3476</v>
      </c>
    </row>
    <row r="92" spans="1:10" x14ac:dyDescent="0.3">
      <c r="A92" s="23" t="str">
        <f t="shared" si="4"/>
        <v>01-05-2026</v>
      </c>
      <c r="B92" s="24" t="s">
        <v>36</v>
      </c>
      <c r="C92" s="4">
        <v>8905952842413</v>
      </c>
      <c r="D92" s="24">
        <v>32</v>
      </c>
      <c r="E92" s="24" t="s">
        <v>176</v>
      </c>
      <c r="F92" s="25" t="str">
        <f t="shared" si="5"/>
        <v>FLYING MACHINE</v>
      </c>
      <c r="G92" s="24">
        <v>1</v>
      </c>
      <c r="H92" s="25" t="str">
        <f t="shared" si="6"/>
        <v>Pcs.</v>
      </c>
      <c r="I92" s="26">
        <v>3160</v>
      </c>
      <c r="J92" s="27">
        <f t="shared" si="7"/>
        <v>3160</v>
      </c>
    </row>
    <row r="93" spans="1:10" x14ac:dyDescent="0.3">
      <c r="A93" s="23" t="str">
        <f t="shared" si="4"/>
        <v>01-05-2026</v>
      </c>
      <c r="B93" s="24" t="s">
        <v>36</v>
      </c>
      <c r="C93" s="4">
        <v>8905952842437</v>
      </c>
      <c r="D93" s="24">
        <v>36</v>
      </c>
      <c r="E93" s="24" t="s">
        <v>176</v>
      </c>
      <c r="F93" s="25" t="str">
        <f t="shared" si="5"/>
        <v>FLYING MACHINE</v>
      </c>
      <c r="G93" s="24">
        <v>1</v>
      </c>
      <c r="H93" s="25" t="str">
        <f t="shared" si="6"/>
        <v>Pcs.</v>
      </c>
      <c r="I93" s="26">
        <v>3160</v>
      </c>
      <c r="J93" s="27">
        <f t="shared" si="7"/>
        <v>3160</v>
      </c>
    </row>
    <row r="94" spans="1:10" x14ac:dyDescent="0.3">
      <c r="A94" s="23" t="str">
        <f t="shared" si="4"/>
        <v>01-05-2026</v>
      </c>
      <c r="B94" s="24" t="s">
        <v>36</v>
      </c>
      <c r="C94" s="4">
        <v>8905952842857</v>
      </c>
      <c r="D94" s="24" t="s">
        <v>57</v>
      </c>
      <c r="E94" s="24" t="s">
        <v>177</v>
      </c>
      <c r="F94" s="25" t="str">
        <f t="shared" si="5"/>
        <v>FLYING MACHINE</v>
      </c>
      <c r="G94" s="24">
        <v>1</v>
      </c>
      <c r="H94" s="25" t="str">
        <f t="shared" si="6"/>
        <v>Pcs.</v>
      </c>
      <c r="I94" s="26">
        <v>3160</v>
      </c>
      <c r="J94" s="27">
        <f t="shared" si="7"/>
        <v>3160</v>
      </c>
    </row>
    <row r="95" spans="1:10" x14ac:dyDescent="0.3">
      <c r="A95" s="23" t="str">
        <f t="shared" si="4"/>
        <v>01-05-2026</v>
      </c>
      <c r="B95" s="24" t="s">
        <v>36</v>
      </c>
      <c r="C95" s="4">
        <v>8905952842956</v>
      </c>
      <c r="D95" s="24">
        <v>32</v>
      </c>
      <c r="E95" s="24" t="s">
        <v>178</v>
      </c>
      <c r="F95" s="25" t="str">
        <f t="shared" si="5"/>
        <v>FLYING MACHINE</v>
      </c>
      <c r="G95" s="24">
        <v>1</v>
      </c>
      <c r="H95" s="25" t="str">
        <f t="shared" si="6"/>
        <v>Pcs.</v>
      </c>
      <c r="I95" s="26">
        <v>3476</v>
      </c>
      <c r="J95" s="27">
        <f t="shared" si="7"/>
        <v>3476</v>
      </c>
    </row>
    <row r="96" spans="1:10" x14ac:dyDescent="0.3">
      <c r="A96" s="23" t="str">
        <f t="shared" si="4"/>
        <v>01-05-2026</v>
      </c>
      <c r="B96" s="24" t="s">
        <v>36</v>
      </c>
      <c r="C96" s="4">
        <v>8905952842963</v>
      </c>
      <c r="D96" s="24">
        <v>34</v>
      </c>
      <c r="E96" s="24" t="s">
        <v>178</v>
      </c>
      <c r="F96" s="25" t="str">
        <f t="shared" si="5"/>
        <v>FLYING MACHINE</v>
      </c>
      <c r="G96" s="24">
        <v>1</v>
      </c>
      <c r="H96" s="25" t="str">
        <f t="shared" si="6"/>
        <v>Pcs.</v>
      </c>
      <c r="I96" s="26">
        <v>3476</v>
      </c>
      <c r="J96" s="27">
        <f t="shared" si="7"/>
        <v>3476</v>
      </c>
    </row>
    <row r="97" spans="1:10" x14ac:dyDescent="0.3">
      <c r="A97" s="23" t="str">
        <f t="shared" si="4"/>
        <v>01-05-2026</v>
      </c>
      <c r="B97" s="24" t="s">
        <v>36</v>
      </c>
      <c r="C97" s="4">
        <v>8905952843298</v>
      </c>
      <c r="D97" s="24">
        <v>28</v>
      </c>
      <c r="E97" s="24" t="s">
        <v>179</v>
      </c>
      <c r="F97" s="25" t="str">
        <f t="shared" si="5"/>
        <v>FLYING MACHINE</v>
      </c>
      <c r="G97" s="24">
        <v>1</v>
      </c>
      <c r="H97" s="25" t="str">
        <f t="shared" si="6"/>
        <v>Pcs.</v>
      </c>
      <c r="I97" s="26">
        <v>3160</v>
      </c>
      <c r="J97" s="27">
        <f t="shared" si="7"/>
        <v>3160</v>
      </c>
    </row>
    <row r="98" spans="1:10" x14ac:dyDescent="0.3">
      <c r="A98" s="23" t="str">
        <f t="shared" si="4"/>
        <v>01-05-2026</v>
      </c>
      <c r="B98" s="24" t="s">
        <v>36</v>
      </c>
      <c r="C98" s="4">
        <v>8905952843304</v>
      </c>
      <c r="D98" s="24">
        <v>30</v>
      </c>
      <c r="E98" s="24" t="s">
        <v>179</v>
      </c>
      <c r="F98" s="25" t="str">
        <f t="shared" si="5"/>
        <v>FLYING MACHINE</v>
      </c>
      <c r="G98" s="24">
        <v>2</v>
      </c>
      <c r="H98" s="25" t="str">
        <f t="shared" si="6"/>
        <v>Pcs.</v>
      </c>
      <c r="I98" s="26">
        <v>3159.66</v>
      </c>
      <c r="J98" s="27">
        <f t="shared" si="7"/>
        <v>6319.32</v>
      </c>
    </row>
    <row r="99" spans="1:10" x14ac:dyDescent="0.3">
      <c r="A99" s="23" t="str">
        <f t="shared" si="4"/>
        <v>01-05-2026</v>
      </c>
      <c r="B99" s="24" t="s">
        <v>36</v>
      </c>
      <c r="C99" s="4">
        <v>8905952843311</v>
      </c>
      <c r="D99" s="24">
        <v>32</v>
      </c>
      <c r="E99" s="24" t="s">
        <v>179</v>
      </c>
      <c r="F99" s="25" t="str">
        <f t="shared" si="5"/>
        <v>FLYING MACHINE</v>
      </c>
      <c r="G99" s="24">
        <v>3</v>
      </c>
      <c r="H99" s="25" t="str">
        <f t="shared" si="6"/>
        <v>Pcs.</v>
      </c>
      <c r="I99" s="26">
        <v>3160</v>
      </c>
      <c r="J99" s="27">
        <f t="shared" si="7"/>
        <v>9480</v>
      </c>
    </row>
    <row r="100" spans="1:10" x14ac:dyDescent="0.3">
      <c r="A100" s="23" t="str">
        <f t="shared" si="4"/>
        <v>01-05-2026</v>
      </c>
      <c r="B100" s="24" t="s">
        <v>36</v>
      </c>
      <c r="C100" s="4">
        <v>8905952843328</v>
      </c>
      <c r="D100" s="24">
        <v>34</v>
      </c>
      <c r="E100" s="24" t="s">
        <v>179</v>
      </c>
      <c r="F100" s="25" t="str">
        <f t="shared" si="5"/>
        <v>FLYING MACHINE</v>
      </c>
      <c r="G100" s="24">
        <v>2</v>
      </c>
      <c r="H100" s="25" t="str">
        <f t="shared" si="6"/>
        <v>Pcs.</v>
      </c>
      <c r="I100" s="26">
        <v>3160</v>
      </c>
      <c r="J100" s="27">
        <f t="shared" si="7"/>
        <v>6320</v>
      </c>
    </row>
    <row r="101" spans="1:10" x14ac:dyDescent="0.3">
      <c r="A101" s="23" t="str">
        <f t="shared" si="4"/>
        <v>01-05-2026</v>
      </c>
      <c r="B101" s="24" t="s">
        <v>36</v>
      </c>
      <c r="C101" s="4">
        <v>8905952843762</v>
      </c>
      <c r="D101" s="24">
        <v>32</v>
      </c>
      <c r="E101" s="24" t="s">
        <v>122</v>
      </c>
      <c r="F101" s="25" t="str">
        <f t="shared" si="5"/>
        <v>FLYING MACHINE</v>
      </c>
      <c r="G101" s="24">
        <v>1</v>
      </c>
      <c r="H101" s="25" t="str">
        <f t="shared" si="6"/>
        <v>Pcs.</v>
      </c>
      <c r="I101" s="26">
        <v>3686</v>
      </c>
      <c r="J101" s="27">
        <f t="shared" si="7"/>
        <v>3686</v>
      </c>
    </row>
    <row r="102" spans="1:10" x14ac:dyDescent="0.3">
      <c r="A102" s="23" t="str">
        <f t="shared" si="4"/>
        <v>01-05-2026</v>
      </c>
      <c r="B102" s="24" t="s">
        <v>36</v>
      </c>
      <c r="C102" s="4">
        <v>8905952843779</v>
      </c>
      <c r="D102" s="24">
        <v>34</v>
      </c>
      <c r="E102" s="24" t="s">
        <v>122</v>
      </c>
      <c r="F102" s="25" t="str">
        <f t="shared" si="5"/>
        <v>FLYING MACHINE</v>
      </c>
      <c r="G102" s="24">
        <v>1</v>
      </c>
      <c r="H102" s="25" t="str">
        <f t="shared" si="6"/>
        <v>Pcs.</v>
      </c>
      <c r="I102" s="26">
        <v>3686.45</v>
      </c>
      <c r="J102" s="27">
        <f t="shared" si="7"/>
        <v>3686.45</v>
      </c>
    </row>
    <row r="103" spans="1:10" x14ac:dyDescent="0.3">
      <c r="A103" s="23" t="str">
        <f t="shared" si="4"/>
        <v>01-05-2026</v>
      </c>
      <c r="B103" s="24" t="s">
        <v>36</v>
      </c>
      <c r="C103" s="4">
        <v>8905952843939</v>
      </c>
      <c r="D103" s="24">
        <v>34</v>
      </c>
      <c r="E103" s="24" t="s">
        <v>180</v>
      </c>
      <c r="F103" s="25" t="str">
        <f t="shared" si="5"/>
        <v>FLYING MACHINE</v>
      </c>
      <c r="G103" s="24">
        <v>1</v>
      </c>
      <c r="H103" s="25" t="str">
        <f t="shared" si="6"/>
        <v>Pcs.</v>
      </c>
      <c r="I103" s="26">
        <v>3160</v>
      </c>
      <c r="J103" s="27">
        <f t="shared" si="7"/>
        <v>3160</v>
      </c>
    </row>
    <row r="104" spans="1:10" x14ac:dyDescent="0.3">
      <c r="A104" s="23" t="str">
        <f t="shared" si="4"/>
        <v>01-05-2026</v>
      </c>
      <c r="B104" s="24" t="s">
        <v>36</v>
      </c>
      <c r="C104" s="4">
        <v>8905952843946</v>
      </c>
      <c r="D104" s="24">
        <v>34</v>
      </c>
      <c r="E104" s="24" t="s">
        <v>180</v>
      </c>
      <c r="F104" s="25" t="str">
        <f t="shared" si="5"/>
        <v>FLYING MACHINE</v>
      </c>
      <c r="G104" s="24">
        <v>1</v>
      </c>
      <c r="H104" s="25" t="str">
        <f t="shared" si="6"/>
        <v>Pcs.</v>
      </c>
      <c r="I104" s="26">
        <v>3160</v>
      </c>
      <c r="J104" s="27">
        <f t="shared" si="7"/>
        <v>3160</v>
      </c>
    </row>
    <row r="105" spans="1:10" x14ac:dyDescent="0.3">
      <c r="A105" s="23" t="str">
        <f t="shared" si="4"/>
        <v>01-05-2026</v>
      </c>
      <c r="B105" s="24" t="s">
        <v>36</v>
      </c>
      <c r="C105" s="4">
        <v>8905952843953</v>
      </c>
      <c r="D105" s="24">
        <v>34</v>
      </c>
      <c r="E105" s="24" t="s">
        <v>180</v>
      </c>
      <c r="F105" s="25" t="str">
        <f t="shared" si="5"/>
        <v>FLYING MACHINE</v>
      </c>
      <c r="G105" s="24">
        <v>1</v>
      </c>
      <c r="H105" s="25" t="str">
        <f t="shared" si="6"/>
        <v>Pcs.</v>
      </c>
      <c r="I105" s="26">
        <v>3160</v>
      </c>
      <c r="J105" s="27">
        <f t="shared" si="7"/>
        <v>3160</v>
      </c>
    </row>
    <row r="106" spans="1:10" x14ac:dyDescent="0.3">
      <c r="A106" s="23" t="str">
        <f t="shared" si="4"/>
        <v>01-05-2026</v>
      </c>
      <c r="B106" s="24" t="s">
        <v>36</v>
      </c>
      <c r="C106" s="4">
        <v>8905952844028</v>
      </c>
      <c r="D106" s="24">
        <v>30</v>
      </c>
      <c r="E106" s="24" t="s">
        <v>181</v>
      </c>
      <c r="F106" s="25" t="str">
        <f t="shared" si="5"/>
        <v>FLYING MACHINE</v>
      </c>
      <c r="G106" s="24">
        <v>3</v>
      </c>
      <c r="H106" s="25" t="str">
        <f t="shared" si="6"/>
        <v>Pcs.</v>
      </c>
      <c r="I106" s="26">
        <v>3476</v>
      </c>
      <c r="J106" s="27">
        <f t="shared" si="7"/>
        <v>10428</v>
      </c>
    </row>
    <row r="107" spans="1:10" x14ac:dyDescent="0.3">
      <c r="A107" s="23" t="str">
        <f t="shared" si="4"/>
        <v>01-05-2026</v>
      </c>
      <c r="B107" s="24" t="s">
        <v>36</v>
      </c>
      <c r="C107" s="4">
        <v>8905952844035</v>
      </c>
      <c r="D107" s="24">
        <v>30</v>
      </c>
      <c r="E107" s="24" t="s">
        <v>181</v>
      </c>
      <c r="F107" s="25" t="str">
        <f t="shared" si="5"/>
        <v>FLYING MACHINE</v>
      </c>
      <c r="G107" s="24">
        <v>5</v>
      </c>
      <c r="H107" s="25" t="str">
        <f t="shared" si="6"/>
        <v>Pcs.</v>
      </c>
      <c r="I107" s="26">
        <v>3476</v>
      </c>
      <c r="J107" s="27">
        <f t="shared" si="7"/>
        <v>17380</v>
      </c>
    </row>
    <row r="108" spans="1:10" x14ac:dyDescent="0.3">
      <c r="A108" s="23" t="str">
        <f t="shared" si="4"/>
        <v>01-05-2026</v>
      </c>
      <c r="B108" s="24" t="s">
        <v>36</v>
      </c>
      <c r="C108" s="4">
        <v>8905952844042</v>
      </c>
      <c r="D108" s="24">
        <v>30</v>
      </c>
      <c r="E108" s="24" t="s">
        <v>181</v>
      </c>
      <c r="F108" s="25" t="str">
        <f t="shared" si="5"/>
        <v>FLYING MACHINE</v>
      </c>
      <c r="G108" s="24">
        <v>4</v>
      </c>
      <c r="H108" s="25" t="str">
        <f t="shared" si="6"/>
        <v>Pcs.</v>
      </c>
      <c r="I108" s="26">
        <v>3476</v>
      </c>
      <c r="J108" s="27">
        <f t="shared" si="7"/>
        <v>13904</v>
      </c>
    </row>
    <row r="109" spans="1:10" x14ac:dyDescent="0.3">
      <c r="A109" s="23" t="str">
        <f t="shared" si="4"/>
        <v>01-05-2026</v>
      </c>
      <c r="B109" s="24" t="s">
        <v>36</v>
      </c>
      <c r="C109" s="4">
        <v>8905952844127</v>
      </c>
      <c r="D109" s="24">
        <v>32</v>
      </c>
      <c r="E109" s="24" t="s">
        <v>182</v>
      </c>
      <c r="F109" s="25" t="str">
        <f t="shared" si="5"/>
        <v>FLYING MACHINE</v>
      </c>
      <c r="G109" s="24">
        <v>2</v>
      </c>
      <c r="H109" s="25" t="str">
        <f t="shared" si="6"/>
        <v>Pcs.</v>
      </c>
      <c r="I109" s="26">
        <v>3476</v>
      </c>
      <c r="J109" s="27">
        <f t="shared" si="7"/>
        <v>6952</v>
      </c>
    </row>
    <row r="110" spans="1:10" x14ac:dyDescent="0.3">
      <c r="A110" s="23" t="str">
        <f t="shared" si="4"/>
        <v>01-05-2026</v>
      </c>
      <c r="B110" s="24" t="s">
        <v>36</v>
      </c>
      <c r="C110" s="4">
        <v>8905952844134</v>
      </c>
      <c r="D110" s="24">
        <v>34</v>
      </c>
      <c r="E110" s="24" t="s">
        <v>182</v>
      </c>
      <c r="F110" s="25" t="str">
        <f t="shared" si="5"/>
        <v>FLYING MACHINE</v>
      </c>
      <c r="G110" s="24">
        <v>3</v>
      </c>
      <c r="H110" s="25" t="str">
        <f t="shared" si="6"/>
        <v>Pcs.</v>
      </c>
      <c r="I110" s="26">
        <v>3476</v>
      </c>
      <c r="J110" s="27">
        <f t="shared" si="7"/>
        <v>10428</v>
      </c>
    </row>
    <row r="111" spans="1:10" x14ac:dyDescent="0.3">
      <c r="A111" s="23" t="str">
        <f t="shared" si="4"/>
        <v>01-05-2026</v>
      </c>
      <c r="B111" s="24" t="s">
        <v>36</v>
      </c>
      <c r="C111" s="4">
        <v>8905952844219</v>
      </c>
      <c r="D111" s="24" t="s">
        <v>39</v>
      </c>
      <c r="E111" s="24" t="s">
        <v>183</v>
      </c>
      <c r="F111" s="25" t="str">
        <f t="shared" si="5"/>
        <v>FLYING MACHINE</v>
      </c>
      <c r="G111" s="24">
        <v>2</v>
      </c>
      <c r="H111" s="25" t="str">
        <f t="shared" si="6"/>
        <v>Pcs.</v>
      </c>
      <c r="I111" s="26">
        <v>3476</v>
      </c>
      <c r="J111" s="27">
        <f t="shared" si="7"/>
        <v>6952</v>
      </c>
    </row>
    <row r="112" spans="1:10" x14ac:dyDescent="0.3">
      <c r="A112" s="23" t="str">
        <f t="shared" si="4"/>
        <v>01-05-2026</v>
      </c>
      <c r="B112" s="24" t="s">
        <v>36</v>
      </c>
      <c r="C112" s="4">
        <v>8905952846190</v>
      </c>
      <c r="D112" s="24">
        <v>32</v>
      </c>
      <c r="E112" s="24" t="s">
        <v>105</v>
      </c>
      <c r="F112" s="25" t="str">
        <f t="shared" si="5"/>
        <v>FLYING MACHINE</v>
      </c>
      <c r="G112" s="24">
        <v>2</v>
      </c>
      <c r="H112" s="25" t="str">
        <f t="shared" si="6"/>
        <v>Pcs.</v>
      </c>
      <c r="I112" s="26">
        <v>3476</v>
      </c>
      <c r="J112" s="27">
        <f t="shared" si="7"/>
        <v>6952</v>
      </c>
    </row>
    <row r="113" spans="1:10" x14ac:dyDescent="0.3">
      <c r="A113" s="23" t="str">
        <f t="shared" si="4"/>
        <v>01-05-2026</v>
      </c>
      <c r="B113" s="24" t="s">
        <v>36</v>
      </c>
      <c r="C113" s="4">
        <v>8905952846206</v>
      </c>
      <c r="D113" s="24">
        <v>34</v>
      </c>
      <c r="E113" s="24" t="s">
        <v>105</v>
      </c>
      <c r="F113" s="25" t="str">
        <f t="shared" si="5"/>
        <v>FLYING MACHINE</v>
      </c>
      <c r="G113" s="24">
        <v>1</v>
      </c>
      <c r="H113" s="25" t="str">
        <f t="shared" si="6"/>
        <v>Pcs.</v>
      </c>
      <c r="I113" s="26">
        <v>3476</v>
      </c>
      <c r="J113" s="27">
        <f t="shared" si="7"/>
        <v>3476</v>
      </c>
    </row>
    <row r="114" spans="1:10" x14ac:dyDescent="0.3">
      <c r="A114" s="23" t="str">
        <f t="shared" si="4"/>
        <v>01-05-2026</v>
      </c>
      <c r="B114" s="24" t="s">
        <v>36</v>
      </c>
      <c r="C114" s="4">
        <v>8905952846213</v>
      </c>
      <c r="D114" s="24">
        <v>36</v>
      </c>
      <c r="E114" s="24" t="s">
        <v>105</v>
      </c>
      <c r="F114" s="25" t="str">
        <f t="shared" si="5"/>
        <v>FLYING MACHINE</v>
      </c>
      <c r="G114" s="24">
        <v>1</v>
      </c>
      <c r="H114" s="25" t="str">
        <f t="shared" si="6"/>
        <v>Pcs.</v>
      </c>
      <c r="I114" s="26">
        <v>3476</v>
      </c>
      <c r="J114" s="27">
        <f t="shared" si="7"/>
        <v>3476</v>
      </c>
    </row>
    <row r="115" spans="1:10" x14ac:dyDescent="0.3">
      <c r="A115" s="23" t="str">
        <f t="shared" si="4"/>
        <v>01-05-2026</v>
      </c>
      <c r="B115" s="24" t="s">
        <v>36</v>
      </c>
      <c r="C115" s="4">
        <v>8905952846572</v>
      </c>
      <c r="D115" s="24">
        <v>36</v>
      </c>
      <c r="E115" s="24" t="s">
        <v>184</v>
      </c>
      <c r="F115" s="25" t="str">
        <f t="shared" si="5"/>
        <v>FLYING MACHINE</v>
      </c>
      <c r="G115" s="24">
        <v>1</v>
      </c>
      <c r="H115" s="25" t="str">
        <f t="shared" si="6"/>
        <v>Pcs.</v>
      </c>
      <c r="I115" s="26">
        <v>3476</v>
      </c>
      <c r="J115" s="27">
        <f t="shared" si="7"/>
        <v>3476</v>
      </c>
    </row>
    <row r="116" spans="1:10" x14ac:dyDescent="0.3">
      <c r="A116" s="23" t="str">
        <f t="shared" si="4"/>
        <v>01-05-2026</v>
      </c>
      <c r="B116" s="24" t="s">
        <v>36</v>
      </c>
      <c r="C116" s="4">
        <v>8905952846732</v>
      </c>
      <c r="D116" s="24">
        <v>32</v>
      </c>
      <c r="E116" s="24" t="s">
        <v>185</v>
      </c>
      <c r="F116" s="25" t="str">
        <f t="shared" si="5"/>
        <v>FLYING MACHINE</v>
      </c>
      <c r="G116" s="24">
        <v>1</v>
      </c>
      <c r="H116" s="25" t="str">
        <f t="shared" si="6"/>
        <v>Pcs.</v>
      </c>
      <c r="I116" s="26">
        <v>3476</v>
      </c>
      <c r="J116" s="27">
        <f t="shared" si="7"/>
        <v>3476</v>
      </c>
    </row>
    <row r="117" spans="1:10" x14ac:dyDescent="0.3">
      <c r="A117" s="23" t="str">
        <f t="shared" si="4"/>
        <v>01-05-2026</v>
      </c>
      <c r="B117" s="24" t="s">
        <v>36</v>
      </c>
      <c r="C117" s="4">
        <v>8905952846749</v>
      </c>
      <c r="D117" s="24">
        <v>34</v>
      </c>
      <c r="E117" s="24" t="s">
        <v>185</v>
      </c>
      <c r="F117" s="25" t="str">
        <f t="shared" si="5"/>
        <v>FLYING MACHINE</v>
      </c>
      <c r="G117" s="24">
        <v>2</v>
      </c>
      <c r="H117" s="25" t="str">
        <f t="shared" si="6"/>
        <v>Pcs.</v>
      </c>
      <c r="I117" s="26">
        <v>3476</v>
      </c>
      <c r="J117" s="27">
        <f t="shared" si="7"/>
        <v>6952</v>
      </c>
    </row>
    <row r="118" spans="1:10" x14ac:dyDescent="0.3">
      <c r="A118" s="23" t="str">
        <f t="shared" si="4"/>
        <v>01-05-2026</v>
      </c>
      <c r="B118" s="24" t="s">
        <v>36</v>
      </c>
      <c r="C118" s="4">
        <v>8905952846756</v>
      </c>
      <c r="D118" s="24">
        <v>36</v>
      </c>
      <c r="E118" s="24" t="s">
        <v>185</v>
      </c>
      <c r="F118" s="25" t="str">
        <f t="shared" si="5"/>
        <v>FLYING MACHINE</v>
      </c>
      <c r="G118" s="24">
        <v>1</v>
      </c>
      <c r="H118" s="25" t="str">
        <f t="shared" si="6"/>
        <v>Pcs.</v>
      </c>
      <c r="I118" s="26">
        <v>3476</v>
      </c>
      <c r="J118" s="27">
        <f t="shared" si="7"/>
        <v>3476</v>
      </c>
    </row>
    <row r="119" spans="1:10" x14ac:dyDescent="0.3">
      <c r="A119" s="23" t="str">
        <f t="shared" si="4"/>
        <v>01-05-2026</v>
      </c>
      <c r="B119" s="24" t="s">
        <v>36</v>
      </c>
      <c r="C119" s="4">
        <v>8905952847005</v>
      </c>
      <c r="D119" s="24">
        <v>34</v>
      </c>
      <c r="E119" s="24" t="s">
        <v>186</v>
      </c>
      <c r="F119" s="25" t="str">
        <f t="shared" si="5"/>
        <v>FLYING MACHINE</v>
      </c>
      <c r="G119" s="24">
        <v>1</v>
      </c>
      <c r="H119" s="25" t="str">
        <f t="shared" si="6"/>
        <v>Pcs.</v>
      </c>
      <c r="I119" s="26">
        <v>3686</v>
      </c>
      <c r="J119" s="27">
        <f t="shared" si="7"/>
        <v>3686</v>
      </c>
    </row>
    <row r="120" spans="1:10" x14ac:dyDescent="0.3">
      <c r="A120" s="23" t="str">
        <f t="shared" si="4"/>
        <v>01-05-2026</v>
      </c>
      <c r="B120" s="24" t="s">
        <v>36</v>
      </c>
      <c r="C120" s="4">
        <v>8905952847012</v>
      </c>
      <c r="D120" s="24">
        <v>34</v>
      </c>
      <c r="E120" s="24" t="s">
        <v>186</v>
      </c>
      <c r="F120" s="25" t="str">
        <f t="shared" si="5"/>
        <v>FLYING MACHINE</v>
      </c>
      <c r="G120" s="24">
        <v>1</v>
      </c>
      <c r="H120" s="25" t="str">
        <f t="shared" si="6"/>
        <v>Pcs.</v>
      </c>
      <c r="I120" s="26">
        <v>3686</v>
      </c>
      <c r="J120" s="27">
        <f t="shared" si="7"/>
        <v>3686</v>
      </c>
    </row>
    <row r="121" spans="1:10" x14ac:dyDescent="0.3">
      <c r="A121" s="23" t="str">
        <f t="shared" si="4"/>
        <v>01-05-2026</v>
      </c>
      <c r="B121" s="24" t="s">
        <v>36</v>
      </c>
      <c r="C121" s="4">
        <v>8905952847074</v>
      </c>
      <c r="D121" s="24">
        <v>28</v>
      </c>
      <c r="E121" s="24" t="s">
        <v>107</v>
      </c>
      <c r="F121" s="25" t="str">
        <f t="shared" si="5"/>
        <v>FLYING MACHINE</v>
      </c>
      <c r="G121" s="24">
        <v>1</v>
      </c>
      <c r="H121" s="25" t="str">
        <f t="shared" si="6"/>
        <v>Pcs.</v>
      </c>
      <c r="I121" s="26">
        <v>3686</v>
      </c>
      <c r="J121" s="27">
        <f t="shared" si="7"/>
        <v>3686</v>
      </c>
    </row>
    <row r="122" spans="1:10" x14ac:dyDescent="0.3">
      <c r="A122" s="23" t="str">
        <f t="shared" si="4"/>
        <v>01-05-2026</v>
      </c>
      <c r="B122" s="24" t="s">
        <v>36</v>
      </c>
      <c r="C122" s="4">
        <v>8905952847081</v>
      </c>
      <c r="D122" s="24">
        <v>30</v>
      </c>
      <c r="E122" s="24" t="s">
        <v>107</v>
      </c>
      <c r="F122" s="25" t="str">
        <f t="shared" si="5"/>
        <v>FLYING MACHINE</v>
      </c>
      <c r="G122" s="24">
        <v>1</v>
      </c>
      <c r="H122" s="25" t="str">
        <f t="shared" si="6"/>
        <v>Pcs.</v>
      </c>
      <c r="I122" s="26">
        <v>3686</v>
      </c>
      <c r="J122" s="27">
        <f t="shared" si="7"/>
        <v>3686</v>
      </c>
    </row>
    <row r="123" spans="1:10" x14ac:dyDescent="0.3">
      <c r="A123" s="23" t="str">
        <f t="shared" si="4"/>
        <v>01-05-2026</v>
      </c>
      <c r="B123" s="24" t="s">
        <v>36</v>
      </c>
      <c r="C123" s="4">
        <v>8905952847104</v>
      </c>
      <c r="D123" s="24">
        <v>34</v>
      </c>
      <c r="E123" s="24" t="s">
        <v>107</v>
      </c>
      <c r="F123" s="25" t="str">
        <f t="shared" si="5"/>
        <v>FLYING MACHINE</v>
      </c>
      <c r="G123" s="24">
        <v>2</v>
      </c>
      <c r="H123" s="25" t="str">
        <f t="shared" si="6"/>
        <v>Pcs.</v>
      </c>
      <c r="I123" s="26">
        <v>3686.45</v>
      </c>
      <c r="J123" s="27">
        <f t="shared" si="7"/>
        <v>7372.9</v>
      </c>
    </row>
    <row r="124" spans="1:10" x14ac:dyDescent="0.3">
      <c r="A124" s="23" t="str">
        <f t="shared" si="4"/>
        <v>01-05-2026</v>
      </c>
      <c r="B124" s="24" t="s">
        <v>36</v>
      </c>
      <c r="C124" s="4">
        <v>8905952847180</v>
      </c>
      <c r="D124" s="24">
        <v>34</v>
      </c>
      <c r="E124" s="24" t="s">
        <v>187</v>
      </c>
      <c r="F124" s="25" t="str">
        <f t="shared" si="5"/>
        <v>FLYING MACHINE</v>
      </c>
      <c r="G124" s="24">
        <v>2</v>
      </c>
      <c r="H124" s="25" t="str">
        <f t="shared" si="6"/>
        <v>Pcs.</v>
      </c>
      <c r="I124" s="26">
        <v>3686</v>
      </c>
      <c r="J124" s="27">
        <f t="shared" si="7"/>
        <v>7372</v>
      </c>
    </row>
    <row r="125" spans="1:10" x14ac:dyDescent="0.3">
      <c r="A125" s="23" t="str">
        <f t="shared" si="4"/>
        <v>01-05-2026</v>
      </c>
      <c r="B125" s="24" t="s">
        <v>36</v>
      </c>
      <c r="C125" s="4">
        <v>8905952847814</v>
      </c>
      <c r="D125" s="24">
        <v>32</v>
      </c>
      <c r="E125" s="24" t="s">
        <v>188</v>
      </c>
      <c r="F125" s="25" t="str">
        <f t="shared" si="5"/>
        <v>FLYING MACHINE</v>
      </c>
      <c r="G125" s="24">
        <v>2</v>
      </c>
      <c r="H125" s="25" t="str">
        <f t="shared" si="6"/>
        <v>Pcs.</v>
      </c>
      <c r="I125" s="26">
        <v>2624</v>
      </c>
      <c r="J125" s="27">
        <f t="shared" si="7"/>
        <v>5248</v>
      </c>
    </row>
    <row r="126" spans="1:10" x14ac:dyDescent="0.3">
      <c r="A126" s="23" t="str">
        <f t="shared" si="4"/>
        <v>01-05-2026</v>
      </c>
      <c r="B126" s="24" t="s">
        <v>36</v>
      </c>
      <c r="C126" s="4">
        <v>8905952847890</v>
      </c>
      <c r="D126" s="24">
        <v>30</v>
      </c>
      <c r="E126" s="24" t="s">
        <v>189</v>
      </c>
      <c r="F126" s="25" t="str">
        <f t="shared" si="5"/>
        <v>FLYING MACHINE</v>
      </c>
      <c r="G126" s="24">
        <v>1</v>
      </c>
      <c r="H126" s="25" t="str">
        <f t="shared" si="6"/>
        <v>Pcs.</v>
      </c>
      <c r="I126" s="26">
        <v>2624.07</v>
      </c>
      <c r="J126" s="27">
        <f t="shared" si="7"/>
        <v>2624.07</v>
      </c>
    </row>
    <row r="127" spans="1:10" x14ac:dyDescent="0.3">
      <c r="A127" s="23" t="str">
        <f t="shared" si="4"/>
        <v>01-05-2026</v>
      </c>
      <c r="B127" s="24" t="s">
        <v>36</v>
      </c>
      <c r="C127" s="4">
        <v>8905952847906</v>
      </c>
      <c r="D127" s="24">
        <v>32</v>
      </c>
      <c r="E127" s="24" t="s">
        <v>189</v>
      </c>
      <c r="F127" s="25" t="str">
        <f t="shared" si="5"/>
        <v>FLYING MACHINE</v>
      </c>
      <c r="G127" s="24">
        <v>1</v>
      </c>
      <c r="H127" s="25" t="str">
        <f t="shared" si="6"/>
        <v>Pcs.</v>
      </c>
      <c r="I127" s="26">
        <v>2624.07</v>
      </c>
      <c r="J127" s="27">
        <f t="shared" si="7"/>
        <v>2624.07</v>
      </c>
    </row>
    <row r="128" spans="1:10" x14ac:dyDescent="0.3">
      <c r="A128" s="23" t="str">
        <f t="shared" si="4"/>
        <v>01-05-2026</v>
      </c>
      <c r="B128" s="24" t="s">
        <v>36</v>
      </c>
      <c r="C128" s="4">
        <v>8905952847913</v>
      </c>
      <c r="D128" s="24">
        <v>34</v>
      </c>
      <c r="E128" s="24" t="s">
        <v>189</v>
      </c>
      <c r="F128" s="25" t="str">
        <f t="shared" si="5"/>
        <v>FLYING MACHINE</v>
      </c>
      <c r="G128" s="24">
        <v>1</v>
      </c>
      <c r="H128" s="25" t="str">
        <f t="shared" si="6"/>
        <v>Pcs.</v>
      </c>
      <c r="I128" s="26">
        <v>2624.07</v>
      </c>
      <c r="J128" s="27">
        <f t="shared" si="7"/>
        <v>2624.07</v>
      </c>
    </row>
    <row r="129" spans="1:10" x14ac:dyDescent="0.3">
      <c r="A129" s="23" t="str">
        <f t="shared" si="4"/>
        <v>01-05-2026</v>
      </c>
      <c r="B129" s="24" t="s">
        <v>36</v>
      </c>
      <c r="C129" s="4">
        <v>8905952849870</v>
      </c>
      <c r="D129" s="24">
        <v>30</v>
      </c>
      <c r="E129" s="24" t="s">
        <v>190</v>
      </c>
      <c r="F129" s="25" t="str">
        <f t="shared" si="5"/>
        <v>FLYING MACHINE</v>
      </c>
      <c r="G129" s="24">
        <v>1</v>
      </c>
      <c r="H129" s="25" t="str">
        <f t="shared" si="6"/>
        <v>Pcs.</v>
      </c>
      <c r="I129" s="26">
        <v>2624</v>
      </c>
      <c r="J129" s="27">
        <f t="shared" si="7"/>
        <v>2624</v>
      </c>
    </row>
    <row r="130" spans="1:10" x14ac:dyDescent="0.3">
      <c r="A130" s="23" t="str">
        <f t="shared" si="4"/>
        <v>01-05-2026</v>
      </c>
      <c r="B130" s="24" t="s">
        <v>36</v>
      </c>
      <c r="C130" s="4">
        <v>8905952849894</v>
      </c>
      <c r="D130" s="24">
        <v>34</v>
      </c>
      <c r="E130" s="24" t="s">
        <v>190</v>
      </c>
      <c r="F130" s="25" t="str">
        <f t="shared" si="5"/>
        <v>FLYING MACHINE</v>
      </c>
      <c r="G130" s="24">
        <v>1</v>
      </c>
      <c r="H130" s="25" t="str">
        <f t="shared" si="6"/>
        <v>Pcs.</v>
      </c>
      <c r="I130" s="26">
        <v>2624</v>
      </c>
      <c r="J130" s="27">
        <f t="shared" si="7"/>
        <v>2624</v>
      </c>
    </row>
    <row r="131" spans="1:10" x14ac:dyDescent="0.3">
      <c r="A131" s="23" t="str">
        <f t="shared" si="4"/>
        <v>01-05-2026</v>
      </c>
      <c r="B131" s="24" t="s">
        <v>36</v>
      </c>
      <c r="C131" s="4">
        <v>8905952849900</v>
      </c>
      <c r="D131" s="24">
        <v>36</v>
      </c>
      <c r="E131" s="24" t="s">
        <v>190</v>
      </c>
      <c r="F131" s="25" t="str">
        <f t="shared" si="5"/>
        <v>FLYING MACHINE</v>
      </c>
      <c r="G131" s="24">
        <v>1</v>
      </c>
      <c r="H131" s="25" t="str">
        <f t="shared" si="6"/>
        <v>Pcs.</v>
      </c>
      <c r="I131" s="26">
        <v>2624</v>
      </c>
      <c r="J131" s="27">
        <f t="shared" si="7"/>
        <v>2624</v>
      </c>
    </row>
    <row r="132" spans="1:10" x14ac:dyDescent="0.3">
      <c r="A132" s="23" t="str">
        <f t="shared" si="4"/>
        <v>01-05-2026</v>
      </c>
      <c r="B132" s="24" t="s">
        <v>36</v>
      </c>
      <c r="C132" s="4">
        <v>8905952849962</v>
      </c>
      <c r="D132" s="24" t="s">
        <v>51</v>
      </c>
      <c r="E132" s="24" t="s">
        <v>191</v>
      </c>
      <c r="F132" s="25" t="str">
        <f t="shared" si="5"/>
        <v>FLYING MACHINE</v>
      </c>
      <c r="G132" s="24">
        <v>1</v>
      </c>
      <c r="H132" s="25" t="str">
        <f t="shared" si="6"/>
        <v>Pcs.</v>
      </c>
      <c r="I132" s="26">
        <v>2624</v>
      </c>
      <c r="J132" s="27">
        <f t="shared" si="7"/>
        <v>2624</v>
      </c>
    </row>
    <row r="133" spans="1:10" x14ac:dyDescent="0.3">
      <c r="A133" s="23" t="str">
        <f t="shared" ref="A133:A196" si="8">IF(C133&gt;0,RIGHT($D$3,10)," ")</f>
        <v>01-05-2026</v>
      </c>
      <c r="B133" s="24" t="s">
        <v>36</v>
      </c>
      <c r="C133" s="4">
        <v>8905952850777</v>
      </c>
      <c r="D133" s="24">
        <v>34</v>
      </c>
      <c r="E133" s="24" t="s">
        <v>192</v>
      </c>
      <c r="F133" s="25" t="str">
        <f t="shared" ref="F133:F196" si="9">IF(C133&gt;0,$C$3," ")</f>
        <v>FLYING MACHINE</v>
      </c>
      <c r="G133" s="24">
        <v>1</v>
      </c>
      <c r="H133" s="25" t="str">
        <f t="shared" ref="H133:H196" si="10">IF(G133&gt;0,"Pcs."," ")</f>
        <v>Pcs.</v>
      </c>
      <c r="I133" s="26">
        <v>3160</v>
      </c>
      <c r="J133" s="27">
        <f t="shared" ref="J133:J196" si="11">IF(I133*G133=0," ",I133*G133)</f>
        <v>3160</v>
      </c>
    </row>
    <row r="134" spans="1:10" x14ac:dyDescent="0.3">
      <c r="A134" s="23" t="str">
        <f t="shared" si="8"/>
        <v>01-05-2026</v>
      </c>
      <c r="B134" s="24" t="s">
        <v>36</v>
      </c>
      <c r="C134" s="4">
        <v>8905952850784</v>
      </c>
      <c r="D134" s="24">
        <v>34</v>
      </c>
      <c r="E134" s="24" t="s">
        <v>192</v>
      </c>
      <c r="F134" s="25" t="str">
        <f t="shared" si="9"/>
        <v>FLYING MACHINE</v>
      </c>
      <c r="G134" s="24">
        <v>2</v>
      </c>
      <c r="H134" s="25" t="str">
        <f t="shared" si="10"/>
        <v>Pcs.</v>
      </c>
      <c r="I134" s="26">
        <v>3160</v>
      </c>
      <c r="J134" s="27">
        <f t="shared" si="11"/>
        <v>6320</v>
      </c>
    </row>
    <row r="135" spans="1:10" x14ac:dyDescent="0.3">
      <c r="A135" s="23" t="str">
        <f t="shared" si="8"/>
        <v>01-05-2026</v>
      </c>
      <c r="B135" s="24" t="s">
        <v>36</v>
      </c>
      <c r="C135" s="4">
        <v>8905952851132</v>
      </c>
      <c r="D135" s="24" t="s">
        <v>39</v>
      </c>
      <c r="E135" s="24" t="s">
        <v>193</v>
      </c>
      <c r="F135" s="25" t="str">
        <f t="shared" si="9"/>
        <v>FLYING MACHINE</v>
      </c>
      <c r="G135" s="24">
        <v>2</v>
      </c>
      <c r="H135" s="25" t="str">
        <f t="shared" si="10"/>
        <v>Pcs.</v>
      </c>
      <c r="I135" s="26">
        <v>3476</v>
      </c>
      <c r="J135" s="27">
        <f t="shared" si="11"/>
        <v>6952</v>
      </c>
    </row>
    <row r="136" spans="1:10" x14ac:dyDescent="0.3">
      <c r="A136" s="23" t="str">
        <f t="shared" si="8"/>
        <v>01-05-2026</v>
      </c>
      <c r="B136" s="24" t="s">
        <v>36</v>
      </c>
      <c r="C136" s="4">
        <v>8905952851149</v>
      </c>
      <c r="D136" s="24" t="s">
        <v>51</v>
      </c>
      <c r="E136" s="24" t="s">
        <v>193</v>
      </c>
      <c r="F136" s="25" t="str">
        <f t="shared" si="9"/>
        <v>FLYING MACHINE</v>
      </c>
      <c r="G136" s="24">
        <v>3</v>
      </c>
      <c r="H136" s="25" t="str">
        <f t="shared" si="10"/>
        <v>Pcs.</v>
      </c>
      <c r="I136" s="26">
        <v>3476</v>
      </c>
      <c r="J136" s="27">
        <f t="shared" si="11"/>
        <v>10428</v>
      </c>
    </row>
    <row r="137" spans="1:10" x14ac:dyDescent="0.3">
      <c r="A137" s="23" t="str">
        <f t="shared" si="8"/>
        <v>01-05-2026</v>
      </c>
      <c r="B137" s="24" t="s">
        <v>36</v>
      </c>
      <c r="C137" s="4">
        <v>8905952851323</v>
      </c>
      <c r="D137" s="24">
        <v>32</v>
      </c>
      <c r="E137" s="24" t="s">
        <v>194</v>
      </c>
      <c r="F137" s="25" t="str">
        <f t="shared" si="9"/>
        <v>FLYING MACHINE</v>
      </c>
      <c r="G137" s="24">
        <v>1</v>
      </c>
      <c r="H137" s="25" t="str">
        <f t="shared" si="10"/>
        <v>Pcs.</v>
      </c>
      <c r="I137" s="26">
        <v>3686</v>
      </c>
      <c r="J137" s="27">
        <f t="shared" si="11"/>
        <v>3686</v>
      </c>
    </row>
    <row r="138" spans="1:10" x14ac:dyDescent="0.3">
      <c r="A138" s="23" t="str">
        <f t="shared" si="8"/>
        <v>01-05-2026</v>
      </c>
      <c r="B138" s="24" t="s">
        <v>36</v>
      </c>
      <c r="C138" s="4">
        <v>8905952851330</v>
      </c>
      <c r="D138" s="24">
        <v>34</v>
      </c>
      <c r="E138" s="24" t="s">
        <v>194</v>
      </c>
      <c r="F138" s="25" t="str">
        <f t="shared" si="9"/>
        <v>FLYING MACHINE</v>
      </c>
      <c r="G138" s="24">
        <v>1</v>
      </c>
      <c r="H138" s="25" t="str">
        <f t="shared" si="10"/>
        <v>Pcs.</v>
      </c>
      <c r="I138" s="26">
        <v>3686</v>
      </c>
      <c r="J138" s="27">
        <f t="shared" si="11"/>
        <v>3686</v>
      </c>
    </row>
    <row r="139" spans="1:10" x14ac:dyDescent="0.3">
      <c r="A139" s="23" t="str">
        <f t="shared" si="8"/>
        <v>01-05-2026</v>
      </c>
      <c r="B139" s="24" t="s">
        <v>36</v>
      </c>
      <c r="C139" s="4">
        <v>8905952851347</v>
      </c>
      <c r="D139" s="24">
        <v>36</v>
      </c>
      <c r="E139" s="24" t="s">
        <v>194</v>
      </c>
      <c r="F139" s="25" t="str">
        <f t="shared" si="9"/>
        <v>FLYING MACHINE</v>
      </c>
      <c r="G139" s="24">
        <v>2</v>
      </c>
      <c r="H139" s="25" t="str">
        <f t="shared" si="10"/>
        <v>Pcs.</v>
      </c>
      <c r="I139" s="26">
        <v>3686</v>
      </c>
      <c r="J139" s="27">
        <f t="shared" si="11"/>
        <v>7372</v>
      </c>
    </row>
    <row r="140" spans="1:10" x14ac:dyDescent="0.3">
      <c r="A140" s="23" t="str">
        <f t="shared" si="8"/>
        <v>01-05-2026</v>
      </c>
      <c r="B140" s="24" t="s">
        <v>36</v>
      </c>
      <c r="C140" s="4">
        <v>8905952851521</v>
      </c>
      <c r="D140" s="24">
        <v>36</v>
      </c>
      <c r="E140" s="24" t="s">
        <v>195</v>
      </c>
      <c r="F140" s="25" t="str">
        <f t="shared" si="9"/>
        <v>FLYING MACHINE</v>
      </c>
      <c r="G140" s="24">
        <v>1</v>
      </c>
      <c r="H140" s="25" t="str">
        <f t="shared" si="10"/>
        <v>Pcs.</v>
      </c>
      <c r="I140" s="26">
        <v>3160</v>
      </c>
      <c r="J140" s="27">
        <f t="shared" si="11"/>
        <v>3160</v>
      </c>
    </row>
    <row r="141" spans="1:10" x14ac:dyDescent="0.3">
      <c r="A141" s="23" t="str">
        <f t="shared" si="8"/>
        <v>01-05-2026</v>
      </c>
      <c r="B141" s="24" t="s">
        <v>36</v>
      </c>
      <c r="C141" s="4">
        <v>8905952851682</v>
      </c>
      <c r="D141" s="24">
        <v>34</v>
      </c>
      <c r="E141" s="24" t="s">
        <v>196</v>
      </c>
      <c r="F141" s="25" t="str">
        <f t="shared" si="9"/>
        <v>FLYING MACHINE</v>
      </c>
      <c r="G141" s="24">
        <v>1</v>
      </c>
      <c r="H141" s="25" t="str">
        <f t="shared" si="10"/>
        <v>Pcs.</v>
      </c>
      <c r="I141" s="26">
        <v>3160</v>
      </c>
      <c r="J141" s="27">
        <f t="shared" si="11"/>
        <v>3160</v>
      </c>
    </row>
    <row r="142" spans="1:10" x14ac:dyDescent="0.3">
      <c r="A142" s="23" t="str">
        <f t="shared" si="8"/>
        <v>01-05-2026</v>
      </c>
      <c r="B142" s="24" t="s">
        <v>36</v>
      </c>
      <c r="C142" s="4">
        <v>8905952851767</v>
      </c>
      <c r="D142" s="24">
        <v>30</v>
      </c>
      <c r="E142" s="24" t="s">
        <v>197</v>
      </c>
      <c r="F142" s="25" t="str">
        <f t="shared" si="9"/>
        <v>FLYING MACHINE</v>
      </c>
      <c r="G142" s="24">
        <v>1</v>
      </c>
      <c r="H142" s="25" t="str">
        <f t="shared" si="10"/>
        <v>Pcs.</v>
      </c>
      <c r="I142" s="26">
        <v>3476</v>
      </c>
      <c r="J142" s="27">
        <f t="shared" si="11"/>
        <v>3476</v>
      </c>
    </row>
    <row r="143" spans="1:10" x14ac:dyDescent="0.3">
      <c r="A143" s="23" t="str">
        <f t="shared" si="8"/>
        <v>01-05-2026</v>
      </c>
      <c r="B143" s="24" t="s">
        <v>36</v>
      </c>
      <c r="C143" s="4">
        <v>8905952851774</v>
      </c>
      <c r="D143" s="24">
        <v>32</v>
      </c>
      <c r="E143" s="24" t="s">
        <v>197</v>
      </c>
      <c r="F143" s="25" t="str">
        <f t="shared" si="9"/>
        <v>FLYING MACHINE</v>
      </c>
      <c r="G143" s="24">
        <v>2</v>
      </c>
      <c r="H143" s="25" t="str">
        <f t="shared" si="10"/>
        <v>Pcs.</v>
      </c>
      <c r="I143" s="26">
        <v>3476</v>
      </c>
      <c r="J143" s="27">
        <f t="shared" si="11"/>
        <v>6952</v>
      </c>
    </row>
    <row r="144" spans="1:10" x14ac:dyDescent="0.3">
      <c r="A144" s="23" t="str">
        <f t="shared" si="8"/>
        <v>01-05-2026</v>
      </c>
      <c r="B144" s="24" t="s">
        <v>36</v>
      </c>
      <c r="C144" s="4">
        <v>8905952851781</v>
      </c>
      <c r="D144" s="24">
        <v>34</v>
      </c>
      <c r="E144" s="24" t="s">
        <v>197</v>
      </c>
      <c r="F144" s="25" t="str">
        <f t="shared" si="9"/>
        <v>FLYING MACHINE</v>
      </c>
      <c r="G144" s="24">
        <v>1</v>
      </c>
      <c r="H144" s="25" t="str">
        <f t="shared" si="10"/>
        <v>Pcs.</v>
      </c>
      <c r="I144" s="26">
        <v>3476</v>
      </c>
      <c r="J144" s="27">
        <f t="shared" si="11"/>
        <v>3476</v>
      </c>
    </row>
    <row r="145" spans="1:10" x14ac:dyDescent="0.3">
      <c r="A145" s="23" t="str">
        <f t="shared" si="8"/>
        <v>01-05-2026</v>
      </c>
      <c r="B145" s="24" t="s">
        <v>36</v>
      </c>
      <c r="C145" s="4">
        <v>8905952851798</v>
      </c>
      <c r="D145" s="24">
        <v>36</v>
      </c>
      <c r="E145" s="24" t="s">
        <v>197</v>
      </c>
      <c r="F145" s="25" t="str">
        <f t="shared" si="9"/>
        <v>FLYING MACHINE</v>
      </c>
      <c r="G145" s="24">
        <v>1</v>
      </c>
      <c r="H145" s="25" t="str">
        <f t="shared" si="10"/>
        <v>Pcs.</v>
      </c>
      <c r="I145" s="26">
        <v>3476</v>
      </c>
      <c r="J145" s="27">
        <f t="shared" si="11"/>
        <v>3476</v>
      </c>
    </row>
    <row r="146" spans="1:10" x14ac:dyDescent="0.3">
      <c r="A146" s="23" t="str">
        <f t="shared" si="8"/>
        <v>01-05-2026</v>
      </c>
      <c r="B146" s="24" t="s">
        <v>36</v>
      </c>
      <c r="C146" s="4">
        <v>8905952851859</v>
      </c>
      <c r="D146" s="24">
        <v>34</v>
      </c>
      <c r="E146" s="24" t="s">
        <v>198</v>
      </c>
      <c r="F146" s="25" t="str">
        <f t="shared" si="9"/>
        <v>FLYING MACHINE</v>
      </c>
      <c r="G146" s="24">
        <v>2</v>
      </c>
      <c r="H146" s="25" t="str">
        <f t="shared" si="10"/>
        <v>Pcs.</v>
      </c>
      <c r="I146" s="26">
        <v>3160</v>
      </c>
      <c r="J146" s="27">
        <f t="shared" si="11"/>
        <v>6320</v>
      </c>
    </row>
    <row r="147" spans="1:10" x14ac:dyDescent="0.3">
      <c r="A147" s="23" t="str">
        <f t="shared" si="8"/>
        <v>01-05-2026</v>
      </c>
      <c r="B147" s="24" t="s">
        <v>36</v>
      </c>
      <c r="C147" s="4">
        <v>8905952851866</v>
      </c>
      <c r="D147" s="24">
        <v>34</v>
      </c>
      <c r="E147" s="24" t="s">
        <v>198</v>
      </c>
      <c r="F147" s="25" t="str">
        <f t="shared" si="9"/>
        <v>FLYING MACHINE</v>
      </c>
      <c r="G147" s="24">
        <v>3</v>
      </c>
      <c r="H147" s="25" t="str">
        <f t="shared" si="10"/>
        <v>Pcs.</v>
      </c>
      <c r="I147" s="26">
        <v>3160</v>
      </c>
      <c r="J147" s="27">
        <f t="shared" si="11"/>
        <v>9480</v>
      </c>
    </row>
    <row r="148" spans="1:10" x14ac:dyDescent="0.3">
      <c r="A148" s="23" t="str">
        <f t="shared" si="8"/>
        <v>01-05-2026</v>
      </c>
      <c r="B148" s="24" t="s">
        <v>36</v>
      </c>
      <c r="C148" s="4">
        <v>8905952852498</v>
      </c>
      <c r="D148" s="24">
        <v>32</v>
      </c>
      <c r="E148" s="24" t="s">
        <v>199</v>
      </c>
      <c r="F148" s="25" t="str">
        <f t="shared" si="9"/>
        <v>FLYING MACHINE</v>
      </c>
      <c r="G148" s="24">
        <v>1</v>
      </c>
      <c r="H148" s="25" t="str">
        <f t="shared" si="10"/>
        <v>Pcs.</v>
      </c>
      <c r="I148" s="26">
        <v>3686</v>
      </c>
      <c r="J148" s="27">
        <f t="shared" si="11"/>
        <v>3686</v>
      </c>
    </row>
    <row r="149" spans="1:10" x14ac:dyDescent="0.3">
      <c r="A149" s="23" t="str">
        <f t="shared" si="8"/>
        <v>01-05-2026</v>
      </c>
      <c r="B149" s="24" t="s">
        <v>36</v>
      </c>
      <c r="C149" s="4">
        <v>8905952852504</v>
      </c>
      <c r="D149" s="24">
        <v>34</v>
      </c>
      <c r="E149" s="24" t="s">
        <v>199</v>
      </c>
      <c r="F149" s="25" t="str">
        <f t="shared" si="9"/>
        <v>FLYING MACHINE</v>
      </c>
      <c r="G149" s="24">
        <v>2</v>
      </c>
      <c r="H149" s="25" t="str">
        <f t="shared" si="10"/>
        <v>Pcs.</v>
      </c>
      <c r="I149" s="26">
        <v>3686</v>
      </c>
      <c r="J149" s="27">
        <f t="shared" si="11"/>
        <v>7372</v>
      </c>
    </row>
    <row r="150" spans="1:10" x14ac:dyDescent="0.3">
      <c r="A150" s="23" t="str">
        <f t="shared" si="8"/>
        <v>01-05-2026</v>
      </c>
      <c r="B150" s="24" t="s">
        <v>36</v>
      </c>
      <c r="C150" s="4">
        <v>8905952852511</v>
      </c>
      <c r="D150" s="24">
        <v>36</v>
      </c>
      <c r="E150" s="24" t="s">
        <v>199</v>
      </c>
      <c r="F150" s="25" t="str">
        <f t="shared" si="9"/>
        <v>FLYING MACHINE</v>
      </c>
      <c r="G150" s="24">
        <v>1</v>
      </c>
      <c r="H150" s="25" t="str">
        <f t="shared" si="10"/>
        <v>Pcs.</v>
      </c>
      <c r="I150" s="26">
        <v>3686</v>
      </c>
      <c r="J150" s="27">
        <f t="shared" si="11"/>
        <v>3686</v>
      </c>
    </row>
    <row r="151" spans="1:10" x14ac:dyDescent="0.3">
      <c r="A151" s="23" t="str">
        <f t="shared" si="8"/>
        <v>01-05-2026</v>
      </c>
      <c r="B151" s="24" t="s">
        <v>36</v>
      </c>
      <c r="C151" s="4">
        <v>8905952853389</v>
      </c>
      <c r="D151" s="24">
        <v>30</v>
      </c>
      <c r="E151" s="24" t="s">
        <v>200</v>
      </c>
      <c r="F151" s="25" t="str">
        <f t="shared" si="9"/>
        <v>FLYING MACHINE</v>
      </c>
      <c r="G151" s="24">
        <v>1</v>
      </c>
      <c r="H151" s="25" t="str">
        <f t="shared" si="10"/>
        <v>Pcs.</v>
      </c>
      <c r="I151" s="26">
        <v>3160</v>
      </c>
      <c r="J151" s="27">
        <f t="shared" si="11"/>
        <v>3160</v>
      </c>
    </row>
    <row r="152" spans="1:10" x14ac:dyDescent="0.3">
      <c r="A152" s="23" t="str">
        <f t="shared" si="8"/>
        <v>01-05-2026</v>
      </c>
      <c r="B152" s="24" t="s">
        <v>36</v>
      </c>
      <c r="C152" s="4">
        <v>8905952853396</v>
      </c>
      <c r="D152" s="24">
        <v>34</v>
      </c>
      <c r="E152" s="24" t="s">
        <v>200</v>
      </c>
      <c r="F152" s="25" t="str">
        <f t="shared" si="9"/>
        <v>FLYING MACHINE</v>
      </c>
      <c r="G152" s="24">
        <v>2</v>
      </c>
      <c r="H152" s="25" t="str">
        <f t="shared" si="10"/>
        <v>Pcs.</v>
      </c>
      <c r="I152" s="26">
        <v>3160</v>
      </c>
      <c r="J152" s="27">
        <f t="shared" si="11"/>
        <v>6320</v>
      </c>
    </row>
    <row r="153" spans="1:10" x14ac:dyDescent="0.3">
      <c r="A153" s="23" t="str">
        <f t="shared" si="8"/>
        <v>01-05-2026</v>
      </c>
      <c r="B153" s="24" t="s">
        <v>36</v>
      </c>
      <c r="C153" s="4">
        <v>8905952853402</v>
      </c>
      <c r="D153" s="24">
        <v>30</v>
      </c>
      <c r="E153" s="24" t="s">
        <v>200</v>
      </c>
      <c r="F153" s="25" t="str">
        <f t="shared" si="9"/>
        <v>FLYING MACHINE</v>
      </c>
      <c r="G153" s="24">
        <v>2</v>
      </c>
      <c r="H153" s="25" t="str">
        <f t="shared" si="10"/>
        <v>Pcs.</v>
      </c>
      <c r="I153" s="26">
        <v>3160</v>
      </c>
      <c r="J153" s="27">
        <f t="shared" si="11"/>
        <v>6320</v>
      </c>
    </row>
    <row r="154" spans="1:10" x14ac:dyDescent="0.3">
      <c r="A154" s="23" t="str">
        <f t="shared" si="8"/>
        <v>01-05-2026</v>
      </c>
      <c r="B154" s="24" t="s">
        <v>36</v>
      </c>
      <c r="C154" s="4">
        <v>8905952853488</v>
      </c>
      <c r="D154" s="24">
        <v>32</v>
      </c>
      <c r="E154" s="24" t="s">
        <v>201</v>
      </c>
      <c r="F154" s="25" t="str">
        <f t="shared" si="9"/>
        <v>FLYING MACHINE</v>
      </c>
      <c r="G154" s="24">
        <v>1</v>
      </c>
      <c r="H154" s="25" t="str">
        <f t="shared" si="10"/>
        <v>Pcs.</v>
      </c>
      <c r="I154" s="26">
        <v>3476</v>
      </c>
      <c r="J154" s="27">
        <f t="shared" si="11"/>
        <v>3476</v>
      </c>
    </row>
    <row r="155" spans="1:10" x14ac:dyDescent="0.3">
      <c r="A155" s="23" t="str">
        <f t="shared" si="8"/>
        <v>01-05-2026</v>
      </c>
      <c r="B155" s="24" t="s">
        <v>36</v>
      </c>
      <c r="C155" s="4">
        <v>8905952853563</v>
      </c>
      <c r="D155" s="24">
        <v>33</v>
      </c>
      <c r="E155" s="24" t="s">
        <v>202</v>
      </c>
      <c r="F155" s="25" t="str">
        <f t="shared" si="9"/>
        <v>FLYING MACHINE</v>
      </c>
      <c r="G155" s="24">
        <v>2</v>
      </c>
      <c r="H155" s="25" t="str">
        <f t="shared" si="10"/>
        <v>Pcs.</v>
      </c>
      <c r="I155" s="26">
        <v>3686</v>
      </c>
      <c r="J155" s="27">
        <f t="shared" si="11"/>
        <v>7372</v>
      </c>
    </row>
    <row r="156" spans="1:10" x14ac:dyDescent="0.3">
      <c r="A156" s="23" t="str">
        <f t="shared" si="8"/>
        <v>01-05-2026</v>
      </c>
      <c r="B156" s="24" t="s">
        <v>36</v>
      </c>
      <c r="C156" s="4">
        <v>8905952853570</v>
      </c>
      <c r="D156" s="24">
        <v>32</v>
      </c>
      <c r="E156" s="24" t="s">
        <v>202</v>
      </c>
      <c r="F156" s="25" t="str">
        <f t="shared" si="9"/>
        <v>FLYING MACHINE</v>
      </c>
      <c r="G156" s="24">
        <v>2</v>
      </c>
      <c r="H156" s="25" t="str">
        <f t="shared" si="10"/>
        <v>Pcs.</v>
      </c>
      <c r="I156" s="26">
        <v>3686</v>
      </c>
      <c r="J156" s="27">
        <f t="shared" si="11"/>
        <v>7372</v>
      </c>
    </row>
    <row r="157" spans="1:10" x14ac:dyDescent="0.3">
      <c r="A157" s="23" t="str">
        <f t="shared" si="8"/>
        <v>01-05-2026</v>
      </c>
      <c r="B157" s="24" t="s">
        <v>36</v>
      </c>
      <c r="C157" s="4">
        <v>8905952853587</v>
      </c>
      <c r="D157" s="24">
        <v>34</v>
      </c>
      <c r="E157" s="24" t="s">
        <v>202</v>
      </c>
      <c r="F157" s="25" t="str">
        <f t="shared" si="9"/>
        <v>FLYING MACHINE</v>
      </c>
      <c r="G157" s="24">
        <v>1</v>
      </c>
      <c r="H157" s="25" t="str">
        <f t="shared" si="10"/>
        <v>Pcs.</v>
      </c>
      <c r="I157" s="26">
        <v>3686</v>
      </c>
      <c r="J157" s="27">
        <f t="shared" si="11"/>
        <v>3686</v>
      </c>
    </row>
    <row r="158" spans="1:10" x14ac:dyDescent="0.3">
      <c r="A158" s="23" t="str">
        <f t="shared" si="8"/>
        <v>01-05-2026</v>
      </c>
      <c r="B158" s="24" t="s">
        <v>36</v>
      </c>
      <c r="C158" s="4">
        <v>8905952853655</v>
      </c>
      <c r="D158" s="24">
        <v>30</v>
      </c>
      <c r="E158" s="24" t="s">
        <v>203</v>
      </c>
      <c r="F158" s="25" t="str">
        <f t="shared" si="9"/>
        <v>FLYING MACHINE</v>
      </c>
      <c r="G158" s="24">
        <v>2</v>
      </c>
      <c r="H158" s="25" t="str">
        <f t="shared" si="10"/>
        <v>Pcs.</v>
      </c>
      <c r="I158" s="26">
        <v>3160</v>
      </c>
      <c r="J158" s="27">
        <f t="shared" si="11"/>
        <v>6320</v>
      </c>
    </row>
    <row r="159" spans="1:10" x14ac:dyDescent="0.3">
      <c r="A159" s="23" t="str">
        <f t="shared" si="8"/>
        <v>01-05-2026</v>
      </c>
      <c r="B159" s="24" t="s">
        <v>36</v>
      </c>
      <c r="C159" s="4">
        <v>8905952853662</v>
      </c>
      <c r="D159" s="24">
        <v>32</v>
      </c>
      <c r="E159" s="24" t="s">
        <v>203</v>
      </c>
      <c r="F159" s="25" t="str">
        <f t="shared" si="9"/>
        <v>FLYING MACHINE</v>
      </c>
      <c r="G159" s="24">
        <v>4</v>
      </c>
      <c r="H159" s="25" t="str">
        <f t="shared" si="10"/>
        <v>Pcs.</v>
      </c>
      <c r="I159" s="26">
        <v>3160</v>
      </c>
      <c r="J159" s="27">
        <f t="shared" si="11"/>
        <v>12640</v>
      </c>
    </row>
    <row r="160" spans="1:10" x14ac:dyDescent="0.3">
      <c r="A160" s="23" t="str">
        <f t="shared" si="8"/>
        <v>01-05-2026</v>
      </c>
      <c r="B160" s="24" t="s">
        <v>36</v>
      </c>
      <c r="C160" s="4">
        <v>8905952853679</v>
      </c>
      <c r="D160" s="24">
        <v>34</v>
      </c>
      <c r="E160" s="24" t="s">
        <v>203</v>
      </c>
      <c r="F160" s="25" t="str">
        <f t="shared" si="9"/>
        <v>FLYING MACHINE</v>
      </c>
      <c r="G160" s="24">
        <v>3</v>
      </c>
      <c r="H160" s="25" t="str">
        <f t="shared" si="10"/>
        <v>Pcs.</v>
      </c>
      <c r="I160" s="26">
        <v>3160</v>
      </c>
      <c r="J160" s="27">
        <f t="shared" si="11"/>
        <v>9480</v>
      </c>
    </row>
    <row r="161" spans="1:10" x14ac:dyDescent="0.3">
      <c r="A161" s="23" t="str">
        <f t="shared" si="8"/>
        <v>01-05-2026</v>
      </c>
      <c r="B161" s="24" t="s">
        <v>36</v>
      </c>
      <c r="C161" s="4">
        <v>8905952853686</v>
      </c>
      <c r="D161" s="24">
        <v>36</v>
      </c>
      <c r="E161" s="24" t="s">
        <v>203</v>
      </c>
      <c r="F161" s="25" t="str">
        <f t="shared" si="9"/>
        <v>FLYING MACHINE</v>
      </c>
      <c r="G161" s="24">
        <v>2</v>
      </c>
      <c r="H161" s="25" t="str">
        <f t="shared" si="10"/>
        <v>Pcs.</v>
      </c>
      <c r="I161" s="26">
        <v>3160</v>
      </c>
      <c r="J161" s="27">
        <f t="shared" si="11"/>
        <v>6320</v>
      </c>
    </row>
    <row r="162" spans="1:10" x14ac:dyDescent="0.3">
      <c r="A162" s="23" t="str">
        <f t="shared" si="8"/>
        <v>01-05-2026</v>
      </c>
      <c r="B162" s="24" t="s">
        <v>36</v>
      </c>
      <c r="C162" s="4">
        <v>8905952853938</v>
      </c>
      <c r="D162" s="24">
        <v>32</v>
      </c>
      <c r="E162" s="24" t="s">
        <v>204</v>
      </c>
      <c r="F162" s="25" t="str">
        <f t="shared" si="9"/>
        <v>FLYING MACHINE</v>
      </c>
      <c r="G162" s="24">
        <v>1</v>
      </c>
      <c r="H162" s="25" t="str">
        <f t="shared" si="10"/>
        <v>Pcs.</v>
      </c>
      <c r="I162" s="26">
        <v>2624</v>
      </c>
      <c r="J162" s="27">
        <f t="shared" si="11"/>
        <v>2624</v>
      </c>
    </row>
    <row r="163" spans="1:10" x14ac:dyDescent="0.3">
      <c r="A163" s="23" t="str">
        <f t="shared" si="8"/>
        <v>01-05-2026</v>
      </c>
      <c r="B163" s="24" t="s">
        <v>36</v>
      </c>
      <c r="C163" s="4">
        <v>8905952853945</v>
      </c>
      <c r="D163" s="24">
        <v>34</v>
      </c>
      <c r="E163" s="24" t="s">
        <v>204</v>
      </c>
      <c r="F163" s="25" t="str">
        <f t="shared" si="9"/>
        <v>FLYING MACHINE</v>
      </c>
      <c r="G163" s="24">
        <v>1</v>
      </c>
      <c r="H163" s="25" t="str">
        <f t="shared" si="10"/>
        <v>Pcs.</v>
      </c>
      <c r="I163" s="26">
        <v>2624</v>
      </c>
      <c r="J163" s="27">
        <f t="shared" si="11"/>
        <v>2624</v>
      </c>
    </row>
    <row r="164" spans="1:10" x14ac:dyDescent="0.3">
      <c r="A164" s="23" t="str">
        <f t="shared" si="8"/>
        <v>01-05-2026</v>
      </c>
      <c r="B164" s="24" t="s">
        <v>36</v>
      </c>
      <c r="C164" s="4">
        <v>8905952854027</v>
      </c>
      <c r="D164" s="24">
        <v>32</v>
      </c>
      <c r="E164" s="24" t="s">
        <v>205</v>
      </c>
      <c r="F164" s="25" t="str">
        <f t="shared" si="9"/>
        <v>FLYING MACHINE</v>
      </c>
      <c r="G164" s="24">
        <v>3</v>
      </c>
      <c r="H164" s="25" t="str">
        <f t="shared" si="10"/>
        <v>Pcs.</v>
      </c>
      <c r="I164" s="26">
        <v>3686</v>
      </c>
      <c r="J164" s="27">
        <f t="shared" si="11"/>
        <v>11058</v>
      </c>
    </row>
    <row r="165" spans="1:10" x14ac:dyDescent="0.3">
      <c r="A165" s="23" t="str">
        <f t="shared" si="8"/>
        <v>01-05-2026</v>
      </c>
      <c r="B165" s="24" t="s">
        <v>36</v>
      </c>
      <c r="C165" s="4">
        <v>8905952854034</v>
      </c>
      <c r="D165" s="24">
        <v>34</v>
      </c>
      <c r="E165" s="24" t="s">
        <v>205</v>
      </c>
      <c r="F165" s="25" t="str">
        <f t="shared" si="9"/>
        <v>FLYING MACHINE</v>
      </c>
      <c r="G165" s="24">
        <v>4</v>
      </c>
      <c r="H165" s="25" t="str">
        <f t="shared" si="10"/>
        <v>Pcs.</v>
      </c>
      <c r="I165" s="26">
        <v>3686</v>
      </c>
      <c r="J165" s="27">
        <f t="shared" si="11"/>
        <v>14744</v>
      </c>
    </row>
    <row r="166" spans="1:10" x14ac:dyDescent="0.3">
      <c r="A166" s="23" t="str">
        <f t="shared" si="8"/>
        <v>01-05-2026</v>
      </c>
      <c r="B166" s="24" t="s">
        <v>36</v>
      </c>
      <c r="C166" s="4">
        <v>8905952854102</v>
      </c>
      <c r="D166" s="24">
        <v>34</v>
      </c>
      <c r="E166" s="24" t="s">
        <v>206</v>
      </c>
      <c r="F166" s="25" t="str">
        <f t="shared" si="9"/>
        <v>FLYING MACHINE</v>
      </c>
      <c r="G166" s="24">
        <v>3</v>
      </c>
      <c r="H166" s="25" t="str">
        <f t="shared" si="10"/>
        <v>Pcs.</v>
      </c>
      <c r="I166" s="26">
        <v>3476</v>
      </c>
      <c r="J166" s="27">
        <f t="shared" si="11"/>
        <v>10428</v>
      </c>
    </row>
    <row r="167" spans="1:10" x14ac:dyDescent="0.3">
      <c r="A167" s="23" t="str">
        <f t="shared" si="8"/>
        <v>01-05-2026</v>
      </c>
      <c r="B167" s="24" t="s">
        <v>36</v>
      </c>
      <c r="C167" s="4">
        <v>8905952854119</v>
      </c>
      <c r="D167" s="24">
        <v>34</v>
      </c>
      <c r="E167" s="24" t="s">
        <v>206</v>
      </c>
      <c r="F167" s="25" t="str">
        <f t="shared" si="9"/>
        <v>FLYING MACHINE</v>
      </c>
      <c r="G167" s="24">
        <v>3</v>
      </c>
      <c r="H167" s="25" t="str">
        <f t="shared" si="10"/>
        <v>Pcs.</v>
      </c>
      <c r="I167" s="26">
        <v>3476</v>
      </c>
      <c r="J167" s="27">
        <f t="shared" si="11"/>
        <v>10428</v>
      </c>
    </row>
    <row r="168" spans="1:10" x14ac:dyDescent="0.3">
      <c r="A168" s="23" t="str">
        <f t="shared" si="8"/>
        <v>01-05-2026</v>
      </c>
      <c r="B168" s="24" t="s">
        <v>36</v>
      </c>
      <c r="C168" s="4">
        <v>8905952854126</v>
      </c>
      <c r="D168" s="24">
        <v>34</v>
      </c>
      <c r="E168" s="24" t="s">
        <v>206</v>
      </c>
      <c r="F168" s="25" t="str">
        <f t="shared" si="9"/>
        <v>FLYING MACHINE</v>
      </c>
      <c r="G168" s="24">
        <v>1</v>
      </c>
      <c r="H168" s="25" t="str">
        <f t="shared" si="10"/>
        <v>Pcs.</v>
      </c>
      <c r="I168" s="26">
        <v>3476</v>
      </c>
      <c r="J168" s="27">
        <f t="shared" si="11"/>
        <v>3476</v>
      </c>
    </row>
    <row r="169" spans="1:10" x14ac:dyDescent="0.3">
      <c r="A169" s="23" t="str">
        <f t="shared" si="8"/>
        <v>01-05-2026</v>
      </c>
      <c r="B169" s="24" t="s">
        <v>36</v>
      </c>
      <c r="C169" s="4">
        <v>8905952854287</v>
      </c>
      <c r="D169" s="24">
        <v>34</v>
      </c>
      <c r="E169" s="24" t="s">
        <v>207</v>
      </c>
      <c r="F169" s="25" t="str">
        <f t="shared" si="9"/>
        <v>FLYING MACHINE</v>
      </c>
      <c r="G169" s="24">
        <v>1</v>
      </c>
      <c r="H169" s="25" t="str">
        <f t="shared" si="10"/>
        <v>Pcs.</v>
      </c>
      <c r="I169" s="26">
        <v>3160</v>
      </c>
      <c r="J169" s="27">
        <f t="shared" si="11"/>
        <v>3160</v>
      </c>
    </row>
    <row r="170" spans="1:10" x14ac:dyDescent="0.3">
      <c r="A170" s="23" t="str">
        <f t="shared" si="8"/>
        <v>01-05-2026</v>
      </c>
      <c r="B170" s="24" t="s">
        <v>36</v>
      </c>
      <c r="C170" s="4">
        <v>8905952854294</v>
      </c>
      <c r="D170" s="24">
        <v>34</v>
      </c>
      <c r="E170" s="24" t="s">
        <v>207</v>
      </c>
      <c r="F170" s="25" t="str">
        <f t="shared" si="9"/>
        <v>FLYING MACHINE</v>
      </c>
      <c r="G170" s="24">
        <v>1</v>
      </c>
      <c r="H170" s="25" t="str">
        <f t="shared" si="10"/>
        <v>Pcs.</v>
      </c>
      <c r="I170" s="26">
        <v>3160</v>
      </c>
      <c r="J170" s="27">
        <f t="shared" si="11"/>
        <v>3160</v>
      </c>
    </row>
    <row r="171" spans="1:10" x14ac:dyDescent="0.3">
      <c r="A171" s="23" t="str">
        <f t="shared" si="8"/>
        <v>01-05-2026</v>
      </c>
      <c r="B171" s="24" t="s">
        <v>36</v>
      </c>
      <c r="C171" s="4">
        <v>8905952854300</v>
      </c>
      <c r="D171" s="24">
        <v>34</v>
      </c>
      <c r="E171" s="24" t="s">
        <v>207</v>
      </c>
      <c r="F171" s="25" t="str">
        <f t="shared" si="9"/>
        <v>FLYING MACHINE</v>
      </c>
      <c r="G171" s="24">
        <v>1</v>
      </c>
      <c r="H171" s="25" t="str">
        <f t="shared" si="10"/>
        <v>Pcs.</v>
      </c>
      <c r="I171" s="26">
        <v>3160</v>
      </c>
      <c r="J171" s="27">
        <f t="shared" si="11"/>
        <v>3160</v>
      </c>
    </row>
    <row r="172" spans="1:10" x14ac:dyDescent="0.3">
      <c r="A172" s="23" t="str">
        <f t="shared" si="8"/>
        <v>01-05-2026</v>
      </c>
      <c r="B172" s="24" t="s">
        <v>36</v>
      </c>
      <c r="C172" s="4">
        <v>8905952854461</v>
      </c>
      <c r="D172" s="24">
        <v>30</v>
      </c>
      <c r="E172" s="24" t="s">
        <v>208</v>
      </c>
      <c r="F172" s="25" t="str">
        <f t="shared" si="9"/>
        <v>FLYING MACHINE</v>
      </c>
      <c r="G172" s="24">
        <v>1</v>
      </c>
      <c r="H172" s="25" t="str">
        <f t="shared" si="10"/>
        <v>Pcs.</v>
      </c>
      <c r="I172" s="26">
        <v>3160</v>
      </c>
      <c r="J172" s="27">
        <f t="shared" si="11"/>
        <v>3160</v>
      </c>
    </row>
    <row r="173" spans="1:10" x14ac:dyDescent="0.3">
      <c r="A173" s="23" t="str">
        <f t="shared" si="8"/>
        <v>01-05-2026</v>
      </c>
      <c r="B173" s="24" t="s">
        <v>36</v>
      </c>
      <c r="C173" s="4">
        <v>8905952854478</v>
      </c>
      <c r="D173" s="24">
        <v>32</v>
      </c>
      <c r="E173" s="24" t="s">
        <v>208</v>
      </c>
      <c r="F173" s="25" t="str">
        <f t="shared" si="9"/>
        <v>FLYING MACHINE</v>
      </c>
      <c r="G173" s="24">
        <v>2</v>
      </c>
      <c r="H173" s="25" t="str">
        <f t="shared" si="10"/>
        <v>Pcs.</v>
      </c>
      <c r="I173" s="26">
        <v>3160</v>
      </c>
      <c r="J173" s="27">
        <f t="shared" si="11"/>
        <v>6320</v>
      </c>
    </row>
    <row r="174" spans="1:10" x14ac:dyDescent="0.3">
      <c r="A174" s="23" t="str">
        <f t="shared" si="8"/>
        <v>01-05-2026</v>
      </c>
      <c r="B174" s="24" t="s">
        <v>36</v>
      </c>
      <c r="C174" s="4">
        <v>8905952854485</v>
      </c>
      <c r="D174" s="24">
        <v>34</v>
      </c>
      <c r="E174" s="24" t="s">
        <v>208</v>
      </c>
      <c r="F174" s="25" t="str">
        <f t="shared" si="9"/>
        <v>FLYING MACHINE</v>
      </c>
      <c r="G174" s="24">
        <v>2</v>
      </c>
      <c r="H174" s="25" t="str">
        <f t="shared" si="10"/>
        <v>Pcs.</v>
      </c>
      <c r="I174" s="26">
        <v>3160</v>
      </c>
      <c r="J174" s="27">
        <f t="shared" si="11"/>
        <v>6320</v>
      </c>
    </row>
    <row r="175" spans="1:10" x14ac:dyDescent="0.3">
      <c r="A175" s="23" t="str">
        <f t="shared" si="8"/>
        <v>01-05-2026</v>
      </c>
      <c r="B175" s="24" t="s">
        <v>36</v>
      </c>
      <c r="C175" s="4">
        <v>8905952854652</v>
      </c>
      <c r="D175" s="24">
        <v>32</v>
      </c>
      <c r="E175" s="24" t="s">
        <v>209</v>
      </c>
      <c r="F175" s="25" t="str">
        <f t="shared" si="9"/>
        <v>FLYING MACHINE</v>
      </c>
      <c r="G175" s="24">
        <v>1</v>
      </c>
      <c r="H175" s="25" t="str">
        <f t="shared" si="10"/>
        <v>Pcs.</v>
      </c>
      <c r="I175" s="26">
        <v>3476</v>
      </c>
      <c r="J175" s="27">
        <f t="shared" si="11"/>
        <v>3476</v>
      </c>
    </row>
    <row r="176" spans="1:10" x14ac:dyDescent="0.3">
      <c r="A176" s="23" t="str">
        <f t="shared" si="8"/>
        <v>01-05-2026</v>
      </c>
      <c r="B176" s="24" t="s">
        <v>36</v>
      </c>
      <c r="C176" s="4">
        <v>8905952854669</v>
      </c>
      <c r="D176" s="24">
        <v>34</v>
      </c>
      <c r="E176" s="24" t="s">
        <v>209</v>
      </c>
      <c r="F176" s="25" t="str">
        <f t="shared" si="9"/>
        <v>FLYING MACHINE</v>
      </c>
      <c r="G176" s="24">
        <v>2</v>
      </c>
      <c r="H176" s="25" t="str">
        <f t="shared" si="10"/>
        <v>Pcs.</v>
      </c>
      <c r="I176" s="26">
        <v>3476</v>
      </c>
      <c r="J176" s="27">
        <f t="shared" si="11"/>
        <v>6952</v>
      </c>
    </row>
    <row r="177" spans="1:10" x14ac:dyDescent="0.3">
      <c r="A177" s="23" t="str">
        <f t="shared" si="8"/>
        <v>01-05-2026</v>
      </c>
      <c r="B177" s="24" t="s">
        <v>36</v>
      </c>
      <c r="C177" s="4">
        <v>8905952854744</v>
      </c>
      <c r="D177" s="24">
        <v>32</v>
      </c>
      <c r="E177" s="24" t="s">
        <v>210</v>
      </c>
      <c r="F177" s="25" t="str">
        <f t="shared" si="9"/>
        <v>FLYING MACHINE</v>
      </c>
      <c r="G177" s="24">
        <v>2</v>
      </c>
      <c r="H177" s="25" t="str">
        <f t="shared" si="10"/>
        <v>Pcs.</v>
      </c>
      <c r="I177" s="26">
        <v>4213</v>
      </c>
      <c r="J177" s="27">
        <f t="shared" si="11"/>
        <v>8426</v>
      </c>
    </row>
    <row r="178" spans="1:10" x14ac:dyDescent="0.3">
      <c r="A178" s="23" t="str">
        <f t="shared" si="8"/>
        <v>01-05-2026</v>
      </c>
      <c r="B178" s="24" t="s">
        <v>36</v>
      </c>
      <c r="C178" s="4">
        <v>8905952854751</v>
      </c>
      <c r="D178" s="24">
        <v>34</v>
      </c>
      <c r="E178" s="24" t="s">
        <v>210</v>
      </c>
      <c r="F178" s="25" t="str">
        <f t="shared" si="9"/>
        <v>FLYING MACHINE</v>
      </c>
      <c r="G178" s="24">
        <v>1</v>
      </c>
      <c r="H178" s="25" t="str">
        <f t="shared" si="10"/>
        <v>Pcs.</v>
      </c>
      <c r="I178" s="26">
        <v>4213</v>
      </c>
      <c r="J178" s="27">
        <f t="shared" si="11"/>
        <v>4213</v>
      </c>
    </row>
    <row r="179" spans="1:10" x14ac:dyDescent="0.3">
      <c r="A179" s="23" t="str">
        <f t="shared" si="8"/>
        <v>01-05-2026</v>
      </c>
      <c r="B179" s="24" t="s">
        <v>36</v>
      </c>
      <c r="C179" s="4">
        <v>8905952854836</v>
      </c>
      <c r="D179" s="24">
        <v>32</v>
      </c>
      <c r="E179" s="24" t="s">
        <v>211</v>
      </c>
      <c r="F179" s="25" t="str">
        <f t="shared" si="9"/>
        <v>FLYING MACHINE</v>
      </c>
      <c r="G179" s="24">
        <v>1</v>
      </c>
      <c r="H179" s="25" t="str">
        <f t="shared" si="10"/>
        <v>Pcs.</v>
      </c>
      <c r="I179" s="26">
        <v>3686</v>
      </c>
      <c r="J179" s="27">
        <f t="shared" si="11"/>
        <v>3686</v>
      </c>
    </row>
    <row r="180" spans="1:10" x14ac:dyDescent="0.3">
      <c r="A180" s="23" t="str">
        <f t="shared" si="8"/>
        <v>01-05-2026</v>
      </c>
      <c r="B180" s="24" t="s">
        <v>36</v>
      </c>
      <c r="C180" s="4">
        <v>8905952854843</v>
      </c>
      <c r="D180" s="24">
        <v>34</v>
      </c>
      <c r="E180" s="24" t="s">
        <v>211</v>
      </c>
      <c r="F180" s="25" t="str">
        <f t="shared" si="9"/>
        <v>FLYING MACHINE</v>
      </c>
      <c r="G180" s="24">
        <v>2</v>
      </c>
      <c r="H180" s="25" t="str">
        <f t="shared" si="10"/>
        <v>Pcs.</v>
      </c>
      <c r="I180" s="26">
        <v>3686</v>
      </c>
      <c r="J180" s="27">
        <f t="shared" si="11"/>
        <v>7372</v>
      </c>
    </row>
    <row r="181" spans="1:10" x14ac:dyDescent="0.3">
      <c r="A181" s="23" t="str">
        <f t="shared" si="8"/>
        <v>01-05-2026</v>
      </c>
      <c r="B181" s="24" t="s">
        <v>36</v>
      </c>
      <c r="C181" s="4">
        <v>8905952854850</v>
      </c>
      <c r="D181" s="24">
        <v>36</v>
      </c>
      <c r="E181" s="24" t="s">
        <v>211</v>
      </c>
      <c r="F181" s="25" t="str">
        <f t="shared" si="9"/>
        <v>FLYING MACHINE</v>
      </c>
      <c r="G181" s="24">
        <v>2</v>
      </c>
      <c r="H181" s="25" t="str">
        <f t="shared" si="10"/>
        <v>Pcs.</v>
      </c>
      <c r="I181" s="26">
        <v>3686</v>
      </c>
      <c r="J181" s="27">
        <f t="shared" si="11"/>
        <v>7372</v>
      </c>
    </row>
    <row r="182" spans="1:10" x14ac:dyDescent="0.3">
      <c r="A182" s="23" t="str">
        <f t="shared" si="8"/>
        <v>01-05-2026</v>
      </c>
      <c r="B182" s="24" t="s">
        <v>36</v>
      </c>
      <c r="C182" s="4">
        <v>8909112106827</v>
      </c>
      <c r="D182" s="24">
        <v>32</v>
      </c>
      <c r="E182" s="24" t="s">
        <v>212</v>
      </c>
      <c r="F182" s="25" t="str">
        <f t="shared" si="9"/>
        <v>FLYING MACHINE</v>
      </c>
      <c r="G182" s="24">
        <v>1</v>
      </c>
      <c r="H182" s="25" t="str">
        <f t="shared" si="10"/>
        <v>Pcs.</v>
      </c>
      <c r="I182" s="26">
        <v>2108.44</v>
      </c>
      <c r="J182" s="27">
        <f t="shared" si="11"/>
        <v>2108.44</v>
      </c>
    </row>
    <row r="183" spans="1:10" x14ac:dyDescent="0.3">
      <c r="A183" s="23" t="str">
        <f t="shared" si="8"/>
        <v>01-05-2026</v>
      </c>
      <c r="B183" s="24" t="s">
        <v>36</v>
      </c>
      <c r="C183" s="4">
        <v>8909112106841</v>
      </c>
      <c r="D183" s="24">
        <v>34</v>
      </c>
      <c r="E183" s="24" t="s">
        <v>212</v>
      </c>
      <c r="F183" s="25" t="str">
        <f t="shared" si="9"/>
        <v>FLYING MACHINE</v>
      </c>
      <c r="G183" s="24">
        <v>2</v>
      </c>
      <c r="H183" s="25" t="str">
        <f t="shared" si="10"/>
        <v>Pcs.</v>
      </c>
      <c r="I183" s="26">
        <v>2108.44</v>
      </c>
      <c r="J183" s="27">
        <f t="shared" si="11"/>
        <v>4216.88</v>
      </c>
    </row>
    <row r="184" spans="1:10" x14ac:dyDescent="0.3">
      <c r="A184" s="23" t="str">
        <f t="shared" si="8"/>
        <v>01-05-2026</v>
      </c>
      <c r="B184" s="24" t="s">
        <v>36</v>
      </c>
      <c r="C184" s="4">
        <v>8909112106858</v>
      </c>
      <c r="D184" s="24">
        <v>36</v>
      </c>
      <c r="E184" s="24" t="s">
        <v>212</v>
      </c>
      <c r="F184" s="25" t="str">
        <f t="shared" si="9"/>
        <v>FLYING MACHINE</v>
      </c>
      <c r="G184" s="24">
        <v>1</v>
      </c>
      <c r="H184" s="25" t="str">
        <f t="shared" si="10"/>
        <v>Pcs.</v>
      </c>
      <c r="I184" s="26">
        <v>2108.44</v>
      </c>
      <c r="J184" s="27">
        <f t="shared" si="11"/>
        <v>2108.44</v>
      </c>
    </row>
    <row r="185" spans="1:10" x14ac:dyDescent="0.3">
      <c r="A185" s="23" t="str">
        <f t="shared" si="8"/>
        <v>01-05-2026</v>
      </c>
      <c r="B185" s="24" t="s">
        <v>36</v>
      </c>
      <c r="C185" s="4">
        <v>8909112110831</v>
      </c>
      <c r="D185" s="24">
        <v>40</v>
      </c>
      <c r="E185" s="24" t="s">
        <v>213</v>
      </c>
      <c r="F185" s="25" t="str">
        <f t="shared" si="9"/>
        <v>FLYING MACHINE</v>
      </c>
      <c r="G185" s="24">
        <v>1</v>
      </c>
      <c r="H185" s="25" t="str">
        <f t="shared" si="10"/>
        <v>Pcs.</v>
      </c>
      <c r="I185" s="26">
        <v>2108.44</v>
      </c>
      <c r="J185" s="27">
        <f t="shared" si="11"/>
        <v>2108.44</v>
      </c>
    </row>
    <row r="186" spans="1:10" x14ac:dyDescent="0.3">
      <c r="A186" s="23" t="str">
        <f t="shared" si="8"/>
        <v>01-05-2026</v>
      </c>
      <c r="B186" s="24" t="s">
        <v>36</v>
      </c>
      <c r="C186" s="4">
        <v>8909113003552</v>
      </c>
      <c r="D186" s="24">
        <v>32</v>
      </c>
      <c r="E186" s="24" t="s">
        <v>214</v>
      </c>
      <c r="F186" s="25" t="str">
        <f t="shared" si="9"/>
        <v>FLYING MACHINE</v>
      </c>
      <c r="G186" s="24">
        <v>1</v>
      </c>
      <c r="H186" s="25" t="str">
        <f t="shared" si="10"/>
        <v>Pcs.</v>
      </c>
      <c r="I186" s="26">
        <v>2624</v>
      </c>
      <c r="J186" s="27">
        <f t="shared" si="11"/>
        <v>2624</v>
      </c>
    </row>
    <row r="187" spans="1:10" x14ac:dyDescent="0.3">
      <c r="A187" s="23" t="str">
        <f t="shared" si="8"/>
        <v>01-05-2026</v>
      </c>
      <c r="B187" s="24" t="s">
        <v>36</v>
      </c>
      <c r="C187" s="4">
        <v>8909113003569</v>
      </c>
      <c r="D187" s="24">
        <v>34</v>
      </c>
      <c r="E187" s="24" t="s">
        <v>214</v>
      </c>
      <c r="F187" s="25" t="str">
        <f t="shared" si="9"/>
        <v>FLYING MACHINE</v>
      </c>
      <c r="G187" s="24">
        <v>1</v>
      </c>
      <c r="H187" s="25" t="str">
        <f t="shared" si="10"/>
        <v>Pcs.</v>
      </c>
      <c r="I187" s="26">
        <v>2624</v>
      </c>
      <c r="J187" s="27">
        <f t="shared" si="11"/>
        <v>2624</v>
      </c>
    </row>
    <row r="188" spans="1:10" x14ac:dyDescent="0.3">
      <c r="A188" s="23" t="str">
        <f t="shared" si="8"/>
        <v>01-05-2026</v>
      </c>
      <c r="B188" s="24" t="s">
        <v>36</v>
      </c>
      <c r="C188" s="4">
        <v>8909113007307</v>
      </c>
      <c r="D188" s="24">
        <v>36</v>
      </c>
      <c r="E188" s="24" t="s">
        <v>67</v>
      </c>
      <c r="F188" s="25" t="str">
        <f t="shared" si="9"/>
        <v>FLYING MACHINE</v>
      </c>
      <c r="G188" s="24">
        <v>1</v>
      </c>
      <c r="H188" s="25" t="str">
        <f t="shared" si="10"/>
        <v>Pcs.</v>
      </c>
      <c r="I188" s="26">
        <v>3686</v>
      </c>
      <c r="J188" s="27">
        <f t="shared" si="11"/>
        <v>3686</v>
      </c>
    </row>
    <row r="189" spans="1:10" x14ac:dyDescent="0.3">
      <c r="A189" s="23" t="str">
        <f t="shared" si="8"/>
        <v>01-05-2026</v>
      </c>
      <c r="B189" s="24" t="s">
        <v>36</v>
      </c>
      <c r="C189" s="4">
        <v>8909113007314</v>
      </c>
      <c r="D189" s="24">
        <v>30</v>
      </c>
      <c r="E189" s="24" t="s">
        <v>67</v>
      </c>
      <c r="F189" s="25" t="str">
        <f t="shared" si="9"/>
        <v>FLYING MACHINE</v>
      </c>
      <c r="G189" s="24">
        <v>2</v>
      </c>
      <c r="H189" s="25" t="str">
        <f t="shared" si="10"/>
        <v>Pcs.</v>
      </c>
      <c r="I189" s="26">
        <v>3686</v>
      </c>
      <c r="J189" s="27">
        <f t="shared" si="11"/>
        <v>7372</v>
      </c>
    </row>
    <row r="190" spans="1:10" x14ac:dyDescent="0.3">
      <c r="A190" s="23" t="str">
        <f t="shared" si="8"/>
        <v>01-05-2026</v>
      </c>
      <c r="B190" s="24" t="s">
        <v>36</v>
      </c>
      <c r="C190" s="4">
        <v>8909113007321</v>
      </c>
      <c r="D190" s="24">
        <v>32</v>
      </c>
      <c r="E190" s="24" t="s">
        <v>67</v>
      </c>
      <c r="F190" s="25" t="str">
        <f t="shared" si="9"/>
        <v>FLYING MACHINE</v>
      </c>
      <c r="G190" s="24">
        <v>2</v>
      </c>
      <c r="H190" s="25" t="str">
        <f t="shared" si="10"/>
        <v>Pcs.</v>
      </c>
      <c r="I190" s="26">
        <v>3686</v>
      </c>
      <c r="J190" s="27">
        <f t="shared" si="11"/>
        <v>7372</v>
      </c>
    </row>
    <row r="191" spans="1:10" x14ac:dyDescent="0.3">
      <c r="A191" s="23" t="str">
        <f t="shared" si="8"/>
        <v>01-05-2026</v>
      </c>
      <c r="B191" s="24" t="s">
        <v>36</v>
      </c>
      <c r="C191" s="4">
        <v>8909113007574</v>
      </c>
      <c r="D191" s="24">
        <v>32</v>
      </c>
      <c r="E191" s="24" t="s">
        <v>215</v>
      </c>
      <c r="F191" s="25" t="str">
        <f t="shared" si="9"/>
        <v>FLYING MACHINE</v>
      </c>
      <c r="G191" s="24">
        <v>1</v>
      </c>
      <c r="H191" s="25" t="str">
        <f t="shared" si="10"/>
        <v>Pcs.</v>
      </c>
      <c r="I191" s="26">
        <v>2624</v>
      </c>
      <c r="J191" s="27">
        <f t="shared" si="11"/>
        <v>2624</v>
      </c>
    </row>
    <row r="192" spans="1:10" x14ac:dyDescent="0.3">
      <c r="A192" s="23" t="str">
        <f t="shared" si="8"/>
        <v>01-05-2026</v>
      </c>
      <c r="B192" s="24" t="s">
        <v>36</v>
      </c>
      <c r="C192" s="4">
        <v>8909113007581</v>
      </c>
      <c r="D192" s="24">
        <v>34</v>
      </c>
      <c r="E192" s="24" t="s">
        <v>215</v>
      </c>
      <c r="F192" s="25" t="str">
        <f t="shared" si="9"/>
        <v>FLYING MACHINE</v>
      </c>
      <c r="G192" s="24">
        <v>1</v>
      </c>
      <c r="H192" s="25" t="str">
        <f t="shared" si="10"/>
        <v>Pcs.</v>
      </c>
      <c r="I192" s="26">
        <v>2624</v>
      </c>
      <c r="J192" s="27">
        <f t="shared" si="11"/>
        <v>2624</v>
      </c>
    </row>
    <row r="193" spans="1:10" x14ac:dyDescent="0.3">
      <c r="A193" s="23" t="str">
        <f t="shared" si="8"/>
        <v>01-05-2026</v>
      </c>
      <c r="B193" s="24" t="s">
        <v>36</v>
      </c>
      <c r="C193" s="4">
        <v>8909113007598</v>
      </c>
      <c r="D193" s="24">
        <v>36</v>
      </c>
      <c r="E193" s="24" t="s">
        <v>215</v>
      </c>
      <c r="F193" s="25" t="str">
        <f t="shared" si="9"/>
        <v>FLYING MACHINE</v>
      </c>
      <c r="G193" s="24">
        <v>1</v>
      </c>
      <c r="H193" s="25" t="str">
        <f t="shared" si="10"/>
        <v>Pcs.</v>
      </c>
      <c r="I193" s="26">
        <v>2624</v>
      </c>
      <c r="J193" s="27">
        <f t="shared" si="11"/>
        <v>2624</v>
      </c>
    </row>
    <row r="194" spans="1:10" x14ac:dyDescent="0.3">
      <c r="A194" s="23" t="str">
        <f t="shared" si="8"/>
        <v>01-05-2026</v>
      </c>
      <c r="B194" s="24" t="s">
        <v>36</v>
      </c>
      <c r="C194" s="4">
        <v>8909113008113</v>
      </c>
      <c r="D194" s="24">
        <v>34</v>
      </c>
      <c r="E194" s="24" t="s">
        <v>41</v>
      </c>
      <c r="F194" s="25" t="str">
        <f t="shared" si="9"/>
        <v>FLYING MACHINE</v>
      </c>
      <c r="G194" s="24">
        <v>1</v>
      </c>
      <c r="H194" s="25" t="str">
        <f t="shared" si="10"/>
        <v>Pcs.</v>
      </c>
      <c r="I194" s="26">
        <v>2343</v>
      </c>
      <c r="J194" s="27">
        <f t="shared" si="11"/>
        <v>2343</v>
      </c>
    </row>
    <row r="195" spans="1:10" x14ac:dyDescent="0.3">
      <c r="A195" s="23" t="str">
        <f t="shared" si="8"/>
        <v>01-05-2026</v>
      </c>
      <c r="B195" s="24" t="s">
        <v>36</v>
      </c>
      <c r="C195" s="4">
        <v>8909113011335</v>
      </c>
      <c r="D195" s="24">
        <v>28</v>
      </c>
      <c r="E195" s="24" t="s">
        <v>216</v>
      </c>
      <c r="F195" s="25" t="str">
        <f t="shared" si="9"/>
        <v>FLYING MACHINE</v>
      </c>
      <c r="G195" s="24">
        <v>1</v>
      </c>
      <c r="H195" s="25" t="str">
        <f t="shared" si="10"/>
        <v>Pcs.</v>
      </c>
      <c r="I195" s="26">
        <v>3686</v>
      </c>
      <c r="J195" s="27">
        <f t="shared" si="11"/>
        <v>3686</v>
      </c>
    </row>
    <row r="196" spans="1:10" x14ac:dyDescent="0.3">
      <c r="A196" s="23" t="str">
        <f t="shared" si="8"/>
        <v>01-05-2026</v>
      </c>
      <c r="B196" s="24" t="s">
        <v>36</v>
      </c>
      <c r="C196" s="4">
        <v>8909113011854</v>
      </c>
      <c r="D196" s="24">
        <v>30</v>
      </c>
      <c r="E196" s="24" t="s">
        <v>217</v>
      </c>
      <c r="F196" s="25" t="str">
        <f t="shared" si="9"/>
        <v>FLYING MACHINE</v>
      </c>
      <c r="G196" s="24">
        <v>1</v>
      </c>
      <c r="H196" s="25" t="str">
        <f t="shared" si="10"/>
        <v>Pcs.</v>
      </c>
      <c r="I196" s="26">
        <v>3160</v>
      </c>
      <c r="J196" s="27">
        <f t="shared" si="11"/>
        <v>3160</v>
      </c>
    </row>
    <row r="197" spans="1:10" x14ac:dyDescent="0.3">
      <c r="A197" s="23" t="str">
        <f t="shared" ref="A197:A260" si="12">IF(C197&gt;0,RIGHT($D$3,10)," ")</f>
        <v>01-05-2026</v>
      </c>
      <c r="B197" s="24" t="s">
        <v>36</v>
      </c>
      <c r="C197" s="4">
        <v>8909113011861</v>
      </c>
      <c r="D197" s="24">
        <v>32</v>
      </c>
      <c r="E197" s="24" t="s">
        <v>217</v>
      </c>
      <c r="F197" s="25" t="str">
        <f t="shared" ref="F197:F260" si="13">IF(C197&gt;0,$C$3," ")</f>
        <v>FLYING MACHINE</v>
      </c>
      <c r="G197" s="24">
        <v>2</v>
      </c>
      <c r="H197" s="25" t="str">
        <f t="shared" ref="H197:H260" si="14">IF(G197&gt;0,"Pcs."," ")</f>
        <v>Pcs.</v>
      </c>
      <c r="I197" s="26">
        <v>3160</v>
      </c>
      <c r="J197" s="27">
        <f t="shared" ref="J197:J260" si="15">IF(I197*G197=0," ",I197*G197)</f>
        <v>6320</v>
      </c>
    </row>
    <row r="198" spans="1:10" x14ac:dyDescent="0.3">
      <c r="A198" s="23" t="str">
        <f t="shared" si="12"/>
        <v>01-05-2026</v>
      </c>
      <c r="B198" s="24" t="s">
        <v>36</v>
      </c>
      <c r="C198" s="4">
        <v>8909113011878</v>
      </c>
      <c r="D198" s="24">
        <v>34</v>
      </c>
      <c r="E198" s="24" t="s">
        <v>217</v>
      </c>
      <c r="F198" s="25" t="str">
        <f t="shared" si="13"/>
        <v>FLYING MACHINE</v>
      </c>
      <c r="G198" s="24">
        <v>2</v>
      </c>
      <c r="H198" s="25" t="str">
        <f t="shared" si="14"/>
        <v>Pcs.</v>
      </c>
      <c r="I198" s="26">
        <v>3160</v>
      </c>
      <c r="J198" s="27">
        <f t="shared" si="15"/>
        <v>6320</v>
      </c>
    </row>
    <row r="199" spans="1:10" x14ac:dyDescent="0.3">
      <c r="A199" s="23" t="str">
        <f t="shared" si="12"/>
        <v>01-05-2026</v>
      </c>
      <c r="B199" s="24" t="s">
        <v>36</v>
      </c>
      <c r="C199" s="4">
        <v>8909113011885</v>
      </c>
      <c r="D199" s="24">
        <v>36</v>
      </c>
      <c r="E199" s="24" t="s">
        <v>217</v>
      </c>
      <c r="F199" s="25" t="str">
        <f t="shared" si="13"/>
        <v>FLYING MACHINE</v>
      </c>
      <c r="G199" s="24">
        <v>1</v>
      </c>
      <c r="H199" s="25" t="str">
        <f t="shared" si="14"/>
        <v>Pcs.</v>
      </c>
      <c r="I199" s="26">
        <v>3160</v>
      </c>
      <c r="J199" s="27">
        <f t="shared" si="15"/>
        <v>3160</v>
      </c>
    </row>
    <row r="200" spans="1:10" x14ac:dyDescent="0.3">
      <c r="A200" s="23" t="str">
        <f t="shared" si="12"/>
        <v>01-05-2026</v>
      </c>
      <c r="B200" s="24" t="s">
        <v>36</v>
      </c>
      <c r="C200" s="4">
        <v>8909113011991</v>
      </c>
      <c r="D200" s="24">
        <v>32</v>
      </c>
      <c r="E200" s="24" t="s">
        <v>218</v>
      </c>
      <c r="F200" s="25" t="str">
        <f t="shared" si="13"/>
        <v>FLYING MACHINE</v>
      </c>
      <c r="G200" s="24">
        <v>2</v>
      </c>
      <c r="H200" s="25" t="str">
        <f t="shared" si="14"/>
        <v>Pcs.</v>
      </c>
      <c r="I200" s="26">
        <v>3160</v>
      </c>
      <c r="J200" s="27">
        <f t="shared" si="15"/>
        <v>6320</v>
      </c>
    </row>
    <row r="201" spans="1:10" x14ac:dyDescent="0.3">
      <c r="A201" s="23" t="str">
        <f t="shared" si="12"/>
        <v>01-05-2026</v>
      </c>
      <c r="B201" s="24" t="s">
        <v>36</v>
      </c>
      <c r="C201" s="4">
        <v>8909113012004</v>
      </c>
      <c r="D201" s="24">
        <v>34</v>
      </c>
      <c r="E201" s="24" t="s">
        <v>218</v>
      </c>
      <c r="F201" s="25" t="str">
        <f t="shared" si="13"/>
        <v>FLYING MACHINE</v>
      </c>
      <c r="G201" s="24">
        <v>2</v>
      </c>
      <c r="H201" s="25" t="str">
        <f t="shared" si="14"/>
        <v>Pcs.</v>
      </c>
      <c r="I201" s="26">
        <v>3160</v>
      </c>
      <c r="J201" s="27">
        <f t="shared" si="15"/>
        <v>6320</v>
      </c>
    </row>
    <row r="202" spans="1:10" x14ac:dyDescent="0.3">
      <c r="A202" s="23" t="str">
        <f t="shared" si="12"/>
        <v>01-05-2026</v>
      </c>
      <c r="B202" s="24" t="s">
        <v>36</v>
      </c>
      <c r="C202" s="4">
        <v>8909113012011</v>
      </c>
      <c r="D202" s="24">
        <v>36</v>
      </c>
      <c r="E202" s="24" t="s">
        <v>218</v>
      </c>
      <c r="F202" s="25" t="str">
        <f t="shared" si="13"/>
        <v>FLYING MACHINE</v>
      </c>
      <c r="G202" s="24">
        <v>1</v>
      </c>
      <c r="H202" s="25" t="str">
        <f t="shared" si="14"/>
        <v>Pcs.</v>
      </c>
      <c r="I202" s="26">
        <v>3160</v>
      </c>
      <c r="J202" s="27">
        <f t="shared" si="15"/>
        <v>3160</v>
      </c>
    </row>
    <row r="203" spans="1:10" x14ac:dyDescent="0.3">
      <c r="A203" s="23" t="str">
        <f t="shared" si="12"/>
        <v>01-05-2026</v>
      </c>
      <c r="B203" s="24" t="s">
        <v>36</v>
      </c>
      <c r="C203" s="4">
        <v>8909113012264</v>
      </c>
      <c r="D203" s="24">
        <v>32</v>
      </c>
      <c r="E203" s="24" t="s">
        <v>219</v>
      </c>
      <c r="F203" s="25" t="str">
        <f t="shared" si="13"/>
        <v>FLYING MACHINE</v>
      </c>
      <c r="G203" s="24">
        <v>1</v>
      </c>
      <c r="H203" s="25" t="str">
        <f t="shared" si="14"/>
        <v>Pcs.</v>
      </c>
      <c r="I203" s="26">
        <v>3160</v>
      </c>
      <c r="J203" s="27">
        <f t="shared" si="15"/>
        <v>3160</v>
      </c>
    </row>
    <row r="204" spans="1:10" x14ac:dyDescent="0.3">
      <c r="A204" s="23" t="str">
        <f t="shared" si="12"/>
        <v>01-05-2026</v>
      </c>
      <c r="B204" s="24" t="s">
        <v>36</v>
      </c>
      <c r="C204" s="4">
        <v>8909113012400</v>
      </c>
      <c r="D204" s="24">
        <v>36</v>
      </c>
      <c r="E204" s="24" t="s">
        <v>125</v>
      </c>
      <c r="F204" s="25" t="str">
        <f t="shared" si="13"/>
        <v>FLYING MACHINE</v>
      </c>
      <c r="G204" s="24">
        <v>1</v>
      </c>
      <c r="H204" s="25" t="str">
        <f t="shared" si="14"/>
        <v>Pcs.</v>
      </c>
      <c r="I204" s="26">
        <v>2624</v>
      </c>
      <c r="J204" s="27">
        <f t="shared" si="15"/>
        <v>2624</v>
      </c>
    </row>
    <row r="205" spans="1:10" x14ac:dyDescent="0.3">
      <c r="A205" s="23" t="str">
        <f t="shared" si="12"/>
        <v>01-05-2026</v>
      </c>
      <c r="B205" s="24" t="s">
        <v>36</v>
      </c>
      <c r="C205" s="4">
        <v>8909113012639</v>
      </c>
      <c r="D205" s="24">
        <v>36</v>
      </c>
      <c r="E205" s="24" t="s">
        <v>50</v>
      </c>
      <c r="F205" s="25" t="str">
        <f t="shared" si="13"/>
        <v>FLYING MACHINE</v>
      </c>
      <c r="G205" s="24">
        <v>1</v>
      </c>
      <c r="H205" s="25" t="str">
        <f t="shared" si="14"/>
        <v>Pcs.</v>
      </c>
      <c r="I205" s="26">
        <v>2343</v>
      </c>
      <c r="J205" s="27">
        <f t="shared" si="15"/>
        <v>2343</v>
      </c>
    </row>
    <row r="206" spans="1:10" x14ac:dyDescent="0.3">
      <c r="A206" s="23" t="str">
        <f t="shared" si="12"/>
        <v>01-05-2026</v>
      </c>
      <c r="B206" s="24" t="s">
        <v>36</v>
      </c>
      <c r="C206" s="4">
        <v>8909113012646</v>
      </c>
      <c r="D206" s="24" t="s">
        <v>51</v>
      </c>
      <c r="E206" s="24" t="s">
        <v>50</v>
      </c>
      <c r="F206" s="25" t="str">
        <f t="shared" si="13"/>
        <v>FLYING MACHINE</v>
      </c>
      <c r="G206" s="24">
        <v>2</v>
      </c>
      <c r="H206" s="25" t="str">
        <f t="shared" si="14"/>
        <v>Pcs.</v>
      </c>
      <c r="I206" s="26">
        <v>2343</v>
      </c>
      <c r="J206" s="27">
        <f t="shared" si="15"/>
        <v>4686</v>
      </c>
    </row>
    <row r="207" spans="1:10" x14ac:dyDescent="0.3">
      <c r="A207" s="23" t="str">
        <f t="shared" si="12"/>
        <v>01-05-2026</v>
      </c>
      <c r="B207" s="24" t="s">
        <v>36</v>
      </c>
      <c r="C207" s="4">
        <v>8909113012653</v>
      </c>
      <c r="D207" s="24" t="s">
        <v>37</v>
      </c>
      <c r="E207" s="24" t="s">
        <v>50</v>
      </c>
      <c r="F207" s="25" t="str">
        <f t="shared" si="13"/>
        <v>FLYING MACHINE</v>
      </c>
      <c r="G207" s="24">
        <v>2</v>
      </c>
      <c r="H207" s="25" t="str">
        <f t="shared" si="14"/>
        <v>Pcs.</v>
      </c>
      <c r="I207" s="26">
        <v>2343</v>
      </c>
      <c r="J207" s="27">
        <f t="shared" si="15"/>
        <v>4686</v>
      </c>
    </row>
    <row r="208" spans="1:10" x14ac:dyDescent="0.3">
      <c r="A208" s="23" t="str">
        <f t="shared" si="12"/>
        <v>01-05-2026</v>
      </c>
      <c r="B208" s="24" t="s">
        <v>36</v>
      </c>
      <c r="C208" s="4">
        <v>8909113012660</v>
      </c>
      <c r="D208" s="24" t="s">
        <v>46</v>
      </c>
      <c r="E208" s="24" t="s">
        <v>50</v>
      </c>
      <c r="F208" s="25" t="str">
        <f t="shared" si="13"/>
        <v>FLYING MACHINE</v>
      </c>
      <c r="G208" s="24">
        <v>2</v>
      </c>
      <c r="H208" s="25" t="str">
        <f t="shared" si="14"/>
        <v>Pcs.</v>
      </c>
      <c r="I208" s="26">
        <v>2343</v>
      </c>
      <c r="J208" s="27">
        <f t="shared" si="15"/>
        <v>4686</v>
      </c>
    </row>
    <row r="209" spans="1:10" x14ac:dyDescent="0.3">
      <c r="A209" s="23" t="str">
        <f t="shared" si="12"/>
        <v>01-05-2026</v>
      </c>
      <c r="B209" s="24" t="s">
        <v>36</v>
      </c>
      <c r="C209" s="4">
        <v>8909113013940</v>
      </c>
      <c r="D209" s="24">
        <v>32</v>
      </c>
      <c r="E209" s="24" t="s">
        <v>220</v>
      </c>
      <c r="F209" s="25" t="str">
        <f t="shared" si="13"/>
        <v>FLYING MACHINE</v>
      </c>
      <c r="G209" s="24">
        <v>1</v>
      </c>
      <c r="H209" s="25" t="str">
        <f t="shared" si="14"/>
        <v>Pcs.</v>
      </c>
      <c r="I209" s="26">
        <v>3160</v>
      </c>
      <c r="J209" s="27">
        <f t="shared" si="15"/>
        <v>3160</v>
      </c>
    </row>
    <row r="210" spans="1:10" x14ac:dyDescent="0.3">
      <c r="A210" s="23" t="str">
        <f t="shared" si="12"/>
        <v>01-05-2026</v>
      </c>
      <c r="B210" s="24" t="s">
        <v>36</v>
      </c>
      <c r="C210" s="4">
        <v>8909113013964</v>
      </c>
      <c r="D210" s="24">
        <v>36</v>
      </c>
      <c r="E210" s="24" t="s">
        <v>220</v>
      </c>
      <c r="F210" s="25" t="str">
        <f t="shared" si="13"/>
        <v>FLYING MACHINE</v>
      </c>
      <c r="G210" s="24">
        <v>1</v>
      </c>
      <c r="H210" s="25" t="str">
        <f t="shared" si="14"/>
        <v>Pcs.</v>
      </c>
      <c r="I210" s="26">
        <v>3160</v>
      </c>
      <c r="J210" s="27">
        <f t="shared" si="15"/>
        <v>3160</v>
      </c>
    </row>
    <row r="211" spans="1:10" x14ac:dyDescent="0.3">
      <c r="A211" s="23" t="str">
        <f t="shared" si="12"/>
        <v>01-05-2026</v>
      </c>
      <c r="B211" s="24" t="s">
        <v>36</v>
      </c>
      <c r="C211" s="4">
        <v>8909113014077</v>
      </c>
      <c r="D211" s="24">
        <v>32</v>
      </c>
      <c r="E211" s="24" t="s">
        <v>221</v>
      </c>
      <c r="F211" s="25" t="str">
        <f t="shared" si="13"/>
        <v>FLYING MACHINE</v>
      </c>
      <c r="G211" s="24">
        <v>2</v>
      </c>
      <c r="H211" s="25" t="str">
        <f t="shared" si="14"/>
        <v>Pcs.</v>
      </c>
      <c r="I211" s="26">
        <v>3686</v>
      </c>
      <c r="J211" s="27">
        <f t="shared" si="15"/>
        <v>7372</v>
      </c>
    </row>
    <row r="212" spans="1:10" x14ac:dyDescent="0.3">
      <c r="A212" s="23" t="str">
        <f t="shared" si="12"/>
        <v>01-05-2026</v>
      </c>
      <c r="B212" s="24" t="s">
        <v>36</v>
      </c>
      <c r="C212" s="4">
        <v>8909113014084</v>
      </c>
      <c r="D212" s="24">
        <v>34</v>
      </c>
      <c r="E212" s="24" t="s">
        <v>221</v>
      </c>
      <c r="F212" s="25" t="str">
        <f t="shared" si="13"/>
        <v>FLYING MACHINE</v>
      </c>
      <c r="G212" s="24">
        <v>2</v>
      </c>
      <c r="H212" s="25" t="str">
        <f t="shared" si="14"/>
        <v>Pcs.</v>
      </c>
      <c r="I212" s="26">
        <v>3686</v>
      </c>
      <c r="J212" s="27">
        <f t="shared" si="15"/>
        <v>7372</v>
      </c>
    </row>
    <row r="213" spans="1:10" x14ac:dyDescent="0.3">
      <c r="A213" s="23" t="str">
        <f t="shared" si="12"/>
        <v>01-05-2026</v>
      </c>
      <c r="B213" s="24" t="s">
        <v>36</v>
      </c>
      <c r="C213" s="4">
        <v>8909113015364</v>
      </c>
      <c r="D213" s="24">
        <v>36</v>
      </c>
      <c r="E213" s="24" t="s">
        <v>70</v>
      </c>
      <c r="F213" s="25" t="str">
        <f t="shared" si="13"/>
        <v>FLYING MACHINE</v>
      </c>
      <c r="G213" s="24">
        <v>1</v>
      </c>
      <c r="H213" s="25" t="str">
        <f t="shared" si="14"/>
        <v>Pcs.</v>
      </c>
      <c r="I213" s="26">
        <v>3686</v>
      </c>
      <c r="J213" s="27">
        <f t="shared" si="15"/>
        <v>3686</v>
      </c>
    </row>
    <row r="214" spans="1:10" x14ac:dyDescent="0.3">
      <c r="A214" s="23" t="str">
        <f t="shared" si="12"/>
        <v>01-05-2026</v>
      </c>
      <c r="B214" s="24" t="s">
        <v>36</v>
      </c>
      <c r="C214" s="4">
        <v>8909113015371</v>
      </c>
      <c r="D214" s="24">
        <v>30</v>
      </c>
      <c r="E214" s="24" t="s">
        <v>70</v>
      </c>
      <c r="F214" s="25" t="str">
        <f t="shared" si="13"/>
        <v>FLYING MACHINE</v>
      </c>
      <c r="G214" s="24">
        <v>1</v>
      </c>
      <c r="H214" s="25" t="str">
        <f t="shared" si="14"/>
        <v>Pcs.</v>
      </c>
      <c r="I214" s="26">
        <v>3686</v>
      </c>
      <c r="J214" s="27">
        <f t="shared" si="15"/>
        <v>3686</v>
      </c>
    </row>
    <row r="215" spans="1:10" x14ac:dyDescent="0.3">
      <c r="A215" s="23" t="str">
        <f t="shared" si="12"/>
        <v>01-05-2026</v>
      </c>
      <c r="B215" s="24" t="s">
        <v>36</v>
      </c>
      <c r="C215" s="4">
        <v>8909113015388</v>
      </c>
      <c r="D215" s="24">
        <v>32</v>
      </c>
      <c r="E215" s="24" t="s">
        <v>70</v>
      </c>
      <c r="F215" s="25" t="str">
        <f t="shared" si="13"/>
        <v>FLYING MACHINE</v>
      </c>
      <c r="G215" s="24">
        <v>2</v>
      </c>
      <c r="H215" s="25" t="str">
        <f t="shared" si="14"/>
        <v>Pcs.</v>
      </c>
      <c r="I215" s="26">
        <v>3686</v>
      </c>
      <c r="J215" s="27">
        <f t="shared" si="15"/>
        <v>7372</v>
      </c>
    </row>
    <row r="216" spans="1:10" x14ac:dyDescent="0.3">
      <c r="A216" s="23" t="str">
        <f t="shared" si="12"/>
        <v>01-05-2026</v>
      </c>
      <c r="B216" s="24" t="s">
        <v>36</v>
      </c>
      <c r="C216" s="4">
        <v>8909113015395</v>
      </c>
      <c r="D216" s="24">
        <v>34</v>
      </c>
      <c r="E216" s="24" t="s">
        <v>70</v>
      </c>
      <c r="F216" s="25" t="str">
        <f t="shared" si="13"/>
        <v>FLYING MACHINE</v>
      </c>
      <c r="G216" s="24">
        <v>1</v>
      </c>
      <c r="H216" s="25" t="str">
        <f t="shared" si="14"/>
        <v>Pcs.</v>
      </c>
      <c r="I216" s="26">
        <v>3686</v>
      </c>
      <c r="J216" s="27">
        <f t="shared" si="15"/>
        <v>3686</v>
      </c>
    </row>
    <row r="217" spans="1:10" x14ac:dyDescent="0.3">
      <c r="A217" s="23" t="str">
        <f t="shared" si="12"/>
        <v>01-05-2026</v>
      </c>
      <c r="B217" s="24" t="s">
        <v>36</v>
      </c>
      <c r="C217" s="4">
        <v>8909113015500</v>
      </c>
      <c r="D217" s="24">
        <v>32</v>
      </c>
      <c r="E217" s="24" t="s">
        <v>222</v>
      </c>
      <c r="F217" s="25" t="str">
        <f t="shared" si="13"/>
        <v>FLYING MACHINE</v>
      </c>
      <c r="G217" s="24">
        <v>2</v>
      </c>
      <c r="H217" s="25" t="str">
        <f t="shared" si="14"/>
        <v>Pcs.</v>
      </c>
      <c r="I217" s="26">
        <v>3686</v>
      </c>
      <c r="J217" s="27">
        <f t="shared" si="15"/>
        <v>7372</v>
      </c>
    </row>
    <row r="218" spans="1:10" x14ac:dyDescent="0.3">
      <c r="A218" s="23" t="str">
        <f t="shared" si="12"/>
        <v>01-05-2026</v>
      </c>
      <c r="B218" s="24" t="s">
        <v>36</v>
      </c>
      <c r="C218" s="4">
        <v>8909113015517</v>
      </c>
      <c r="D218" s="24">
        <v>34</v>
      </c>
      <c r="E218" s="24" t="s">
        <v>222</v>
      </c>
      <c r="F218" s="25" t="str">
        <f t="shared" si="13"/>
        <v>FLYING MACHINE</v>
      </c>
      <c r="G218" s="24">
        <v>2</v>
      </c>
      <c r="H218" s="25" t="str">
        <f t="shared" si="14"/>
        <v>Pcs.</v>
      </c>
      <c r="I218" s="26">
        <v>3686</v>
      </c>
      <c r="J218" s="27">
        <f t="shared" si="15"/>
        <v>7372</v>
      </c>
    </row>
    <row r="219" spans="1:10" x14ac:dyDescent="0.3">
      <c r="A219" s="23" t="str">
        <f t="shared" si="12"/>
        <v>01-05-2026</v>
      </c>
      <c r="B219" s="24" t="s">
        <v>36</v>
      </c>
      <c r="C219" s="4">
        <v>8909113015524</v>
      </c>
      <c r="D219" s="24">
        <v>36</v>
      </c>
      <c r="E219" s="24" t="s">
        <v>222</v>
      </c>
      <c r="F219" s="25" t="str">
        <f t="shared" si="13"/>
        <v>FLYING MACHINE</v>
      </c>
      <c r="G219" s="24">
        <v>1</v>
      </c>
      <c r="H219" s="25" t="str">
        <f t="shared" si="14"/>
        <v>Pcs.</v>
      </c>
      <c r="I219" s="26">
        <v>3686</v>
      </c>
      <c r="J219" s="27">
        <f t="shared" si="15"/>
        <v>3686</v>
      </c>
    </row>
    <row r="220" spans="1:10" x14ac:dyDescent="0.3">
      <c r="A220" s="23" t="str">
        <f t="shared" si="12"/>
        <v>01-05-2026</v>
      </c>
      <c r="B220" s="24" t="s">
        <v>36</v>
      </c>
      <c r="C220" s="4">
        <v>8909113016026</v>
      </c>
      <c r="D220" s="24">
        <v>32</v>
      </c>
      <c r="E220" s="24" t="s">
        <v>223</v>
      </c>
      <c r="F220" s="25" t="str">
        <f t="shared" si="13"/>
        <v>FLYING MACHINE</v>
      </c>
      <c r="G220" s="24">
        <v>2</v>
      </c>
      <c r="H220" s="25" t="str">
        <f t="shared" si="14"/>
        <v>Pcs.</v>
      </c>
      <c r="I220" s="26">
        <v>3686</v>
      </c>
      <c r="J220" s="27">
        <f t="shared" si="15"/>
        <v>7372</v>
      </c>
    </row>
    <row r="221" spans="1:10" x14ac:dyDescent="0.3">
      <c r="A221" s="23" t="str">
        <f t="shared" si="12"/>
        <v>01-05-2026</v>
      </c>
      <c r="B221" s="24" t="s">
        <v>36</v>
      </c>
      <c r="C221" s="4">
        <v>8909113016033</v>
      </c>
      <c r="D221" s="24">
        <v>34</v>
      </c>
      <c r="E221" s="24" t="s">
        <v>223</v>
      </c>
      <c r="F221" s="25" t="str">
        <f t="shared" si="13"/>
        <v>FLYING MACHINE</v>
      </c>
      <c r="G221" s="24">
        <v>1</v>
      </c>
      <c r="H221" s="25" t="str">
        <f t="shared" si="14"/>
        <v>Pcs.</v>
      </c>
      <c r="I221" s="26">
        <v>3686</v>
      </c>
      <c r="J221" s="27">
        <f t="shared" si="15"/>
        <v>3686</v>
      </c>
    </row>
    <row r="222" spans="1:10" x14ac:dyDescent="0.3">
      <c r="A222" s="23" t="str">
        <f t="shared" si="12"/>
        <v>01-05-2026</v>
      </c>
      <c r="B222" s="24" t="s">
        <v>36</v>
      </c>
      <c r="C222" s="4">
        <v>8909113016040</v>
      </c>
      <c r="D222" s="24">
        <v>36</v>
      </c>
      <c r="E222" s="24" t="s">
        <v>223</v>
      </c>
      <c r="F222" s="25" t="str">
        <f t="shared" si="13"/>
        <v>FLYING MACHINE</v>
      </c>
      <c r="G222" s="24">
        <v>1</v>
      </c>
      <c r="H222" s="25" t="str">
        <f t="shared" si="14"/>
        <v>Pcs.</v>
      </c>
      <c r="I222" s="26">
        <v>3686</v>
      </c>
      <c r="J222" s="27">
        <f t="shared" si="15"/>
        <v>3686</v>
      </c>
    </row>
    <row r="223" spans="1:10" x14ac:dyDescent="0.3">
      <c r="A223" s="23" t="str">
        <f t="shared" si="12"/>
        <v>01-05-2026</v>
      </c>
      <c r="B223" s="24" t="s">
        <v>36</v>
      </c>
      <c r="C223" s="4">
        <v>8909113016538</v>
      </c>
      <c r="D223" s="24" t="s">
        <v>51</v>
      </c>
      <c r="E223" s="24" t="s">
        <v>224</v>
      </c>
      <c r="F223" s="25" t="str">
        <f t="shared" si="13"/>
        <v>FLYING MACHINE</v>
      </c>
      <c r="G223" s="24">
        <v>1</v>
      </c>
      <c r="H223" s="25" t="str">
        <f t="shared" si="14"/>
        <v>Pcs.</v>
      </c>
      <c r="I223" s="26">
        <v>3686</v>
      </c>
      <c r="J223" s="27">
        <f t="shared" si="15"/>
        <v>3686</v>
      </c>
    </row>
    <row r="224" spans="1:10" x14ac:dyDescent="0.3">
      <c r="A224" s="23" t="str">
        <f t="shared" si="12"/>
        <v>01-05-2026</v>
      </c>
      <c r="B224" s="24" t="s">
        <v>36</v>
      </c>
      <c r="C224" s="4">
        <v>8909113016545</v>
      </c>
      <c r="D224" s="24" t="s">
        <v>46</v>
      </c>
      <c r="E224" s="24" t="s">
        <v>224</v>
      </c>
      <c r="F224" s="25" t="str">
        <f t="shared" si="13"/>
        <v>FLYING MACHINE</v>
      </c>
      <c r="G224" s="24">
        <v>2</v>
      </c>
      <c r="H224" s="25" t="str">
        <f t="shared" si="14"/>
        <v>Pcs.</v>
      </c>
      <c r="I224" s="26">
        <v>3686</v>
      </c>
      <c r="J224" s="27">
        <f t="shared" si="15"/>
        <v>7372</v>
      </c>
    </row>
    <row r="225" spans="1:10" x14ac:dyDescent="0.3">
      <c r="A225" s="23" t="str">
        <f t="shared" si="12"/>
        <v>01-05-2026</v>
      </c>
      <c r="B225" s="24" t="s">
        <v>36</v>
      </c>
      <c r="C225" s="4">
        <v>8909113016552</v>
      </c>
      <c r="D225" s="24" t="s">
        <v>37</v>
      </c>
      <c r="E225" s="24" t="s">
        <v>224</v>
      </c>
      <c r="F225" s="25" t="str">
        <f t="shared" si="13"/>
        <v>FLYING MACHINE</v>
      </c>
      <c r="G225" s="24">
        <v>2</v>
      </c>
      <c r="H225" s="25" t="str">
        <f t="shared" si="14"/>
        <v>Pcs.</v>
      </c>
      <c r="I225" s="26">
        <v>3686</v>
      </c>
      <c r="J225" s="27">
        <f t="shared" si="15"/>
        <v>7372</v>
      </c>
    </row>
    <row r="226" spans="1:10" x14ac:dyDescent="0.3">
      <c r="A226" s="23" t="str">
        <f t="shared" si="12"/>
        <v>01-05-2026</v>
      </c>
      <c r="B226" s="24" t="s">
        <v>36</v>
      </c>
      <c r="C226" s="4">
        <v>8909113023949</v>
      </c>
      <c r="D226" s="24">
        <v>36</v>
      </c>
      <c r="E226" s="24" t="s">
        <v>62</v>
      </c>
      <c r="F226" s="25" t="str">
        <f t="shared" si="13"/>
        <v>FLYING MACHINE</v>
      </c>
      <c r="G226" s="24">
        <v>1</v>
      </c>
      <c r="H226" s="25" t="str">
        <f t="shared" si="14"/>
        <v>Pcs.</v>
      </c>
      <c r="I226" s="26">
        <v>2343</v>
      </c>
      <c r="J226" s="27">
        <f t="shared" si="15"/>
        <v>2343</v>
      </c>
    </row>
    <row r="227" spans="1:10" x14ac:dyDescent="0.3">
      <c r="A227" s="23" t="str">
        <f t="shared" si="12"/>
        <v>01-05-2026</v>
      </c>
      <c r="B227" s="24" t="s">
        <v>36</v>
      </c>
      <c r="C227" s="4">
        <v>8909113023956</v>
      </c>
      <c r="D227" s="24">
        <v>30</v>
      </c>
      <c r="E227" s="24" t="s">
        <v>62</v>
      </c>
      <c r="F227" s="25" t="str">
        <f t="shared" si="13"/>
        <v>FLYING MACHINE</v>
      </c>
      <c r="G227" s="24">
        <v>1</v>
      </c>
      <c r="H227" s="25" t="str">
        <f t="shared" si="14"/>
        <v>Pcs.</v>
      </c>
      <c r="I227" s="26">
        <v>2343</v>
      </c>
      <c r="J227" s="27">
        <f t="shared" si="15"/>
        <v>2343</v>
      </c>
    </row>
    <row r="228" spans="1:10" x14ac:dyDescent="0.3">
      <c r="A228" s="23" t="str">
        <f t="shared" si="12"/>
        <v>01-05-2026</v>
      </c>
      <c r="B228" s="24" t="s">
        <v>36</v>
      </c>
      <c r="C228" s="4">
        <v>8909113023963</v>
      </c>
      <c r="D228" s="24">
        <v>32</v>
      </c>
      <c r="E228" s="24" t="s">
        <v>62</v>
      </c>
      <c r="F228" s="25" t="str">
        <f t="shared" si="13"/>
        <v>FLYING MACHINE</v>
      </c>
      <c r="G228" s="24">
        <v>1</v>
      </c>
      <c r="H228" s="25" t="str">
        <f t="shared" si="14"/>
        <v>Pcs.</v>
      </c>
      <c r="I228" s="26">
        <v>2343</v>
      </c>
      <c r="J228" s="27">
        <f t="shared" si="15"/>
        <v>2343</v>
      </c>
    </row>
    <row r="229" spans="1:10" x14ac:dyDescent="0.3">
      <c r="A229" s="23" t="str">
        <f t="shared" si="12"/>
        <v>01-05-2026</v>
      </c>
      <c r="B229" s="24" t="s">
        <v>36</v>
      </c>
      <c r="C229" s="4">
        <v>8909113026032</v>
      </c>
      <c r="D229" s="24">
        <v>30</v>
      </c>
      <c r="E229" s="24" t="s">
        <v>225</v>
      </c>
      <c r="F229" s="25" t="str">
        <f t="shared" si="13"/>
        <v>FLYING MACHINE</v>
      </c>
      <c r="G229" s="24">
        <v>1</v>
      </c>
      <c r="H229" s="25" t="str">
        <f t="shared" si="14"/>
        <v>Pcs.</v>
      </c>
      <c r="I229" s="26">
        <v>2624</v>
      </c>
      <c r="J229" s="27">
        <f t="shared" si="15"/>
        <v>2624</v>
      </c>
    </row>
    <row r="230" spans="1:10" x14ac:dyDescent="0.3">
      <c r="A230" s="23" t="str">
        <f t="shared" si="12"/>
        <v>01-05-2026</v>
      </c>
      <c r="B230" s="24" t="s">
        <v>36</v>
      </c>
      <c r="C230" s="4">
        <v>8909113026292</v>
      </c>
      <c r="D230" s="24">
        <v>32</v>
      </c>
      <c r="E230" s="24" t="s">
        <v>226</v>
      </c>
      <c r="F230" s="25" t="str">
        <f t="shared" si="13"/>
        <v>FLYING MACHINE</v>
      </c>
      <c r="G230" s="24">
        <v>1</v>
      </c>
      <c r="H230" s="25" t="str">
        <f t="shared" si="14"/>
        <v>Pcs.</v>
      </c>
      <c r="I230" s="26">
        <v>2624</v>
      </c>
      <c r="J230" s="27">
        <f t="shared" si="15"/>
        <v>2624</v>
      </c>
    </row>
    <row r="231" spans="1:10" x14ac:dyDescent="0.3">
      <c r="A231" s="23" t="str">
        <f t="shared" si="12"/>
        <v>01-05-2026</v>
      </c>
      <c r="B231" s="24" t="s">
        <v>36</v>
      </c>
      <c r="C231" s="4">
        <v>8909113026308</v>
      </c>
      <c r="D231" s="24">
        <v>34</v>
      </c>
      <c r="E231" s="24" t="s">
        <v>226</v>
      </c>
      <c r="F231" s="25" t="str">
        <f t="shared" si="13"/>
        <v>FLYING MACHINE</v>
      </c>
      <c r="G231" s="24">
        <v>1</v>
      </c>
      <c r="H231" s="25" t="str">
        <f t="shared" si="14"/>
        <v>Pcs.</v>
      </c>
      <c r="I231" s="26">
        <v>2624</v>
      </c>
      <c r="J231" s="27">
        <f t="shared" si="15"/>
        <v>2624</v>
      </c>
    </row>
    <row r="232" spans="1:10" x14ac:dyDescent="0.3">
      <c r="A232" s="23" t="str">
        <f t="shared" si="12"/>
        <v>01-05-2026</v>
      </c>
      <c r="B232" s="24" t="s">
        <v>36</v>
      </c>
      <c r="C232" s="4">
        <v>8909113026315</v>
      </c>
      <c r="D232" s="24">
        <v>36</v>
      </c>
      <c r="E232" s="24" t="s">
        <v>226</v>
      </c>
      <c r="F232" s="25" t="str">
        <f t="shared" si="13"/>
        <v>FLYING MACHINE</v>
      </c>
      <c r="G232" s="24">
        <v>1</v>
      </c>
      <c r="H232" s="25" t="str">
        <f t="shared" si="14"/>
        <v>Pcs.</v>
      </c>
      <c r="I232" s="26">
        <v>2624</v>
      </c>
      <c r="J232" s="27">
        <f t="shared" si="15"/>
        <v>2624</v>
      </c>
    </row>
    <row r="233" spans="1:10" x14ac:dyDescent="0.3">
      <c r="A233" s="23" t="str">
        <f t="shared" si="12"/>
        <v>01-05-2026</v>
      </c>
      <c r="B233" s="24" t="s">
        <v>36</v>
      </c>
      <c r="C233" s="4">
        <v>8909113026551</v>
      </c>
      <c r="D233" s="24">
        <v>32</v>
      </c>
      <c r="E233" s="24" t="s">
        <v>227</v>
      </c>
      <c r="F233" s="25" t="str">
        <f t="shared" si="13"/>
        <v>FLYING MACHINE</v>
      </c>
      <c r="G233" s="24">
        <v>1</v>
      </c>
      <c r="H233" s="25" t="str">
        <f t="shared" si="14"/>
        <v>Pcs.</v>
      </c>
      <c r="I233" s="26">
        <v>3160</v>
      </c>
      <c r="J233" s="27">
        <f t="shared" si="15"/>
        <v>3160</v>
      </c>
    </row>
    <row r="234" spans="1:10" x14ac:dyDescent="0.3">
      <c r="A234" s="23" t="str">
        <f t="shared" si="12"/>
        <v>01-05-2026</v>
      </c>
      <c r="B234" s="24" t="s">
        <v>36</v>
      </c>
      <c r="C234" s="4">
        <v>8909113026568</v>
      </c>
      <c r="D234" s="24">
        <v>34</v>
      </c>
      <c r="E234" s="24" t="s">
        <v>227</v>
      </c>
      <c r="F234" s="25" t="str">
        <f t="shared" si="13"/>
        <v>FLYING MACHINE</v>
      </c>
      <c r="G234" s="24">
        <v>1</v>
      </c>
      <c r="H234" s="25" t="str">
        <f t="shared" si="14"/>
        <v>Pcs.</v>
      </c>
      <c r="I234" s="26">
        <v>3160</v>
      </c>
      <c r="J234" s="27">
        <f t="shared" si="15"/>
        <v>3160</v>
      </c>
    </row>
    <row r="235" spans="1:10" x14ac:dyDescent="0.3">
      <c r="A235" s="23" t="str">
        <f t="shared" si="12"/>
        <v>01-05-2026</v>
      </c>
      <c r="B235" s="24" t="s">
        <v>36</v>
      </c>
      <c r="C235" s="4">
        <v>8909113027183</v>
      </c>
      <c r="D235" s="24">
        <v>28</v>
      </c>
      <c r="E235" s="24" t="s">
        <v>228</v>
      </c>
      <c r="F235" s="25" t="str">
        <f t="shared" si="13"/>
        <v>FLYING MACHINE</v>
      </c>
      <c r="G235" s="24">
        <v>1</v>
      </c>
      <c r="H235" s="25" t="str">
        <f t="shared" si="14"/>
        <v>Pcs.</v>
      </c>
      <c r="I235" s="26">
        <v>3160</v>
      </c>
      <c r="J235" s="27">
        <f t="shared" si="15"/>
        <v>3160</v>
      </c>
    </row>
    <row r="236" spans="1:10" x14ac:dyDescent="0.3">
      <c r="A236" s="23" t="str">
        <f t="shared" si="12"/>
        <v>01-05-2026</v>
      </c>
      <c r="B236" s="24" t="s">
        <v>36</v>
      </c>
      <c r="C236" s="4">
        <v>8909113027190</v>
      </c>
      <c r="D236" s="24">
        <v>30</v>
      </c>
      <c r="E236" s="24" t="s">
        <v>228</v>
      </c>
      <c r="F236" s="25" t="str">
        <f t="shared" si="13"/>
        <v>FLYING MACHINE</v>
      </c>
      <c r="G236" s="24">
        <v>1</v>
      </c>
      <c r="H236" s="25" t="str">
        <f t="shared" si="14"/>
        <v>Pcs.</v>
      </c>
      <c r="I236" s="26">
        <v>3160</v>
      </c>
      <c r="J236" s="27">
        <f t="shared" si="15"/>
        <v>3160</v>
      </c>
    </row>
    <row r="237" spans="1:10" x14ac:dyDescent="0.3">
      <c r="A237" s="23" t="str">
        <f t="shared" si="12"/>
        <v>01-05-2026</v>
      </c>
      <c r="B237" s="24" t="s">
        <v>36</v>
      </c>
      <c r="C237" s="4">
        <v>8909113027206</v>
      </c>
      <c r="D237" s="24">
        <v>32</v>
      </c>
      <c r="E237" s="24" t="s">
        <v>228</v>
      </c>
      <c r="F237" s="25" t="str">
        <f t="shared" si="13"/>
        <v>FLYING MACHINE</v>
      </c>
      <c r="G237" s="24">
        <v>1</v>
      </c>
      <c r="H237" s="25" t="str">
        <f t="shared" si="14"/>
        <v>Pcs.</v>
      </c>
      <c r="I237" s="26">
        <v>3160</v>
      </c>
      <c r="J237" s="27">
        <f t="shared" si="15"/>
        <v>3160</v>
      </c>
    </row>
    <row r="238" spans="1:10" x14ac:dyDescent="0.3">
      <c r="A238" s="23" t="str">
        <f t="shared" si="12"/>
        <v>01-05-2026</v>
      </c>
      <c r="B238" s="24" t="s">
        <v>36</v>
      </c>
      <c r="C238" s="4">
        <v>8909113027220</v>
      </c>
      <c r="D238" s="24">
        <v>36</v>
      </c>
      <c r="E238" s="24" t="s">
        <v>228</v>
      </c>
      <c r="F238" s="25" t="str">
        <f t="shared" si="13"/>
        <v>FLYING MACHINE</v>
      </c>
      <c r="G238" s="24">
        <v>1</v>
      </c>
      <c r="H238" s="25" t="str">
        <f t="shared" si="14"/>
        <v>Pcs.</v>
      </c>
      <c r="I238" s="26">
        <v>3160</v>
      </c>
      <c r="J238" s="27">
        <f t="shared" si="15"/>
        <v>3160</v>
      </c>
    </row>
    <row r="239" spans="1:10" x14ac:dyDescent="0.3">
      <c r="A239" s="23" t="str">
        <f t="shared" si="12"/>
        <v>01-05-2026</v>
      </c>
      <c r="B239" s="24" t="s">
        <v>36</v>
      </c>
      <c r="C239" s="4">
        <v>8909113032903</v>
      </c>
      <c r="D239" s="24" t="s">
        <v>39</v>
      </c>
      <c r="E239" s="24" t="s">
        <v>48</v>
      </c>
      <c r="F239" s="25" t="str">
        <f t="shared" si="13"/>
        <v>FLYING MACHINE</v>
      </c>
      <c r="G239" s="24">
        <v>1</v>
      </c>
      <c r="H239" s="25" t="str">
        <f t="shared" si="14"/>
        <v>Pcs.</v>
      </c>
      <c r="I239" s="26">
        <v>3686</v>
      </c>
      <c r="J239" s="27">
        <f t="shared" si="15"/>
        <v>3686</v>
      </c>
    </row>
    <row r="240" spans="1:10" x14ac:dyDescent="0.3">
      <c r="A240" s="23" t="str">
        <f t="shared" si="12"/>
        <v>01-05-2026</v>
      </c>
      <c r="B240" s="24" t="s">
        <v>36</v>
      </c>
      <c r="C240" s="4">
        <v>8909113032927</v>
      </c>
      <c r="D240" s="24">
        <v>32</v>
      </c>
      <c r="E240" s="24" t="s">
        <v>48</v>
      </c>
      <c r="F240" s="25" t="str">
        <f t="shared" si="13"/>
        <v>FLYING MACHINE</v>
      </c>
      <c r="G240" s="24">
        <v>1</v>
      </c>
      <c r="H240" s="25" t="str">
        <f t="shared" si="14"/>
        <v>Pcs.</v>
      </c>
      <c r="I240" s="26">
        <v>3686</v>
      </c>
      <c r="J240" s="27">
        <f t="shared" si="15"/>
        <v>3686</v>
      </c>
    </row>
    <row r="241" spans="1:10" x14ac:dyDescent="0.3">
      <c r="A241" s="23" t="str">
        <f t="shared" si="12"/>
        <v>01-05-2026</v>
      </c>
      <c r="B241" s="24" t="s">
        <v>36</v>
      </c>
      <c r="C241" s="4">
        <v>8909113032934</v>
      </c>
      <c r="D241" s="24">
        <v>34</v>
      </c>
      <c r="E241" s="24" t="s">
        <v>48</v>
      </c>
      <c r="F241" s="25" t="str">
        <f t="shared" si="13"/>
        <v>FLYING MACHINE</v>
      </c>
      <c r="G241" s="24">
        <v>1</v>
      </c>
      <c r="H241" s="25" t="str">
        <f t="shared" si="14"/>
        <v>Pcs.</v>
      </c>
      <c r="I241" s="26">
        <v>3686</v>
      </c>
      <c r="J241" s="27">
        <f t="shared" si="15"/>
        <v>3686</v>
      </c>
    </row>
    <row r="242" spans="1:10" x14ac:dyDescent="0.3">
      <c r="A242" s="23" t="str">
        <f t="shared" si="12"/>
        <v>01-05-2026</v>
      </c>
      <c r="B242" s="24" t="s">
        <v>36</v>
      </c>
      <c r="C242" s="4">
        <v>8909113032941</v>
      </c>
      <c r="D242" s="24">
        <v>36</v>
      </c>
      <c r="E242" s="24" t="s">
        <v>48</v>
      </c>
      <c r="F242" s="25" t="str">
        <f t="shared" si="13"/>
        <v>FLYING MACHINE</v>
      </c>
      <c r="G242" s="24">
        <v>1</v>
      </c>
      <c r="H242" s="25" t="str">
        <f t="shared" si="14"/>
        <v>Pcs.</v>
      </c>
      <c r="I242" s="26">
        <v>3686</v>
      </c>
      <c r="J242" s="27">
        <f t="shared" si="15"/>
        <v>3686</v>
      </c>
    </row>
    <row r="243" spans="1:10" x14ac:dyDescent="0.3">
      <c r="A243" s="23" t="str">
        <f t="shared" si="12"/>
        <v>01-05-2026</v>
      </c>
      <c r="B243" s="24" t="s">
        <v>36</v>
      </c>
      <c r="C243" s="4">
        <v>8909113033047</v>
      </c>
      <c r="D243" s="24">
        <v>28</v>
      </c>
      <c r="E243" s="24" t="s">
        <v>229</v>
      </c>
      <c r="F243" s="25" t="str">
        <f t="shared" si="13"/>
        <v>FLYING MACHINE</v>
      </c>
      <c r="G243" s="24">
        <v>1</v>
      </c>
      <c r="H243" s="25" t="str">
        <f t="shared" si="14"/>
        <v>Pcs.</v>
      </c>
      <c r="I243" s="26">
        <v>3686</v>
      </c>
      <c r="J243" s="27">
        <f t="shared" si="15"/>
        <v>3686</v>
      </c>
    </row>
    <row r="244" spans="1:10" x14ac:dyDescent="0.3">
      <c r="A244" s="23" t="str">
        <f t="shared" si="12"/>
        <v>01-05-2026</v>
      </c>
      <c r="B244" s="24" t="s">
        <v>36</v>
      </c>
      <c r="C244" s="4">
        <v>8909113033054</v>
      </c>
      <c r="D244" s="24">
        <v>30</v>
      </c>
      <c r="E244" s="24" t="s">
        <v>229</v>
      </c>
      <c r="F244" s="25" t="str">
        <f t="shared" si="13"/>
        <v>FLYING MACHINE</v>
      </c>
      <c r="G244" s="24">
        <v>1</v>
      </c>
      <c r="H244" s="25" t="str">
        <f t="shared" si="14"/>
        <v>Pcs.</v>
      </c>
      <c r="I244" s="26">
        <v>3686</v>
      </c>
      <c r="J244" s="27">
        <f t="shared" si="15"/>
        <v>3686</v>
      </c>
    </row>
    <row r="245" spans="1:10" x14ac:dyDescent="0.3">
      <c r="A245" s="23" t="str">
        <f t="shared" si="12"/>
        <v>01-05-2026</v>
      </c>
      <c r="B245" s="24" t="s">
        <v>36</v>
      </c>
      <c r="C245" s="4">
        <v>8909113033061</v>
      </c>
      <c r="D245" s="24">
        <v>32</v>
      </c>
      <c r="E245" s="24" t="s">
        <v>229</v>
      </c>
      <c r="F245" s="25" t="str">
        <f t="shared" si="13"/>
        <v>FLYING MACHINE</v>
      </c>
      <c r="G245" s="24">
        <v>1</v>
      </c>
      <c r="H245" s="25" t="str">
        <f t="shared" si="14"/>
        <v>Pcs.</v>
      </c>
      <c r="I245" s="26">
        <v>3686</v>
      </c>
      <c r="J245" s="27">
        <f t="shared" si="15"/>
        <v>3686</v>
      </c>
    </row>
    <row r="246" spans="1:10" x14ac:dyDescent="0.3">
      <c r="A246" s="23" t="str">
        <f t="shared" si="12"/>
        <v>01-05-2026</v>
      </c>
      <c r="B246" s="24" t="s">
        <v>36</v>
      </c>
      <c r="C246" s="4">
        <v>8909113033078</v>
      </c>
      <c r="D246" s="24">
        <v>34</v>
      </c>
      <c r="E246" s="24" t="s">
        <v>229</v>
      </c>
      <c r="F246" s="25" t="str">
        <f t="shared" si="13"/>
        <v>FLYING MACHINE</v>
      </c>
      <c r="G246" s="24">
        <v>1</v>
      </c>
      <c r="H246" s="25" t="str">
        <f t="shared" si="14"/>
        <v>Pcs.</v>
      </c>
      <c r="I246" s="26">
        <v>3686</v>
      </c>
      <c r="J246" s="27">
        <f t="shared" si="15"/>
        <v>3686</v>
      </c>
    </row>
    <row r="247" spans="1:10" x14ac:dyDescent="0.3">
      <c r="A247" s="23" t="str">
        <f t="shared" si="12"/>
        <v>01-05-2026</v>
      </c>
      <c r="B247" s="24" t="s">
        <v>36</v>
      </c>
      <c r="C247" s="4">
        <v>8909113033184</v>
      </c>
      <c r="D247" s="24">
        <v>32</v>
      </c>
      <c r="E247" s="24" t="s">
        <v>230</v>
      </c>
      <c r="F247" s="25" t="str">
        <f t="shared" si="13"/>
        <v>FLYING MACHINE</v>
      </c>
      <c r="G247" s="24">
        <v>1</v>
      </c>
      <c r="H247" s="25" t="str">
        <f t="shared" si="14"/>
        <v>Pcs.</v>
      </c>
      <c r="I247" s="26">
        <v>3476</v>
      </c>
      <c r="J247" s="27">
        <f t="shared" si="15"/>
        <v>3476</v>
      </c>
    </row>
    <row r="248" spans="1:10" x14ac:dyDescent="0.3">
      <c r="A248" s="23" t="str">
        <f t="shared" si="12"/>
        <v>01-05-2026</v>
      </c>
      <c r="B248" s="24" t="s">
        <v>36</v>
      </c>
      <c r="C248" s="4">
        <v>8909113033191</v>
      </c>
      <c r="D248" s="24">
        <v>34</v>
      </c>
      <c r="E248" s="24" t="s">
        <v>230</v>
      </c>
      <c r="F248" s="25" t="str">
        <f t="shared" si="13"/>
        <v>FLYING MACHINE</v>
      </c>
      <c r="G248" s="24">
        <v>1</v>
      </c>
      <c r="H248" s="25" t="str">
        <f t="shared" si="14"/>
        <v>Pcs.</v>
      </c>
      <c r="I248" s="26">
        <v>3476</v>
      </c>
      <c r="J248" s="27">
        <f t="shared" si="15"/>
        <v>3476</v>
      </c>
    </row>
    <row r="249" spans="1:10" x14ac:dyDescent="0.3">
      <c r="A249" s="23" t="str">
        <f t="shared" si="12"/>
        <v>01-05-2026</v>
      </c>
      <c r="B249" s="24" t="s">
        <v>36</v>
      </c>
      <c r="C249" s="4">
        <v>8909113033207</v>
      </c>
      <c r="D249" s="24">
        <v>36</v>
      </c>
      <c r="E249" s="24" t="s">
        <v>230</v>
      </c>
      <c r="F249" s="25" t="str">
        <f t="shared" si="13"/>
        <v>FLYING MACHINE</v>
      </c>
      <c r="G249" s="24">
        <v>1</v>
      </c>
      <c r="H249" s="25" t="str">
        <f t="shared" si="14"/>
        <v>Pcs.</v>
      </c>
      <c r="I249" s="26">
        <v>3476</v>
      </c>
      <c r="J249" s="27">
        <f t="shared" si="15"/>
        <v>3476</v>
      </c>
    </row>
    <row r="250" spans="1:10" x14ac:dyDescent="0.3">
      <c r="A250" s="23" t="str">
        <f t="shared" si="12"/>
        <v>01-05-2026</v>
      </c>
      <c r="B250" s="24" t="s">
        <v>36</v>
      </c>
      <c r="C250" s="4">
        <v>8909113033290</v>
      </c>
      <c r="D250" s="24">
        <v>28</v>
      </c>
      <c r="E250" s="24" t="s">
        <v>231</v>
      </c>
      <c r="F250" s="25" t="str">
        <f t="shared" si="13"/>
        <v>FLYING MACHINE</v>
      </c>
      <c r="G250" s="24">
        <v>1</v>
      </c>
      <c r="H250" s="25" t="str">
        <f t="shared" si="14"/>
        <v>Pcs.</v>
      </c>
      <c r="I250" s="26">
        <v>3686</v>
      </c>
      <c r="J250" s="27">
        <f t="shared" si="15"/>
        <v>3686</v>
      </c>
    </row>
    <row r="251" spans="1:10" x14ac:dyDescent="0.3">
      <c r="A251" s="23" t="str">
        <f t="shared" si="12"/>
        <v>01-05-2026</v>
      </c>
      <c r="B251" s="24" t="s">
        <v>36</v>
      </c>
      <c r="C251" s="4">
        <v>8909113033313</v>
      </c>
      <c r="D251" s="24">
        <v>32</v>
      </c>
      <c r="E251" s="24" t="s">
        <v>231</v>
      </c>
      <c r="F251" s="25" t="str">
        <f t="shared" si="13"/>
        <v>FLYING MACHINE</v>
      </c>
      <c r="G251" s="24">
        <v>1</v>
      </c>
      <c r="H251" s="25" t="str">
        <f t="shared" si="14"/>
        <v>Pcs.</v>
      </c>
      <c r="I251" s="26">
        <v>3686</v>
      </c>
      <c r="J251" s="27">
        <f t="shared" si="15"/>
        <v>3686</v>
      </c>
    </row>
    <row r="252" spans="1:10" x14ac:dyDescent="0.3">
      <c r="A252" s="23" t="str">
        <f t="shared" si="12"/>
        <v>01-05-2026</v>
      </c>
      <c r="B252" s="24" t="s">
        <v>36</v>
      </c>
      <c r="C252" s="4">
        <v>8909113033320</v>
      </c>
      <c r="D252" s="24">
        <v>34</v>
      </c>
      <c r="E252" s="24" t="s">
        <v>231</v>
      </c>
      <c r="F252" s="25" t="str">
        <f t="shared" si="13"/>
        <v>FLYING MACHINE</v>
      </c>
      <c r="G252" s="24">
        <v>2</v>
      </c>
      <c r="H252" s="25" t="str">
        <f t="shared" si="14"/>
        <v>Pcs.</v>
      </c>
      <c r="I252" s="26">
        <v>3686</v>
      </c>
      <c r="J252" s="27">
        <f t="shared" si="15"/>
        <v>7372</v>
      </c>
    </row>
    <row r="253" spans="1:10" x14ac:dyDescent="0.3">
      <c r="A253" s="23" t="str">
        <f t="shared" si="12"/>
        <v>01-05-2026</v>
      </c>
      <c r="B253" s="24" t="s">
        <v>36</v>
      </c>
      <c r="C253" s="4">
        <v>8909113035904</v>
      </c>
      <c r="D253" s="24">
        <v>36</v>
      </c>
      <c r="E253" s="24" t="s">
        <v>232</v>
      </c>
      <c r="F253" s="25" t="str">
        <f t="shared" si="13"/>
        <v>FLYING MACHINE</v>
      </c>
      <c r="G253" s="24">
        <v>1</v>
      </c>
      <c r="H253" s="25" t="str">
        <f t="shared" si="14"/>
        <v>Pcs.</v>
      </c>
      <c r="I253" s="26">
        <v>3160</v>
      </c>
      <c r="J253" s="27">
        <f t="shared" si="15"/>
        <v>3160</v>
      </c>
    </row>
    <row r="254" spans="1:10" x14ac:dyDescent="0.3">
      <c r="A254" s="23" t="str">
        <f t="shared" si="12"/>
        <v>01-05-2026</v>
      </c>
      <c r="B254" s="24" t="s">
        <v>36</v>
      </c>
      <c r="C254" s="4">
        <v>8909113035911</v>
      </c>
      <c r="D254" s="24">
        <v>30</v>
      </c>
      <c r="E254" s="24" t="s">
        <v>232</v>
      </c>
      <c r="F254" s="25" t="str">
        <f t="shared" si="13"/>
        <v>FLYING MACHINE</v>
      </c>
      <c r="G254" s="24">
        <v>1</v>
      </c>
      <c r="H254" s="25" t="str">
        <f t="shared" si="14"/>
        <v>Pcs.</v>
      </c>
      <c r="I254" s="26">
        <v>3160</v>
      </c>
      <c r="J254" s="27">
        <f t="shared" si="15"/>
        <v>3160</v>
      </c>
    </row>
    <row r="255" spans="1:10" x14ac:dyDescent="0.3">
      <c r="A255" s="23" t="str">
        <f t="shared" si="12"/>
        <v>01-05-2026</v>
      </c>
      <c r="B255" s="24" t="s">
        <v>36</v>
      </c>
      <c r="C255" s="4">
        <v>8909113035928</v>
      </c>
      <c r="D255" s="24">
        <v>32</v>
      </c>
      <c r="E255" s="24" t="s">
        <v>232</v>
      </c>
      <c r="F255" s="25" t="str">
        <f t="shared" si="13"/>
        <v>FLYING MACHINE</v>
      </c>
      <c r="G255" s="24">
        <v>1</v>
      </c>
      <c r="H255" s="25" t="str">
        <f t="shared" si="14"/>
        <v>Pcs.</v>
      </c>
      <c r="I255" s="26">
        <v>3160</v>
      </c>
      <c r="J255" s="27">
        <f t="shared" si="15"/>
        <v>3160</v>
      </c>
    </row>
    <row r="256" spans="1:10" x14ac:dyDescent="0.3">
      <c r="A256" s="23" t="str">
        <f t="shared" si="12"/>
        <v>01-05-2026</v>
      </c>
      <c r="B256" s="24" t="s">
        <v>36</v>
      </c>
      <c r="C256" s="4">
        <v>8909113036055</v>
      </c>
      <c r="D256" s="24">
        <v>32</v>
      </c>
      <c r="E256" s="24" t="s">
        <v>73</v>
      </c>
      <c r="F256" s="25" t="str">
        <f t="shared" si="13"/>
        <v>FLYING MACHINE</v>
      </c>
      <c r="G256" s="24">
        <v>2</v>
      </c>
      <c r="H256" s="25" t="str">
        <f t="shared" si="14"/>
        <v>Pcs.</v>
      </c>
      <c r="I256" s="26">
        <v>3160</v>
      </c>
      <c r="J256" s="27">
        <f t="shared" si="15"/>
        <v>6320</v>
      </c>
    </row>
    <row r="257" spans="1:10" x14ac:dyDescent="0.3">
      <c r="A257" s="23" t="str">
        <f t="shared" si="12"/>
        <v>01-05-2026</v>
      </c>
      <c r="B257" s="24" t="s">
        <v>36</v>
      </c>
      <c r="C257" s="4">
        <v>8909285604823</v>
      </c>
      <c r="D257" s="24">
        <v>28</v>
      </c>
      <c r="E257" s="24" t="s">
        <v>233</v>
      </c>
      <c r="F257" s="25" t="str">
        <f t="shared" si="13"/>
        <v>FLYING MACHINE</v>
      </c>
      <c r="G257" s="24">
        <v>1</v>
      </c>
      <c r="H257" s="25" t="str">
        <f t="shared" si="14"/>
        <v>Pcs.</v>
      </c>
      <c r="I257" s="26">
        <v>3160</v>
      </c>
      <c r="J257" s="27">
        <f t="shared" si="15"/>
        <v>3160</v>
      </c>
    </row>
    <row r="258" spans="1:10" x14ac:dyDescent="0.3">
      <c r="A258" s="23" t="str">
        <f t="shared" si="12"/>
        <v>01-05-2026</v>
      </c>
      <c r="B258" s="24" t="s">
        <v>36</v>
      </c>
      <c r="C258" s="4">
        <v>8909285604830</v>
      </c>
      <c r="D258" s="24">
        <v>30</v>
      </c>
      <c r="E258" s="24" t="s">
        <v>233</v>
      </c>
      <c r="F258" s="25" t="str">
        <f t="shared" si="13"/>
        <v>FLYING MACHINE</v>
      </c>
      <c r="G258" s="24">
        <v>2</v>
      </c>
      <c r="H258" s="25" t="str">
        <f t="shared" si="14"/>
        <v>Pcs.</v>
      </c>
      <c r="I258" s="26">
        <v>3160</v>
      </c>
      <c r="J258" s="27">
        <f t="shared" si="15"/>
        <v>6320</v>
      </c>
    </row>
    <row r="259" spans="1:10" x14ac:dyDescent="0.3">
      <c r="A259" s="23" t="str">
        <f t="shared" si="12"/>
        <v>01-05-2026</v>
      </c>
      <c r="B259" s="24" t="s">
        <v>36</v>
      </c>
      <c r="C259" s="4">
        <v>8909285604847</v>
      </c>
      <c r="D259" s="24">
        <v>32</v>
      </c>
      <c r="E259" s="24" t="s">
        <v>233</v>
      </c>
      <c r="F259" s="25" t="str">
        <f t="shared" si="13"/>
        <v>FLYING MACHINE</v>
      </c>
      <c r="G259" s="24">
        <v>4</v>
      </c>
      <c r="H259" s="25" t="str">
        <f t="shared" si="14"/>
        <v>Pcs.</v>
      </c>
      <c r="I259" s="26">
        <v>3160</v>
      </c>
      <c r="J259" s="27">
        <f t="shared" si="15"/>
        <v>12640</v>
      </c>
    </row>
    <row r="260" spans="1:10" x14ac:dyDescent="0.3">
      <c r="A260" s="23" t="str">
        <f t="shared" si="12"/>
        <v>01-05-2026</v>
      </c>
      <c r="B260" s="24" t="s">
        <v>36</v>
      </c>
      <c r="C260" s="4">
        <v>8909285604854</v>
      </c>
      <c r="D260" s="24">
        <v>34</v>
      </c>
      <c r="E260" s="24" t="s">
        <v>233</v>
      </c>
      <c r="F260" s="25" t="str">
        <f t="shared" si="13"/>
        <v>FLYING MACHINE</v>
      </c>
      <c r="G260" s="24">
        <v>4</v>
      </c>
      <c r="H260" s="25" t="str">
        <f t="shared" si="14"/>
        <v>Pcs.</v>
      </c>
      <c r="I260" s="26">
        <v>3160</v>
      </c>
      <c r="J260" s="27">
        <f t="shared" si="15"/>
        <v>12640</v>
      </c>
    </row>
    <row r="261" spans="1:10" x14ac:dyDescent="0.3">
      <c r="A261" s="23" t="str">
        <f t="shared" ref="A261:A324" si="16">IF(C261&gt;0,RIGHT($D$3,10)," ")</f>
        <v>01-05-2026</v>
      </c>
      <c r="B261" s="24" t="s">
        <v>36</v>
      </c>
      <c r="C261" s="4">
        <v>8909285604861</v>
      </c>
      <c r="D261" s="24">
        <v>36</v>
      </c>
      <c r="E261" s="24" t="s">
        <v>233</v>
      </c>
      <c r="F261" s="25" t="str">
        <f t="shared" ref="F261:F324" si="17">IF(C261&gt;0,$C$3," ")</f>
        <v>FLYING MACHINE</v>
      </c>
      <c r="G261" s="24">
        <v>2</v>
      </c>
      <c r="H261" s="25" t="str">
        <f t="shared" ref="H261:H324" si="18">IF(G261&gt;0,"Pcs."," ")</f>
        <v>Pcs.</v>
      </c>
      <c r="I261" s="26">
        <v>3160</v>
      </c>
      <c r="J261" s="27">
        <f t="shared" ref="J261:J324" si="19">IF(I261*G261=0," ",I261*G261)</f>
        <v>6320</v>
      </c>
    </row>
    <row r="262" spans="1:10" x14ac:dyDescent="0.3">
      <c r="A262" s="23" t="str">
        <f t="shared" si="16"/>
        <v>01-05-2026</v>
      </c>
      <c r="B262" s="24" t="s">
        <v>36</v>
      </c>
      <c r="C262" s="4">
        <v>8909285605691</v>
      </c>
      <c r="D262" s="24">
        <v>30</v>
      </c>
      <c r="E262" s="24" t="s">
        <v>234</v>
      </c>
      <c r="F262" s="25" t="str">
        <f t="shared" si="17"/>
        <v>FLYING MACHINE</v>
      </c>
      <c r="G262" s="24">
        <v>1</v>
      </c>
      <c r="H262" s="25" t="str">
        <f t="shared" si="18"/>
        <v>Pcs.</v>
      </c>
      <c r="I262" s="26">
        <v>2155</v>
      </c>
      <c r="J262" s="27">
        <f t="shared" si="19"/>
        <v>2155</v>
      </c>
    </row>
    <row r="263" spans="1:10" x14ac:dyDescent="0.3">
      <c r="A263" s="23" t="str">
        <f t="shared" si="16"/>
        <v>01-05-2026</v>
      </c>
      <c r="B263" s="24" t="s">
        <v>36</v>
      </c>
      <c r="C263" s="4">
        <v>8909285605707</v>
      </c>
      <c r="D263" s="24">
        <v>32</v>
      </c>
      <c r="E263" s="24" t="s">
        <v>234</v>
      </c>
      <c r="F263" s="25" t="str">
        <f t="shared" si="17"/>
        <v>FLYING MACHINE</v>
      </c>
      <c r="G263" s="24">
        <v>3</v>
      </c>
      <c r="H263" s="25" t="str">
        <f t="shared" si="18"/>
        <v>Pcs.</v>
      </c>
      <c r="I263" s="26">
        <v>2155</v>
      </c>
      <c r="J263" s="27">
        <f t="shared" si="19"/>
        <v>6465</v>
      </c>
    </row>
    <row r="264" spans="1:10" x14ac:dyDescent="0.3">
      <c r="A264" s="23" t="str">
        <f t="shared" si="16"/>
        <v>01-05-2026</v>
      </c>
      <c r="B264" s="24" t="s">
        <v>36</v>
      </c>
      <c r="C264" s="4">
        <v>8909285605721</v>
      </c>
      <c r="D264" s="24">
        <v>36</v>
      </c>
      <c r="E264" s="24" t="s">
        <v>234</v>
      </c>
      <c r="F264" s="25" t="str">
        <f t="shared" si="17"/>
        <v>FLYING MACHINE</v>
      </c>
      <c r="G264" s="24">
        <v>2</v>
      </c>
      <c r="H264" s="25" t="str">
        <f t="shared" si="18"/>
        <v>Pcs.</v>
      </c>
      <c r="I264" s="26">
        <v>2155</v>
      </c>
      <c r="J264" s="27">
        <f t="shared" si="19"/>
        <v>4310</v>
      </c>
    </row>
    <row r="265" spans="1:10" x14ac:dyDescent="0.3">
      <c r="A265" s="23" t="str">
        <f t="shared" si="16"/>
        <v>01-05-2026</v>
      </c>
      <c r="B265" s="24" t="s">
        <v>36</v>
      </c>
      <c r="C265" s="4">
        <v>8909285605936</v>
      </c>
      <c r="D265" s="24">
        <v>30</v>
      </c>
      <c r="E265" s="24" t="s">
        <v>58</v>
      </c>
      <c r="F265" s="25" t="str">
        <f t="shared" si="17"/>
        <v>FLYING MACHINE</v>
      </c>
      <c r="G265" s="24">
        <v>2</v>
      </c>
      <c r="H265" s="25" t="str">
        <f t="shared" si="18"/>
        <v>Pcs.</v>
      </c>
      <c r="I265" s="26">
        <v>3686</v>
      </c>
      <c r="J265" s="27">
        <f t="shared" si="19"/>
        <v>7372</v>
      </c>
    </row>
    <row r="266" spans="1:10" x14ac:dyDescent="0.3">
      <c r="A266" s="23" t="str">
        <f t="shared" si="16"/>
        <v>01-05-2026</v>
      </c>
      <c r="B266" s="24" t="s">
        <v>36</v>
      </c>
      <c r="C266" s="4">
        <v>8909285605943</v>
      </c>
      <c r="D266" s="24">
        <v>32</v>
      </c>
      <c r="E266" s="24" t="s">
        <v>58</v>
      </c>
      <c r="F266" s="25" t="str">
        <f t="shared" si="17"/>
        <v>FLYING MACHINE</v>
      </c>
      <c r="G266" s="24">
        <v>3</v>
      </c>
      <c r="H266" s="25" t="str">
        <f t="shared" si="18"/>
        <v>Pcs.</v>
      </c>
      <c r="I266" s="26">
        <v>3686</v>
      </c>
      <c r="J266" s="27">
        <f t="shared" si="19"/>
        <v>11058</v>
      </c>
    </row>
    <row r="267" spans="1:10" x14ac:dyDescent="0.3">
      <c r="A267" s="23" t="str">
        <f t="shared" si="16"/>
        <v>01-05-2026</v>
      </c>
      <c r="B267" s="24" t="s">
        <v>36</v>
      </c>
      <c r="C267" s="4">
        <v>8909285605950</v>
      </c>
      <c r="D267" s="24">
        <v>34</v>
      </c>
      <c r="E267" s="24" t="s">
        <v>58</v>
      </c>
      <c r="F267" s="25" t="str">
        <f t="shared" si="17"/>
        <v>FLYING MACHINE</v>
      </c>
      <c r="G267" s="24">
        <v>3</v>
      </c>
      <c r="H267" s="25" t="str">
        <f t="shared" si="18"/>
        <v>Pcs.</v>
      </c>
      <c r="I267" s="26">
        <v>3686</v>
      </c>
      <c r="J267" s="27">
        <f t="shared" si="19"/>
        <v>11058</v>
      </c>
    </row>
    <row r="268" spans="1:10" x14ac:dyDescent="0.3">
      <c r="A268" s="23" t="str">
        <f t="shared" si="16"/>
        <v>01-05-2026</v>
      </c>
      <c r="B268" s="24" t="s">
        <v>36</v>
      </c>
      <c r="C268" s="4">
        <v>8909285605967</v>
      </c>
      <c r="D268" s="24">
        <v>36</v>
      </c>
      <c r="E268" s="24" t="s">
        <v>58</v>
      </c>
      <c r="F268" s="25" t="str">
        <f t="shared" si="17"/>
        <v>FLYING MACHINE</v>
      </c>
      <c r="G268" s="24">
        <v>2</v>
      </c>
      <c r="H268" s="25" t="str">
        <f t="shared" si="18"/>
        <v>Pcs.</v>
      </c>
      <c r="I268" s="26">
        <v>3686</v>
      </c>
      <c r="J268" s="27">
        <f t="shared" si="19"/>
        <v>7372</v>
      </c>
    </row>
    <row r="269" spans="1:10" x14ac:dyDescent="0.3">
      <c r="A269" s="23" t="str">
        <f t="shared" si="16"/>
        <v>01-05-2026</v>
      </c>
      <c r="B269" s="24" t="s">
        <v>36</v>
      </c>
      <c r="C269" s="4">
        <v>8909285606056</v>
      </c>
      <c r="D269" s="24">
        <v>30</v>
      </c>
      <c r="E269" s="24" t="s">
        <v>235</v>
      </c>
      <c r="F269" s="25" t="str">
        <f t="shared" si="17"/>
        <v>FLYING MACHINE</v>
      </c>
      <c r="G269" s="24">
        <v>2</v>
      </c>
      <c r="H269" s="25" t="str">
        <f t="shared" si="18"/>
        <v>Pcs.</v>
      </c>
      <c r="I269" s="26">
        <v>3476</v>
      </c>
      <c r="J269" s="27">
        <f t="shared" si="19"/>
        <v>6952</v>
      </c>
    </row>
    <row r="270" spans="1:10" x14ac:dyDescent="0.3">
      <c r="A270" s="23" t="str">
        <f t="shared" si="16"/>
        <v>01-05-2026</v>
      </c>
      <c r="B270" s="24" t="s">
        <v>36</v>
      </c>
      <c r="C270" s="4">
        <v>8909285606063</v>
      </c>
      <c r="D270" s="24">
        <v>32</v>
      </c>
      <c r="E270" s="24" t="s">
        <v>235</v>
      </c>
      <c r="F270" s="25" t="str">
        <f t="shared" si="17"/>
        <v>FLYING MACHINE</v>
      </c>
      <c r="G270" s="24">
        <v>3</v>
      </c>
      <c r="H270" s="25" t="str">
        <f t="shared" si="18"/>
        <v>Pcs.</v>
      </c>
      <c r="I270" s="26">
        <v>3476</v>
      </c>
      <c r="J270" s="27">
        <f t="shared" si="19"/>
        <v>10428</v>
      </c>
    </row>
    <row r="271" spans="1:10" x14ac:dyDescent="0.3">
      <c r="A271" s="23" t="str">
        <f t="shared" si="16"/>
        <v>01-05-2026</v>
      </c>
      <c r="B271" s="24" t="s">
        <v>36</v>
      </c>
      <c r="C271" s="4">
        <v>8909285606070</v>
      </c>
      <c r="D271" s="24">
        <v>34</v>
      </c>
      <c r="E271" s="24" t="s">
        <v>235</v>
      </c>
      <c r="F271" s="25" t="str">
        <f t="shared" si="17"/>
        <v>FLYING MACHINE</v>
      </c>
      <c r="G271" s="24">
        <v>3</v>
      </c>
      <c r="H271" s="25" t="str">
        <f t="shared" si="18"/>
        <v>Pcs.</v>
      </c>
      <c r="I271" s="26">
        <v>3476</v>
      </c>
      <c r="J271" s="27">
        <f t="shared" si="19"/>
        <v>10428</v>
      </c>
    </row>
    <row r="272" spans="1:10" x14ac:dyDescent="0.3">
      <c r="A272" s="23" t="str">
        <f t="shared" si="16"/>
        <v>01-05-2026</v>
      </c>
      <c r="B272" s="24" t="s">
        <v>36</v>
      </c>
      <c r="C272" s="4">
        <v>8909285606087</v>
      </c>
      <c r="D272" s="24">
        <v>36</v>
      </c>
      <c r="E272" s="24" t="s">
        <v>235</v>
      </c>
      <c r="F272" s="25" t="str">
        <f t="shared" si="17"/>
        <v>FLYING MACHINE</v>
      </c>
      <c r="G272" s="24">
        <v>2</v>
      </c>
      <c r="H272" s="25" t="str">
        <f t="shared" si="18"/>
        <v>Pcs.</v>
      </c>
      <c r="I272" s="26">
        <v>3476</v>
      </c>
      <c r="J272" s="27">
        <f t="shared" si="19"/>
        <v>6952</v>
      </c>
    </row>
    <row r="273" spans="1:10" x14ac:dyDescent="0.3">
      <c r="A273" s="23" t="str">
        <f t="shared" si="16"/>
        <v>01-05-2026</v>
      </c>
      <c r="B273" s="24" t="s">
        <v>36</v>
      </c>
      <c r="C273" s="4">
        <v>8909285606766</v>
      </c>
      <c r="D273" s="24">
        <v>28</v>
      </c>
      <c r="E273" s="24" t="s">
        <v>56</v>
      </c>
      <c r="F273" s="25" t="str">
        <f t="shared" si="17"/>
        <v>FLYING MACHINE</v>
      </c>
      <c r="G273" s="24">
        <v>1</v>
      </c>
      <c r="H273" s="25" t="str">
        <f t="shared" si="18"/>
        <v>Pcs.</v>
      </c>
      <c r="I273" s="26">
        <v>3476</v>
      </c>
      <c r="J273" s="27">
        <f t="shared" si="19"/>
        <v>3476</v>
      </c>
    </row>
    <row r="274" spans="1:10" x14ac:dyDescent="0.3">
      <c r="A274" s="23" t="str">
        <f t="shared" si="16"/>
        <v>01-05-2026</v>
      </c>
      <c r="B274" s="24" t="s">
        <v>36</v>
      </c>
      <c r="C274" s="4">
        <v>8909285606773</v>
      </c>
      <c r="D274" s="24">
        <v>30</v>
      </c>
      <c r="E274" s="24" t="s">
        <v>56</v>
      </c>
      <c r="F274" s="25" t="str">
        <f t="shared" si="17"/>
        <v>FLYING MACHINE</v>
      </c>
      <c r="G274" s="24">
        <v>2</v>
      </c>
      <c r="H274" s="25" t="str">
        <f t="shared" si="18"/>
        <v>Pcs.</v>
      </c>
      <c r="I274" s="26">
        <v>3476</v>
      </c>
      <c r="J274" s="27">
        <f t="shared" si="19"/>
        <v>6952</v>
      </c>
    </row>
    <row r="275" spans="1:10" x14ac:dyDescent="0.3">
      <c r="A275" s="23" t="str">
        <f t="shared" si="16"/>
        <v>01-05-2026</v>
      </c>
      <c r="B275" s="24" t="s">
        <v>36</v>
      </c>
      <c r="C275" s="4">
        <v>8909285606780</v>
      </c>
      <c r="D275" s="24">
        <v>32</v>
      </c>
      <c r="E275" s="24" t="s">
        <v>56</v>
      </c>
      <c r="F275" s="25" t="str">
        <f t="shared" si="17"/>
        <v>FLYING MACHINE</v>
      </c>
      <c r="G275" s="24">
        <v>4</v>
      </c>
      <c r="H275" s="25" t="str">
        <f t="shared" si="18"/>
        <v>Pcs.</v>
      </c>
      <c r="I275" s="26">
        <v>3476</v>
      </c>
      <c r="J275" s="27">
        <f t="shared" si="19"/>
        <v>13904</v>
      </c>
    </row>
    <row r="276" spans="1:10" x14ac:dyDescent="0.3">
      <c r="A276" s="23" t="str">
        <f t="shared" si="16"/>
        <v>01-05-2026</v>
      </c>
      <c r="B276" s="24" t="s">
        <v>36</v>
      </c>
      <c r="C276" s="4">
        <v>8909285606797</v>
      </c>
      <c r="D276" s="24">
        <v>34</v>
      </c>
      <c r="E276" s="24" t="s">
        <v>56</v>
      </c>
      <c r="F276" s="25" t="str">
        <f t="shared" si="17"/>
        <v>FLYING MACHINE</v>
      </c>
      <c r="G276" s="24">
        <v>2</v>
      </c>
      <c r="H276" s="25" t="str">
        <f t="shared" si="18"/>
        <v>Pcs.</v>
      </c>
      <c r="I276" s="26">
        <v>3476</v>
      </c>
      <c r="J276" s="27">
        <f t="shared" si="19"/>
        <v>6952</v>
      </c>
    </row>
    <row r="277" spans="1:10" x14ac:dyDescent="0.3">
      <c r="A277" s="23" t="str">
        <f t="shared" si="16"/>
        <v>01-05-2026</v>
      </c>
      <c r="B277" s="24" t="s">
        <v>36</v>
      </c>
      <c r="C277" s="4">
        <v>8909285606803</v>
      </c>
      <c r="D277" s="24">
        <v>36</v>
      </c>
      <c r="E277" s="24" t="s">
        <v>56</v>
      </c>
      <c r="F277" s="25" t="str">
        <f t="shared" si="17"/>
        <v>FLYING MACHINE</v>
      </c>
      <c r="G277" s="24">
        <v>1</v>
      </c>
      <c r="H277" s="25" t="str">
        <f t="shared" si="18"/>
        <v>Pcs.</v>
      </c>
      <c r="I277" s="26">
        <v>3476</v>
      </c>
      <c r="J277" s="27">
        <f t="shared" si="19"/>
        <v>3476</v>
      </c>
    </row>
    <row r="278" spans="1:10" x14ac:dyDescent="0.3">
      <c r="A278" s="23" t="str">
        <f t="shared" si="16"/>
        <v>01-05-2026</v>
      </c>
      <c r="B278" s="24" t="s">
        <v>36</v>
      </c>
      <c r="C278" s="4">
        <v>8909285608692</v>
      </c>
      <c r="D278" s="24">
        <v>30</v>
      </c>
      <c r="E278" s="24" t="s">
        <v>236</v>
      </c>
      <c r="F278" s="25" t="str">
        <f t="shared" si="17"/>
        <v>FLYING MACHINE</v>
      </c>
      <c r="G278" s="24">
        <v>1</v>
      </c>
      <c r="H278" s="25" t="str">
        <f t="shared" si="18"/>
        <v>Pcs.</v>
      </c>
      <c r="I278" s="26">
        <v>3686</v>
      </c>
      <c r="J278" s="27">
        <f t="shared" si="19"/>
        <v>3686</v>
      </c>
    </row>
    <row r="279" spans="1:10" x14ac:dyDescent="0.3">
      <c r="A279" s="23" t="str">
        <f t="shared" si="16"/>
        <v>01-05-2026</v>
      </c>
      <c r="B279" s="24" t="s">
        <v>36</v>
      </c>
      <c r="C279" s="4">
        <v>8909285608708</v>
      </c>
      <c r="D279" s="24">
        <v>32</v>
      </c>
      <c r="E279" s="24" t="s">
        <v>236</v>
      </c>
      <c r="F279" s="25" t="str">
        <f t="shared" si="17"/>
        <v>FLYING MACHINE</v>
      </c>
      <c r="G279" s="24">
        <v>4</v>
      </c>
      <c r="H279" s="25" t="str">
        <f t="shared" si="18"/>
        <v>Pcs.</v>
      </c>
      <c r="I279" s="26">
        <v>3686</v>
      </c>
      <c r="J279" s="27">
        <f t="shared" si="19"/>
        <v>14744</v>
      </c>
    </row>
    <row r="280" spans="1:10" x14ac:dyDescent="0.3">
      <c r="A280" s="23" t="str">
        <f t="shared" si="16"/>
        <v>01-05-2026</v>
      </c>
      <c r="B280" s="24" t="s">
        <v>36</v>
      </c>
      <c r="C280" s="4">
        <v>8909285608715</v>
      </c>
      <c r="D280" s="24">
        <v>34</v>
      </c>
      <c r="E280" s="24" t="s">
        <v>236</v>
      </c>
      <c r="F280" s="25" t="str">
        <f t="shared" si="17"/>
        <v>FLYING MACHINE</v>
      </c>
      <c r="G280" s="24">
        <v>3</v>
      </c>
      <c r="H280" s="25" t="str">
        <f t="shared" si="18"/>
        <v>Pcs.</v>
      </c>
      <c r="I280" s="26">
        <v>3686</v>
      </c>
      <c r="J280" s="27">
        <f t="shared" si="19"/>
        <v>11058</v>
      </c>
    </row>
    <row r="281" spans="1:10" x14ac:dyDescent="0.3">
      <c r="A281" s="23" t="str">
        <f t="shared" si="16"/>
        <v>01-05-2026</v>
      </c>
      <c r="B281" s="24" t="s">
        <v>36</v>
      </c>
      <c r="C281" s="4">
        <v>8909285608722</v>
      </c>
      <c r="D281" s="24">
        <v>36</v>
      </c>
      <c r="E281" s="24" t="s">
        <v>236</v>
      </c>
      <c r="F281" s="25" t="str">
        <f t="shared" si="17"/>
        <v>FLYING MACHINE</v>
      </c>
      <c r="G281" s="24">
        <v>2</v>
      </c>
      <c r="H281" s="25" t="str">
        <f t="shared" si="18"/>
        <v>Pcs.</v>
      </c>
      <c r="I281" s="26">
        <v>3686</v>
      </c>
      <c r="J281" s="27">
        <f t="shared" si="19"/>
        <v>7372</v>
      </c>
    </row>
    <row r="282" spans="1:10" x14ac:dyDescent="0.3">
      <c r="A282" s="23" t="str">
        <f t="shared" si="16"/>
        <v>01-05-2026</v>
      </c>
      <c r="B282" s="24" t="s">
        <v>36</v>
      </c>
      <c r="C282" s="4">
        <v>8909285608814</v>
      </c>
      <c r="D282" s="24">
        <v>30</v>
      </c>
      <c r="E282" s="24" t="s">
        <v>237</v>
      </c>
      <c r="F282" s="25" t="str">
        <f t="shared" si="17"/>
        <v>FLYING MACHINE</v>
      </c>
      <c r="G282" s="24">
        <v>2</v>
      </c>
      <c r="H282" s="25" t="str">
        <f t="shared" si="18"/>
        <v>Pcs.</v>
      </c>
      <c r="I282" s="26">
        <v>3686</v>
      </c>
      <c r="J282" s="27">
        <f t="shared" si="19"/>
        <v>7372</v>
      </c>
    </row>
    <row r="283" spans="1:10" x14ac:dyDescent="0.3">
      <c r="A283" s="23" t="str">
        <f t="shared" si="16"/>
        <v>01-05-2026</v>
      </c>
      <c r="B283" s="24" t="s">
        <v>36</v>
      </c>
      <c r="C283" s="4">
        <v>8909285608821</v>
      </c>
      <c r="D283" s="24">
        <v>32</v>
      </c>
      <c r="E283" s="24" t="s">
        <v>237</v>
      </c>
      <c r="F283" s="25" t="str">
        <f t="shared" si="17"/>
        <v>FLYING MACHINE</v>
      </c>
      <c r="G283" s="24">
        <v>3</v>
      </c>
      <c r="H283" s="25" t="str">
        <f t="shared" si="18"/>
        <v>Pcs.</v>
      </c>
      <c r="I283" s="26">
        <v>3686</v>
      </c>
      <c r="J283" s="27">
        <f t="shared" si="19"/>
        <v>11058</v>
      </c>
    </row>
    <row r="284" spans="1:10" x14ac:dyDescent="0.3">
      <c r="A284" s="23" t="str">
        <f t="shared" si="16"/>
        <v>01-05-2026</v>
      </c>
      <c r="B284" s="24" t="s">
        <v>36</v>
      </c>
      <c r="C284" s="4">
        <v>8909285608838</v>
      </c>
      <c r="D284" s="24">
        <v>34</v>
      </c>
      <c r="E284" s="24" t="s">
        <v>237</v>
      </c>
      <c r="F284" s="25" t="str">
        <f t="shared" si="17"/>
        <v>FLYING MACHINE</v>
      </c>
      <c r="G284" s="24">
        <v>4</v>
      </c>
      <c r="H284" s="25" t="str">
        <f t="shared" si="18"/>
        <v>Pcs.</v>
      </c>
      <c r="I284" s="26">
        <v>3686</v>
      </c>
      <c r="J284" s="27">
        <f t="shared" si="19"/>
        <v>14744</v>
      </c>
    </row>
    <row r="285" spans="1:10" x14ac:dyDescent="0.3">
      <c r="A285" s="23" t="str">
        <f t="shared" si="16"/>
        <v>01-05-2026</v>
      </c>
      <c r="B285" s="24" t="s">
        <v>36</v>
      </c>
      <c r="C285" s="4">
        <v>8909285608845</v>
      </c>
      <c r="D285" s="24">
        <v>36</v>
      </c>
      <c r="E285" s="24" t="s">
        <v>237</v>
      </c>
      <c r="F285" s="25" t="str">
        <f t="shared" si="17"/>
        <v>FLYING MACHINE</v>
      </c>
      <c r="G285" s="24">
        <v>2</v>
      </c>
      <c r="H285" s="25" t="str">
        <f t="shared" si="18"/>
        <v>Pcs.</v>
      </c>
      <c r="I285" s="26">
        <v>3686</v>
      </c>
      <c r="J285" s="27">
        <f t="shared" si="19"/>
        <v>7372</v>
      </c>
    </row>
    <row r="286" spans="1:10" x14ac:dyDescent="0.3">
      <c r="A286" s="23" t="str">
        <f t="shared" si="16"/>
        <v>01-05-2026</v>
      </c>
      <c r="B286" s="24" t="s">
        <v>36</v>
      </c>
      <c r="C286" s="4">
        <v>8909285609897</v>
      </c>
      <c r="D286" s="24">
        <v>30</v>
      </c>
      <c r="E286" s="24" t="s">
        <v>238</v>
      </c>
      <c r="F286" s="25" t="str">
        <f t="shared" si="17"/>
        <v>FLYING MACHINE</v>
      </c>
      <c r="G286" s="24">
        <v>1</v>
      </c>
      <c r="H286" s="25" t="str">
        <f t="shared" si="18"/>
        <v>Pcs.</v>
      </c>
      <c r="I286" s="26">
        <v>3476</v>
      </c>
      <c r="J286" s="27">
        <f t="shared" si="19"/>
        <v>3476</v>
      </c>
    </row>
    <row r="287" spans="1:10" x14ac:dyDescent="0.3">
      <c r="A287" s="23" t="str">
        <f t="shared" si="16"/>
        <v>01-05-2026</v>
      </c>
      <c r="B287" s="24" t="s">
        <v>36</v>
      </c>
      <c r="C287" s="4">
        <v>8909285609903</v>
      </c>
      <c r="D287" s="24">
        <v>32</v>
      </c>
      <c r="E287" s="24" t="s">
        <v>238</v>
      </c>
      <c r="F287" s="25" t="str">
        <f t="shared" si="17"/>
        <v>FLYING MACHINE</v>
      </c>
      <c r="G287" s="24">
        <v>2</v>
      </c>
      <c r="H287" s="25" t="str">
        <f t="shared" si="18"/>
        <v>Pcs.</v>
      </c>
      <c r="I287" s="26">
        <v>3476</v>
      </c>
      <c r="J287" s="27">
        <f t="shared" si="19"/>
        <v>6952</v>
      </c>
    </row>
    <row r="288" spans="1:10" x14ac:dyDescent="0.3">
      <c r="A288" s="23" t="str">
        <f t="shared" si="16"/>
        <v>01-05-2026</v>
      </c>
      <c r="B288" s="24" t="s">
        <v>36</v>
      </c>
      <c r="C288" s="4">
        <v>8909285609910</v>
      </c>
      <c r="D288" s="24">
        <v>34</v>
      </c>
      <c r="E288" s="24" t="s">
        <v>238</v>
      </c>
      <c r="F288" s="25" t="str">
        <f t="shared" si="17"/>
        <v>FLYING MACHINE</v>
      </c>
      <c r="G288" s="24">
        <v>2</v>
      </c>
      <c r="H288" s="25" t="str">
        <f t="shared" si="18"/>
        <v>Pcs.</v>
      </c>
      <c r="I288" s="26">
        <v>3476</v>
      </c>
      <c r="J288" s="27">
        <f t="shared" si="19"/>
        <v>6952</v>
      </c>
    </row>
    <row r="289" spans="1:10" x14ac:dyDescent="0.3">
      <c r="A289" s="23" t="str">
        <f t="shared" si="16"/>
        <v>01-05-2026</v>
      </c>
      <c r="B289" s="24" t="s">
        <v>36</v>
      </c>
      <c r="C289" s="4">
        <v>8909285609927</v>
      </c>
      <c r="D289" s="24">
        <v>36</v>
      </c>
      <c r="E289" s="24" t="s">
        <v>238</v>
      </c>
      <c r="F289" s="25" t="str">
        <f t="shared" si="17"/>
        <v>FLYING MACHINE</v>
      </c>
      <c r="G289" s="24">
        <v>1</v>
      </c>
      <c r="H289" s="25" t="str">
        <f t="shared" si="18"/>
        <v>Pcs.</v>
      </c>
      <c r="I289" s="26">
        <v>3476</v>
      </c>
      <c r="J289" s="27">
        <f t="shared" si="19"/>
        <v>3476</v>
      </c>
    </row>
    <row r="290" spans="1:10" x14ac:dyDescent="0.3">
      <c r="A290" s="23" t="str">
        <f t="shared" si="16"/>
        <v>01-05-2026</v>
      </c>
      <c r="B290" s="24" t="s">
        <v>36</v>
      </c>
      <c r="C290" s="4">
        <v>8909285610497</v>
      </c>
      <c r="D290" s="24">
        <v>30</v>
      </c>
      <c r="E290" s="24" t="s">
        <v>239</v>
      </c>
      <c r="F290" s="25" t="str">
        <f t="shared" si="17"/>
        <v>FLYING MACHINE</v>
      </c>
      <c r="G290" s="24">
        <v>1</v>
      </c>
      <c r="H290" s="25" t="str">
        <f t="shared" si="18"/>
        <v>Pcs.</v>
      </c>
      <c r="I290" s="26">
        <v>3160</v>
      </c>
      <c r="J290" s="27">
        <f t="shared" si="19"/>
        <v>3160</v>
      </c>
    </row>
    <row r="291" spans="1:10" x14ac:dyDescent="0.3">
      <c r="A291" s="23" t="str">
        <f t="shared" si="16"/>
        <v>01-05-2026</v>
      </c>
      <c r="B291" s="24" t="s">
        <v>36</v>
      </c>
      <c r="C291" s="4">
        <v>8909285610503</v>
      </c>
      <c r="D291" s="24">
        <v>32</v>
      </c>
      <c r="E291" s="24" t="s">
        <v>239</v>
      </c>
      <c r="F291" s="25" t="str">
        <f t="shared" si="17"/>
        <v>FLYING MACHINE</v>
      </c>
      <c r="G291" s="24">
        <v>4</v>
      </c>
      <c r="H291" s="25" t="str">
        <f t="shared" si="18"/>
        <v>Pcs.</v>
      </c>
      <c r="I291" s="26">
        <v>3160</v>
      </c>
      <c r="J291" s="27">
        <f t="shared" si="19"/>
        <v>12640</v>
      </c>
    </row>
    <row r="292" spans="1:10" x14ac:dyDescent="0.3">
      <c r="A292" s="23" t="str">
        <f t="shared" si="16"/>
        <v>01-05-2026</v>
      </c>
      <c r="B292" s="24" t="s">
        <v>36</v>
      </c>
      <c r="C292" s="4">
        <v>8909285610527</v>
      </c>
      <c r="D292" s="24">
        <v>36</v>
      </c>
      <c r="E292" s="24" t="s">
        <v>239</v>
      </c>
      <c r="F292" s="25" t="str">
        <f t="shared" si="17"/>
        <v>FLYING MACHINE</v>
      </c>
      <c r="G292" s="24">
        <v>2</v>
      </c>
      <c r="H292" s="25" t="str">
        <f t="shared" si="18"/>
        <v>Pcs.</v>
      </c>
      <c r="I292" s="26">
        <v>3160</v>
      </c>
      <c r="J292" s="27">
        <f t="shared" si="19"/>
        <v>6320</v>
      </c>
    </row>
    <row r="293" spans="1:10" x14ac:dyDescent="0.3">
      <c r="A293" s="23" t="str">
        <f t="shared" si="16"/>
        <v>01-05-2026</v>
      </c>
      <c r="B293" s="24" t="s">
        <v>36</v>
      </c>
      <c r="C293" s="4">
        <v>8909285610732</v>
      </c>
      <c r="D293" s="24">
        <v>30</v>
      </c>
      <c r="E293" s="24" t="s">
        <v>49</v>
      </c>
      <c r="F293" s="25" t="str">
        <f t="shared" si="17"/>
        <v>FLYING MACHINE</v>
      </c>
      <c r="G293" s="24">
        <v>1</v>
      </c>
      <c r="H293" s="25" t="str">
        <f t="shared" si="18"/>
        <v>Pcs.</v>
      </c>
      <c r="I293" s="26">
        <v>3476</v>
      </c>
      <c r="J293" s="27">
        <f t="shared" si="19"/>
        <v>3476</v>
      </c>
    </row>
    <row r="294" spans="1:10" x14ac:dyDescent="0.3">
      <c r="A294" s="23" t="str">
        <f t="shared" si="16"/>
        <v>01-05-2026</v>
      </c>
      <c r="B294" s="24" t="s">
        <v>36</v>
      </c>
      <c r="C294" s="4">
        <v>8909285610749</v>
      </c>
      <c r="D294" s="24">
        <v>32</v>
      </c>
      <c r="E294" s="24" t="s">
        <v>49</v>
      </c>
      <c r="F294" s="25" t="str">
        <f t="shared" si="17"/>
        <v>FLYING MACHINE</v>
      </c>
      <c r="G294" s="24">
        <v>3</v>
      </c>
      <c r="H294" s="25" t="str">
        <f t="shared" si="18"/>
        <v>Pcs.</v>
      </c>
      <c r="I294" s="26">
        <v>3476</v>
      </c>
      <c r="J294" s="27">
        <f t="shared" si="19"/>
        <v>10428</v>
      </c>
    </row>
    <row r="295" spans="1:10" x14ac:dyDescent="0.3">
      <c r="A295" s="23" t="str">
        <f t="shared" si="16"/>
        <v>01-05-2026</v>
      </c>
      <c r="B295" s="24" t="s">
        <v>36</v>
      </c>
      <c r="C295" s="4">
        <v>8909285610756</v>
      </c>
      <c r="D295" s="24">
        <v>34</v>
      </c>
      <c r="E295" s="24" t="s">
        <v>49</v>
      </c>
      <c r="F295" s="25" t="str">
        <f t="shared" si="17"/>
        <v>FLYING MACHINE</v>
      </c>
      <c r="G295" s="24">
        <v>3</v>
      </c>
      <c r="H295" s="25" t="str">
        <f t="shared" si="18"/>
        <v>Pcs.</v>
      </c>
      <c r="I295" s="26">
        <v>3476</v>
      </c>
      <c r="J295" s="27">
        <f t="shared" si="19"/>
        <v>10428</v>
      </c>
    </row>
    <row r="296" spans="1:10" x14ac:dyDescent="0.3">
      <c r="A296" s="23" t="str">
        <f t="shared" si="16"/>
        <v>01-05-2026</v>
      </c>
      <c r="B296" s="24" t="s">
        <v>36</v>
      </c>
      <c r="C296" s="4">
        <v>8909285610763</v>
      </c>
      <c r="D296" s="24">
        <v>36</v>
      </c>
      <c r="E296" s="24" t="s">
        <v>49</v>
      </c>
      <c r="F296" s="25" t="str">
        <f t="shared" si="17"/>
        <v>FLYING MACHINE</v>
      </c>
      <c r="G296" s="24">
        <v>2</v>
      </c>
      <c r="H296" s="25" t="str">
        <f t="shared" si="18"/>
        <v>Pcs.</v>
      </c>
      <c r="I296" s="26">
        <v>3476</v>
      </c>
      <c r="J296" s="27">
        <f t="shared" si="19"/>
        <v>6952</v>
      </c>
    </row>
    <row r="297" spans="1:10" x14ac:dyDescent="0.3">
      <c r="A297" s="23" t="str">
        <f t="shared" si="16"/>
        <v>01-05-2026</v>
      </c>
      <c r="B297" s="24" t="s">
        <v>36</v>
      </c>
      <c r="C297" s="4">
        <v>8909285610862</v>
      </c>
      <c r="D297" s="24">
        <v>32</v>
      </c>
      <c r="E297" s="24" t="s">
        <v>68</v>
      </c>
      <c r="F297" s="25" t="str">
        <f t="shared" si="17"/>
        <v>FLYING MACHINE</v>
      </c>
      <c r="G297" s="24">
        <v>4</v>
      </c>
      <c r="H297" s="25" t="str">
        <f t="shared" si="18"/>
        <v>Pcs.</v>
      </c>
      <c r="I297" s="26">
        <v>3160</v>
      </c>
      <c r="J297" s="27">
        <f t="shared" si="19"/>
        <v>12640</v>
      </c>
    </row>
    <row r="298" spans="1:10" x14ac:dyDescent="0.3">
      <c r="A298" s="23" t="str">
        <f t="shared" si="16"/>
        <v>01-05-2026</v>
      </c>
      <c r="B298" s="24" t="s">
        <v>36</v>
      </c>
      <c r="C298" s="4">
        <v>8909285610879</v>
      </c>
      <c r="D298" s="24">
        <v>34</v>
      </c>
      <c r="E298" s="24" t="s">
        <v>68</v>
      </c>
      <c r="F298" s="25" t="str">
        <f t="shared" si="17"/>
        <v>FLYING MACHINE</v>
      </c>
      <c r="G298" s="24">
        <v>3</v>
      </c>
      <c r="H298" s="25" t="str">
        <f t="shared" si="18"/>
        <v>Pcs.</v>
      </c>
      <c r="I298" s="26">
        <v>3160</v>
      </c>
      <c r="J298" s="27">
        <f t="shared" si="19"/>
        <v>9480</v>
      </c>
    </row>
    <row r="299" spans="1:10" x14ac:dyDescent="0.3">
      <c r="A299" s="23" t="str">
        <f t="shared" si="16"/>
        <v>01-05-2026</v>
      </c>
      <c r="B299" s="24" t="s">
        <v>36</v>
      </c>
      <c r="C299" s="4">
        <v>8909285610886</v>
      </c>
      <c r="D299" s="24">
        <v>36</v>
      </c>
      <c r="E299" s="24" t="s">
        <v>68</v>
      </c>
      <c r="F299" s="25" t="str">
        <f t="shared" si="17"/>
        <v>FLYING MACHINE</v>
      </c>
      <c r="G299" s="24">
        <v>2</v>
      </c>
      <c r="H299" s="25" t="str">
        <f t="shared" si="18"/>
        <v>Pcs.</v>
      </c>
      <c r="I299" s="26">
        <v>3160</v>
      </c>
      <c r="J299" s="27">
        <f t="shared" si="19"/>
        <v>6320</v>
      </c>
    </row>
    <row r="300" spans="1:10" x14ac:dyDescent="0.3">
      <c r="A300" s="23" t="str">
        <f t="shared" si="16"/>
        <v>01-05-2026</v>
      </c>
      <c r="B300" s="24" t="s">
        <v>36</v>
      </c>
      <c r="C300" s="4">
        <v>8909285611579</v>
      </c>
      <c r="D300" s="24">
        <v>30</v>
      </c>
      <c r="E300" s="24" t="s">
        <v>240</v>
      </c>
      <c r="F300" s="25" t="str">
        <f t="shared" si="17"/>
        <v>FLYING MACHINE</v>
      </c>
      <c r="G300" s="24">
        <v>1</v>
      </c>
      <c r="H300" s="25" t="str">
        <f t="shared" si="18"/>
        <v>Pcs.</v>
      </c>
      <c r="I300" s="26">
        <v>3160</v>
      </c>
      <c r="J300" s="27">
        <f t="shared" si="19"/>
        <v>3160</v>
      </c>
    </row>
    <row r="301" spans="1:10" x14ac:dyDescent="0.3">
      <c r="A301" s="23" t="str">
        <f t="shared" si="16"/>
        <v>01-05-2026</v>
      </c>
      <c r="B301" s="24" t="s">
        <v>36</v>
      </c>
      <c r="C301" s="4">
        <v>8909285611586</v>
      </c>
      <c r="D301" s="24">
        <v>32</v>
      </c>
      <c r="E301" s="24" t="s">
        <v>240</v>
      </c>
      <c r="F301" s="25" t="str">
        <f t="shared" si="17"/>
        <v>FLYING MACHINE</v>
      </c>
      <c r="G301" s="24">
        <v>1</v>
      </c>
      <c r="H301" s="25" t="str">
        <f t="shared" si="18"/>
        <v>Pcs.</v>
      </c>
      <c r="I301" s="26">
        <v>3160</v>
      </c>
      <c r="J301" s="27">
        <f t="shared" si="19"/>
        <v>3160</v>
      </c>
    </row>
    <row r="302" spans="1:10" x14ac:dyDescent="0.3">
      <c r="A302" s="23" t="str">
        <f t="shared" si="16"/>
        <v>01-05-2026</v>
      </c>
      <c r="B302" s="24" t="s">
        <v>36</v>
      </c>
      <c r="C302" s="4">
        <v>8909285611593</v>
      </c>
      <c r="D302" s="24">
        <v>34</v>
      </c>
      <c r="E302" s="24" t="s">
        <v>240</v>
      </c>
      <c r="F302" s="25" t="str">
        <f t="shared" si="17"/>
        <v>FLYING MACHINE</v>
      </c>
      <c r="G302" s="24">
        <v>2</v>
      </c>
      <c r="H302" s="25" t="str">
        <f t="shared" si="18"/>
        <v>Pcs.</v>
      </c>
      <c r="I302" s="26">
        <v>3160</v>
      </c>
      <c r="J302" s="27">
        <f t="shared" si="19"/>
        <v>6320</v>
      </c>
    </row>
    <row r="303" spans="1:10" x14ac:dyDescent="0.3">
      <c r="A303" s="23" t="str">
        <f t="shared" si="16"/>
        <v>01-05-2026</v>
      </c>
      <c r="B303" s="24" t="s">
        <v>36</v>
      </c>
      <c r="C303" s="4">
        <v>8909285611609</v>
      </c>
      <c r="D303" s="24">
        <v>36</v>
      </c>
      <c r="E303" s="24" t="s">
        <v>240</v>
      </c>
      <c r="F303" s="25" t="str">
        <f t="shared" si="17"/>
        <v>FLYING MACHINE</v>
      </c>
      <c r="G303" s="24">
        <v>1</v>
      </c>
      <c r="H303" s="25" t="str">
        <f t="shared" si="18"/>
        <v>Pcs.</v>
      </c>
      <c r="I303" s="26">
        <v>3160</v>
      </c>
      <c r="J303" s="27">
        <f t="shared" si="19"/>
        <v>3160</v>
      </c>
    </row>
    <row r="304" spans="1:10" x14ac:dyDescent="0.3">
      <c r="A304" s="23" t="str">
        <f t="shared" si="16"/>
        <v>01-05-2026</v>
      </c>
      <c r="B304" s="24" t="s">
        <v>36</v>
      </c>
      <c r="C304" s="4">
        <v>8909285612415</v>
      </c>
      <c r="D304" s="24">
        <v>30</v>
      </c>
      <c r="E304" s="24" t="s">
        <v>241</v>
      </c>
      <c r="F304" s="25" t="str">
        <f t="shared" si="17"/>
        <v>FLYING MACHINE</v>
      </c>
      <c r="G304" s="24">
        <v>1</v>
      </c>
      <c r="H304" s="25" t="str">
        <f t="shared" si="18"/>
        <v>Pcs.</v>
      </c>
      <c r="I304" s="26">
        <v>3686</v>
      </c>
      <c r="J304" s="27">
        <f t="shared" si="19"/>
        <v>3686</v>
      </c>
    </row>
    <row r="305" spans="1:10" x14ac:dyDescent="0.3">
      <c r="A305" s="23" t="str">
        <f t="shared" si="16"/>
        <v>01-05-2026</v>
      </c>
      <c r="B305" s="24" t="s">
        <v>36</v>
      </c>
      <c r="C305" s="4">
        <v>8909285612422</v>
      </c>
      <c r="D305" s="24">
        <v>32</v>
      </c>
      <c r="E305" s="24" t="s">
        <v>241</v>
      </c>
      <c r="F305" s="25" t="str">
        <f t="shared" si="17"/>
        <v>FLYING MACHINE</v>
      </c>
      <c r="G305" s="24">
        <v>2</v>
      </c>
      <c r="H305" s="25" t="str">
        <f t="shared" si="18"/>
        <v>Pcs.</v>
      </c>
      <c r="I305" s="26">
        <v>3686</v>
      </c>
      <c r="J305" s="27">
        <f t="shared" si="19"/>
        <v>7372</v>
      </c>
    </row>
    <row r="306" spans="1:10" x14ac:dyDescent="0.3">
      <c r="A306" s="23" t="str">
        <f t="shared" si="16"/>
        <v>01-05-2026</v>
      </c>
      <c r="B306" s="24" t="s">
        <v>36</v>
      </c>
      <c r="C306" s="4">
        <v>8909285612439</v>
      </c>
      <c r="D306" s="24">
        <v>34</v>
      </c>
      <c r="E306" s="24" t="s">
        <v>241</v>
      </c>
      <c r="F306" s="25" t="str">
        <f t="shared" si="17"/>
        <v>FLYING MACHINE</v>
      </c>
      <c r="G306" s="24">
        <v>1</v>
      </c>
      <c r="H306" s="25" t="str">
        <f t="shared" si="18"/>
        <v>Pcs.</v>
      </c>
      <c r="I306" s="26">
        <v>3686</v>
      </c>
      <c r="J306" s="27">
        <f t="shared" si="19"/>
        <v>3686</v>
      </c>
    </row>
    <row r="307" spans="1:10" x14ac:dyDescent="0.3">
      <c r="A307" s="23" t="str">
        <f t="shared" si="16"/>
        <v>01-05-2026</v>
      </c>
      <c r="B307" s="24" t="s">
        <v>36</v>
      </c>
      <c r="C307" s="4">
        <v>8909285612446</v>
      </c>
      <c r="D307" s="24">
        <v>36</v>
      </c>
      <c r="E307" s="24" t="s">
        <v>241</v>
      </c>
      <c r="F307" s="25" t="str">
        <f t="shared" si="17"/>
        <v>FLYING MACHINE</v>
      </c>
      <c r="G307" s="24">
        <v>1</v>
      </c>
      <c r="H307" s="25" t="str">
        <f t="shared" si="18"/>
        <v>Pcs.</v>
      </c>
      <c r="I307" s="26">
        <v>3686</v>
      </c>
      <c r="J307" s="27">
        <f t="shared" si="19"/>
        <v>3686</v>
      </c>
    </row>
    <row r="308" spans="1:10" x14ac:dyDescent="0.3">
      <c r="A308" s="23" t="str">
        <f t="shared" si="16"/>
        <v>01-05-2026</v>
      </c>
      <c r="B308" s="24" t="s">
        <v>36</v>
      </c>
      <c r="C308" s="4">
        <v>8909285618288</v>
      </c>
      <c r="D308" s="24">
        <v>28</v>
      </c>
      <c r="E308" s="24" t="s">
        <v>242</v>
      </c>
      <c r="F308" s="25" t="str">
        <f t="shared" si="17"/>
        <v>FLYING MACHINE</v>
      </c>
      <c r="G308" s="24">
        <v>1</v>
      </c>
      <c r="H308" s="25" t="str">
        <f t="shared" si="18"/>
        <v>Pcs.</v>
      </c>
      <c r="I308" s="26">
        <v>3160</v>
      </c>
      <c r="J308" s="27">
        <f t="shared" si="19"/>
        <v>3160</v>
      </c>
    </row>
    <row r="309" spans="1:10" x14ac:dyDescent="0.3">
      <c r="A309" s="23" t="str">
        <f t="shared" si="16"/>
        <v>01-05-2026</v>
      </c>
      <c r="B309" s="24" t="s">
        <v>36</v>
      </c>
      <c r="C309" s="4">
        <v>8909285618295</v>
      </c>
      <c r="D309" s="24">
        <v>30</v>
      </c>
      <c r="E309" s="24" t="s">
        <v>242</v>
      </c>
      <c r="F309" s="25" t="str">
        <f t="shared" si="17"/>
        <v>FLYING MACHINE</v>
      </c>
      <c r="G309" s="24">
        <v>2</v>
      </c>
      <c r="H309" s="25" t="str">
        <f t="shared" si="18"/>
        <v>Pcs.</v>
      </c>
      <c r="I309" s="26">
        <v>3160</v>
      </c>
      <c r="J309" s="27">
        <f t="shared" si="19"/>
        <v>6320</v>
      </c>
    </row>
    <row r="310" spans="1:10" x14ac:dyDescent="0.3">
      <c r="A310" s="23" t="str">
        <f t="shared" si="16"/>
        <v>01-05-2026</v>
      </c>
      <c r="B310" s="24" t="s">
        <v>36</v>
      </c>
      <c r="C310" s="4">
        <v>8909285618301</v>
      </c>
      <c r="D310" s="24">
        <v>32</v>
      </c>
      <c r="E310" s="24" t="s">
        <v>242</v>
      </c>
      <c r="F310" s="25" t="str">
        <f t="shared" si="17"/>
        <v>FLYING MACHINE</v>
      </c>
      <c r="G310" s="24">
        <v>4</v>
      </c>
      <c r="H310" s="25" t="str">
        <f t="shared" si="18"/>
        <v>Pcs.</v>
      </c>
      <c r="I310" s="26">
        <v>3160</v>
      </c>
      <c r="J310" s="27">
        <f t="shared" si="19"/>
        <v>12640</v>
      </c>
    </row>
    <row r="311" spans="1:10" x14ac:dyDescent="0.3">
      <c r="A311" s="23" t="str">
        <f t="shared" si="16"/>
        <v>01-05-2026</v>
      </c>
      <c r="B311" s="24" t="s">
        <v>36</v>
      </c>
      <c r="C311" s="4">
        <v>8909285618318</v>
      </c>
      <c r="D311" s="24">
        <v>34</v>
      </c>
      <c r="E311" s="24" t="s">
        <v>242</v>
      </c>
      <c r="F311" s="25" t="str">
        <f t="shared" si="17"/>
        <v>FLYING MACHINE</v>
      </c>
      <c r="G311" s="24">
        <v>3</v>
      </c>
      <c r="H311" s="25" t="str">
        <f t="shared" si="18"/>
        <v>Pcs.</v>
      </c>
      <c r="I311" s="26">
        <v>3160</v>
      </c>
      <c r="J311" s="27">
        <f t="shared" si="19"/>
        <v>9480</v>
      </c>
    </row>
    <row r="312" spans="1:10" x14ac:dyDescent="0.3">
      <c r="A312" s="23" t="str">
        <f t="shared" si="16"/>
        <v>01-05-2026</v>
      </c>
      <c r="B312" s="24" t="s">
        <v>36</v>
      </c>
      <c r="C312" s="4">
        <v>8909285618325</v>
      </c>
      <c r="D312" s="24">
        <v>36</v>
      </c>
      <c r="E312" s="24" t="s">
        <v>242</v>
      </c>
      <c r="F312" s="25" t="str">
        <f t="shared" si="17"/>
        <v>FLYING MACHINE</v>
      </c>
      <c r="G312" s="24">
        <v>2</v>
      </c>
      <c r="H312" s="25" t="str">
        <f t="shared" si="18"/>
        <v>Pcs.</v>
      </c>
      <c r="I312" s="26">
        <v>3160</v>
      </c>
      <c r="J312" s="27">
        <f t="shared" si="19"/>
        <v>6320</v>
      </c>
    </row>
    <row r="313" spans="1:10" x14ac:dyDescent="0.3">
      <c r="A313" s="23" t="str">
        <f t="shared" si="16"/>
        <v>01-05-2026</v>
      </c>
      <c r="B313" s="24" t="s">
        <v>36</v>
      </c>
      <c r="C313" s="4">
        <v>8909285618417</v>
      </c>
      <c r="D313" s="24">
        <v>30</v>
      </c>
      <c r="E313" s="24" t="s">
        <v>53</v>
      </c>
      <c r="F313" s="25" t="str">
        <f t="shared" si="17"/>
        <v>FLYING MACHINE</v>
      </c>
      <c r="G313" s="24">
        <v>1</v>
      </c>
      <c r="H313" s="25" t="str">
        <f t="shared" si="18"/>
        <v>Pcs.</v>
      </c>
      <c r="I313" s="26">
        <v>3160</v>
      </c>
      <c r="J313" s="27">
        <f t="shared" si="19"/>
        <v>3160</v>
      </c>
    </row>
    <row r="314" spans="1:10" x14ac:dyDescent="0.3">
      <c r="A314" s="23" t="str">
        <f t="shared" si="16"/>
        <v>01-05-2026</v>
      </c>
      <c r="B314" s="24" t="s">
        <v>36</v>
      </c>
      <c r="C314" s="4">
        <v>8909285618424</v>
      </c>
      <c r="D314" s="24">
        <v>32</v>
      </c>
      <c r="E314" s="24" t="s">
        <v>53</v>
      </c>
      <c r="F314" s="25" t="str">
        <f t="shared" si="17"/>
        <v>FLYING MACHINE</v>
      </c>
      <c r="G314" s="24">
        <v>4</v>
      </c>
      <c r="H314" s="25" t="str">
        <f t="shared" si="18"/>
        <v>Pcs.</v>
      </c>
      <c r="I314" s="26">
        <v>3160</v>
      </c>
      <c r="J314" s="27">
        <f t="shared" si="19"/>
        <v>12640</v>
      </c>
    </row>
    <row r="315" spans="1:10" x14ac:dyDescent="0.3">
      <c r="A315" s="23" t="str">
        <f t="shared" si="16"/>
        <v>01-05-2026</v>
      </c>
      <c r="B315" s="24" t="s">
        <v>36</v>
      </c>
      <c r="C315" s="4">
        <v>8909285618431</v>
      </c>
      <c r="D315" s="24">
        <v>34</v>
      </c>
      <c r="E315" s="24" t="s">
        <v>53</v>
      </c>
      <c r="F315" s="25" t="str">
        <f t="shared" si="17"/>
        <v>FLYING MACHINE</v>
      </c>
      <c r="G315" s="24">
        <v>3</v>
      </c>
      <c r="H315" s="25" t="str">
        <f t="shared" si="18"/>
        <v>Pcs.</v>
      </c>
      <c r="I315" s="26">
        <v>3160</v>
      </c>
      <c r="J315" s="27">
        <f t="shared" si="19"/>
        <v>9480</v>
      </c>
    </row>
    <row r="316" spans="1:10" x14ac:dyDescent="0.3">
      <c r="A316" s="23" t="str">
        <f t="shared" si="16"/>
        <v>01-05-2026</v>
      </c>
      <c r="B316" s="24" t="s">
        <v>36</v>
      </c>
      <c r="C316" s="4">
        <v>8909285618448</v>
      </c>
      <c r="D316" s="24">
        <v>36</v>
      </c>
      <c r="E316" s="24" t="s">
        <v>53</v>
      </c>
      <c r="F316" s="25" t="str">
        <f t="shared" si="17"/>
        <v>FLYING MACHINE</v>
      </c>
      <c r="G316" s="24">
        <v>2</v>
      </c>
      <c r="H316" s="25" t="str">
        <f t="shared" si="18"/>
        <v>Pcs.</v>
      </c>
      <c r="I316" s="26">
        <v>3160</v>
      </c>
      <c r="J316" s="27">
        <f t="shared" si="19"/>
        <v>6320</v>
      </c>
    </row>
    <row r="317" spans="1:10" x14ac:dyDescent="0.3">
      <c r="A317" s="23" t="str">
        <f t="shared" si="16"/>
        <v>01-05-2026</v>
      </c>
      <c r="B317" s="24" t="s">
        <v>36</v>
      </c>
      <c r="C317" s="4">
        <v>8909285621059</v>
      </c>
      <c r="D317" s="24">
        <v>30</v>
      </c>
      <c r="E317" s="24" t="s">
        <v>61</v>
      </c>
      <c r="F317" s="25" t="str">
        <f t="shared" si="17"/>
        <v>FLYING MACHINE</v>
      </c>
      <c r="G317" s="24">
        <v>1</v>
      </c>
      <c r="H317" s="25" t="str">
        <f t="shared" si="18"/>
        <v>Pcs.</v>
      </c>
      <c r="I317" s="26">
        <v>3160</v>
      </c>
      <c r="J317" s="27">
        <f t="shared" si="19"/>
        <v>3160</v>
      </c>
    </row>
    <row r="318" spans="1:10" x14ac:dyDescent="0.3">
      <c r="A318" s="23" t="str">
        <f t="shared" si="16"/>
        <v>01-05-2026</v>
      </c>
      <c r="B318" s="24" t="s">
        <v>36</v>
      </c>
      <c r="C318" s="4">
        <v>8909285621073</v>
      </c>
      <c r="D318" s="24">
        <v>34</v>
      </c>
      <c r="E318" s="24" t="s">
        <v>61</v>
      </c>
      <c r="F318" s="25" t="str">
        <f t="shared" si="17"/>
        <v>FLYING MACHINE</v>
      </c>
      <c r="G318" s="24">
        <v>2</v>
      </c>
      <c r="H318" s="25" t="str">
        <f t="shared" si="18"/>
        <v>Pcs.</v>
      </c>
      <c r="I318" s="26">
        <v>3160</v>
      </c>
      <c r="J318" s="27">
        <f t="shared" si="19"/>
        <v>6320</v>
      </c>
    </row>
    <row r="319" spans="1:10" x14ac:dyDescent="0.3">
      <c r="A319" s="23" t="str">
        <f t="shared" si="16"/>
        <v>01-05-2026</v>
      </c>
      <c r="B319" s="24" t="s">
        <v>36</v>
      </c>
      <c r="C319" s="4">
        <v>8909285621080</v>
      </c>
      <c r="D319" s="24">
        <v>36</v>
      </c>
      <c r="E319" s="24" t="s">
        <v>61</v>
      </c>
      <c r="F319" s="25" t="str">
        <f t="shared" si="17"/>
        <v>FLYING MACHINE</v>
      </c>
      <c r="G319" s="24">
        <v>1</v>
      </c>
      <c r="H319" s="25" t="str">
        <f t="shared" si="18"/>
        <v>Pcs.</v>
      </c>
      <c r="I319" s="26">
        <v>3160</v>
      </c>
      <c r="J319" s="27">
        <f t="shared" si="19"/>
        <v>3160</v>
      </c>
    </row>
    <row r="320" spans="1:10" x14ac:dyDescent="0.3">
      <c r="A320" s="23" t="str">
        <f t="shared" si="16"/>
        <v>01-05-2026</v>
      </c>
      <c r="B320" s="24" t="s">
        <v>36</v>
      </c>
      <c r="C320" s="4">
        <v>8909285622735</v>
      </c>
      <c r="D320" s="24">
        <v>30</v>
      </c>
      <c r="E320" s="24" t="s">
        <v>243</v>
      </c>
      <c r="F320" s="25" t="str">
        <f t="shared" si="17"/>
        <v>FLYING MACHINE</v>
      </c>
      <c r="G320" s="24">
        <v>1</v>
      </c>
      <c r="H320" s="25" t="str">
        <f t="shared" si="18"/>
        <v>Pcs.</v>
      </c>
      <c r="I320" s="26">
        <v>2343</v>
      </c>
      <c r="J320" s="27">
        <f t="shared" si="19"/>
        <v>2343</v>
      </c>
    </row>
    <row r="321" spans="1:10" x14ac:dyDescent="0.3">
      <c r="A321" s="23" t="str">
        <f t="shared" si="16"/>
        <v>01-05-2026</v>
      </c>
      <c r="B321" s="24" t="s">
        <v>36</v>
      </c>
      <c r="C321" s="4">
        <v>8909285622742</v>
      </c>
      <c r="D321" s="24">
        <v>32</v>
      </c>
      <c r="E321" s="24" t="s">
        <v>243</v>
      </c>
      <c r="F321" s="25" t="str">
        <f t="shared" si="17"/>
        <v>FLYING MACHINE</v>
      </c>
      <c r="G321" s="24">
        <v>1</v>
      </c>
      <c r="H321" s="25" t="str">
        <f t="shared" si="18"/>
        <v>Pcs.</v>
      </c>
      <c r="I321" s="26">
        <v>2343</v>
      </c>
      <c r="J321" s="27">
        <f t="shared" si="19"/>
        <v>2343</v>
      </c>
    </row>
    <row r="322" spans="1:10" x14ac:dyDescent="0.3">
      <c r="A322" s="23" t="str">
        <f t="shared" si="16"/>
        <v>01-05-2026</v>
      </c>
      <c r="B322" s="24" t="s">
        <v>36</v>
      </c>
      <c r="C322" s="4">
        <v>8909285622759</v>
      </c>
      <c r="D322" s="24">
        <v>34</v>
      </c>
      <c r="E322" s="24" t="s">
        <v>243</v>
      </c>
      <c r="F322" s="25" t="str">
        <f t="shared" si="17"/>
        <v>FLYING MACHINE</v>
      </c>
      <c r="G322" s="24">
        <v>2</v>
      </c>
      <c r="H322" s="25" t="str">
        <f t="shared" si="18"/>
        <v>Pcs.</v>
      </c>
      <c r="I322" s="26">
        <v>2343</v>
      </c>
      <c r="J322" s="27">
        <f t="shared" si="19"/>
        <v>4686</v>
      </c>
    </row>
    <row r="323" spans="1:10" x14ac:dyDescent="0.3">
      <c r="A323" s="23" t="str">
        <f t="shared" si="16"/>
        <v>01-05-2026</v>
      </c>
      <c r="B323" s="24" t="s">
        <v>36</v>
      </c>
      <c r="C323" s="4">
        <v>8909285623459</v>
      </c>
      <c r="D323" s="24">
        <v>30</v>
      </c>
      <c r="E323" s="24" t="s">
        <v>59</v>
      </c>
      <c r="F323" s="25" t="str">
        <f t="shared" si="17"/>
        <v>FLYING MACHINE</v>
      </c>
      <c r="G323" s="24">
        <v>2</v>
      </c>
      <c r="H323" s="25" t="str">
        <f t="shared" si="18"/>
        <v>Pcs.</v>
      </c>
      <c r="I323" s="26">
        <v>2343</v>
      </c>
      <c r="J323" s="27">
        <f t="shared" si="19"/>
        <v>4686</v>
      </c>
    </row>
    <row r="324" spans="1:10" x14ac:dyDescent="0.3">
      <c r="A324" s="23" t="str">
        <f t="shared" si="16"/>
        <v>01-05-2026</v>
      </c>
      <c r="B324" s="24" t="s">
        <v>36</v>
      </c>
      <c r="C324" s="4">
        <v>8909285623466</v>
      </c>
      <c r="D324" s="24">
        <v>32</v>
      </c>
      <c r="E324" s="24" t="s">
        <v>59</v>
      </c>
      <c r="F324" s="25" t="str">
        <f t="shared" si="17"/>
        <v>FLYING MACHINE</v>
      </c>
      <c r="G324" s="24">
        <v>3</v>
      </c>
      <c r="H324" s="25" t="str">
        <f t="shared" si="18"/>
        <v>Pcs.</v>
      </c>
      <c r="I324" s="26">
        <v>2343</v>
      </c>
      <c r="J324" s="27">
        <f t="shared" si="19"/>
        <v>7029</v>
      </c>
    </row>
    <row r="325" spans="1:10" x14ac:dyDescent="0.3">
      <c r="A325" s="23" t="str">
        <f t="shared" ref="A325:A388" si="20">IF(C325&gt;0,RIGHT($D$3,10)," ")</f>
        <v>01-05-2026</v>
      </c>
      <c r="B325" s="24" t="s">
        <v>36</v>
      </c>
      <c r="C325" s="4">
        <v>8909285623473</v>
      </c>
      <c r="D325" s="24">
        <v>34</v>
      </c>
      <c r="E325" s="24" t="s">
        <v>59</v>
      </c>
      <c r="F325" s="25" t="str">
        <f t="shared" ref="F325:F388" si="21">IF(C325&gt;0,$C$3," ")</f>
        <v>FLYING MACHINE</v>
      </c>
      <c r="G325" s="24">
        <v>1</v>
      </c>
      <c r="H325" s="25" t="str">
        <f t="shared" ref="H325:H388" si="22">IF(G325&gt;0,"Pcs."," ")</f>
        <v>Pcs.</v>
      </c>
      <c r="I325" s="26">
        <v>2343</v>
      </c>
      <c r="J325" s="27">
        <f t="shared" ref="J325:J388" si="23">IF(I325*G325=0," ",I325*G325)</f>
        <v>2343</v>
      </c>
    </row>
    <row r="326" spans="1:10" x14ac:dyDescent="0.3">
      <c r="A326" s="23" t="str">
        <f t="shared" si="20"/>
        <v>01-05-2026</v>
      </c>
      <c r="B326" s="24" t="s">
        <v>36</v>
      </c>
      <c r="C326" s="4">
        <v>8909285623480</v>
      </c>
      <c r="D326" s="24">
        <v>36</v>
      </c>
      <c r="E326" s="24" t="s">
        <v>59</v>
      </c>
      <c r="F326" s="25" t="str">
        <f t="shared" si="21"/>
        <v>FLYING MACHINE</v>
      </c>
      <c r="G326" s="24">
        <v>2</v>
      </c>
      <c r="H326" s="25" t="str">
        <f t="shared" si="22"/>
        <v>Pcs.</v>
      </c>
      <c r="I326" s="26">
        <v>2343</v>
      </c>
      <c r="J326" s="27">
        <f t="shared" si="23"/>
        <v>4686</v>
      </c>
    </row>
    <row r="327" spans="1:10" x14ac:dyDescent="0.3">
      <c r="A327" s="23" t="str">
        <f t="shared" si="20"/>
        <v>01-05-2026</v>
      </c>
      <c r="B327" s="24" t="s">
        <v>36</v>
      </c>
      <c r="C327" s="4">
        <v>8909285623572</v>
      </c>
      <c r="D327" s="24">
        <v>30</v>
      </c>
      <c r="E327" s="24" t="s">
        <v>244</v>
      </c>
      <c r="F327" s="25" t="str">
        <f t="shared" si="21"/>
        <v>FLYING MACHINE</v>
      </c>
      <c r="G327" s="24">
        <v>1</v>
      </c>
      <c r="H327" s="25" t="str">
        <f t="shared" si="22"/>
        <v>Pcs.</v>
      </c>
      <c r="I327" s="26">
        <v>2343</v>
      </c>
      <c r="J327" s="27">
        <f t="shared" si="23"/>
        <v>2343</v>
      </c>
    </row>
    <row r="328" spans="1:10" x14ac:dyDescent="0.3">
      <c r="A328" s="23" t="str">
        <f t="shared" si="20"/>
        <v>01-05-2026</v>
      </c>
      <c r="B328" s="24" t="s">
        <v>36</v>
      </c>
      <c r="C328" s="4">
        <v>8909285623589</v>
      </c>
      <c r="D328" s="24">
        <v>32</v>
      </c>
      <c r="E328" s="24" t="s">
        <v>244</v>
      </c>
      <c r="F328" s="25" t="str">
        <f t="shared" si="21"/>
        <v>FLYING MACHINE</v>
      </c>
      <c r="G328" s="24">
        <v>3</v>
      </c>
      <c r="H328" s="25" t="str">
        <f t="shared" si="22"/>
        <v>Pcs.</v>
      </c>
      <c r="I328" s="26">
        <v>2343</v>
      </c>
      <c r="J328" s="27">
        <f t="shared" si="23"/>
        <v>7029</v>
      </c>
    </row>
    <row r="329" spans="1:10" x14ac:dyDescent="0.3">
      <c r="A329" s="23" t="str">
        <f t="shared" si="20"/>
        <v>01-05-2026</v>
      </c>
      <c r="B329" s="24" t="s">
        <v>36</v>
      </c>
      <c r="C329" s="4">
        <v>8909285623596</v>
      </c>
      <c r="D329" s="24">
        <v>34</v>
      </c>
      <c r="E329" s="24" t="s">
        <v>244</v>
      </c>
      <c r="F329" s="25" t="str">
        <f t="shared" si="21"/>
        <v>FLYING MACHINE</v>
      </c>
      <c r="G329" s="24">
        <v>3</v>
      </c>
      <c r="H329" s="25" t="str">
        <f t="shared" si="22"/>
        <v>Pcs.</v>
      </c>
      <c r="I329" s="26">
        <v>2343</v>
      </c>
      <c r="J329" s="27">
        <f t="shared" si="23"/>
        <v>7029</v>
      </c>
    </row>
    <row r="330" spans="1:10" x14ac:dyDescent="0.3">
      <c r="A330" s="23" t="str">
        <f t="shared" si="20"/>
        <v>01-05-2026</v>
      </c>
      <c r="B330" s="24" t="s">
        <v>36</v>
      </c>
      <c r="C330" s="4">
        <v>8909285623602</v>
      </c>
      <c r="D330" s="24">
        <v>36</v>
      </c>
      <c r="E330" s="24" t="s">
        <v>244</v>
      </c>
      <c r="F330" s="25" t="str">
        <f t="shared" si="21"/>
        <v>FLYING MACHINE</v>
      </c>
      <c r="G330" s="24">
        <v>2</v>
      </c>
      <c r="H330" s="25" t="str">
        <f t="shared" si="22"/>
        <v>Pcs.</v>
      </c>
      <c r="I330" s="26">
        <v>2343</v>
      </c>
      <c r="J330" s="27">
        <f t="shared" si="23"/>
        <v>4686</v>
      </c>
    </row>
    <row r="331" spans="1:10" x14ac:dyDescent="0.3">
      <c r="A331" s="23" t="str">
        <f t="shared" si="20"/>
        <v>01-05-2026</v>
      </c>
      <c r="B331" s="24" t="s">
        <v>36</v>
      </c>
      <c r="C331" s="4">
        <v>8909285623817</v>
      </c>
      <c r="D331" s="24">
        <v>30</v>
      </c>
      <c r="E331" s="24" t="s">
        <v>66</v>
      </c>
      <c r="F331" s="25" t="str">
        <f t="shared" si="21"/>
        <v>FLYING MACHINE</v>
      </c>
      <c r="G331" s="24">
        <v>1</v>
      </c>
      <c r="H331" s="25" t="str">
        <f t="shared" si="22"/>
        <v>Pcs.</v>
      </c>
      <c r="I331" s="26">
        <v>2624</v>
      </c>
      <c r="J331" s="27">
        <f t="shared" si="23"/>
        <v>2624</v>
      </c>
    </row>
    <row r="332" spans="1:10" x14ac:dyDescent="0.3">
      <c r="A332" s="23" t="str">
        <f t="shared" si="20"/>
        <v>01-05-2026</v>
      </c>
      <c r="B332" s="24" t="s">
        <v>36</v>
      </c>
      <c r="C332" s="4">
        <v>8909285623824</v>
      </c>
      <c r="D332" s="24">
        <v>32</v>
      </c>
      <c r="E332" s="24" t="s">
        <v>66</v>
      </c>
      <c r="F332" s="25" t="str">
        <f t="shared" si="21"/>
        <v>FLYING MACHINE</v>
      </c>
      <c r="G332" s="24">
        <v>2</v>
      </c>
      <c r="H332" s="25" t="str">
        <f t="shared" si="22"/>
        <v>Pcs.</v>
      </c>
      <c r="I332" s="26">
        <v>2624</v>
      </c>
      <c r="J332" s="27">
        <f t="shared" si="23"/>
        <v>5248</v>
      </c>
    </row>
    <row r="333" spans="1:10" x14ac:dyDescent="0.3">
      <c r="A333" s="23" t="str">
        <f t="shared" si="20"/>
        <v>01-05-2026</v>
      </c>
      <c r="B333" s="24" t="s">
        <v>36</v>
      </c>
      <c r="C333" s="4">
        <v>8909285623831</v>
      </c>
      <c r="D333" s="24">
        <v>34</v>
      </c>
      <c r="E333" s="24" t="s">
        <v>66</v>
      </c>
      <c r="F333" s="25" t="str">
        <f t="shared" si="21"/>
        <v>FLYING MACHINE</v>
      </c>
      <c r="G333" s="24">
        <v>1</v>
      </c>
      <c r="H333" s="25" t="str">
        <f t="shared" si="22"/>
        <v>Pcs.</v>
      </c>
      <c r="I333" s="26">
        <v>2624</v>
      </c>
      <c r="J333" s="27">
        <f t="shared" si="23"/>
        <v>2624</v>
      </c>
    </row>
    <row r="334" spans="1:10" x14ac:dyDescent="0.3">
      <c r="A334" s="23" t="str">
        <f t="shared" si="20"/>
        <v>01-05-2026</v>
      </c>
      <c r="B334" s="24" t="s">
        <v>36</v>
      </c>
      <c r="C334" s="4">
        <v>8909285624531</v>
      </c>
      <c r="D334" s="24">
        <v>30</v>
      </c>
      <c r="E334" s="24" t="s">
        <v>245</v>
      </c>
      <c r="F334" s="25" t="str">
        <f t="shared" si="21"/>
        <v>FLYING MACHINE</v>
      </c>
      <c r="G334" s="24">
        <v>3</v>
      </c>
      <c r="H334" s="25" t="str">
        <f t="shared" si="22"/>
        <v>Pcs.</v>
      </c>
      <c r="I334" s="26">
        <v>2155</v>
      </c>
      <c r="J334" s="27">
        <f t="shared" si="23"/>
        <v>6465</v>
      </c>
    </row>
    <row r="335" spans="1:10" x14ac:dyDescent="0.3">
      <c r="A335" s="23" t="str">
        <f t="shared" si="20"/>
        <v>01-05-2026</v>
      </c>
      <c r="B335" s="24" t="s">
        <v>36</v>
      </c>
      <c r="C335" s="4">
        <v>8909285624548</v>
      </c>
      <c r="D335" s="24">
        <v>32</v>
      </c>
      <c r="E335" s="24" t="s">
        <v>245</v>
      </c>
      <c r="F335" s="25" t="str">
        <f t="shared" si="21"/>
        <v>FLYING MACHINE</v>
      </c>
      <c r="G335" s="24">
        <v>6</v>
      </c>
      <c r="H335" s="25" t="str">
        <f t="shared" si="22"/>
        <v>Pcs.</v>
      </c>
      <c r="I335" s="26">
        <v>2155</v>
      </c>
      <c r="J335" s="27">
        <f t="shared" si="23"/>
        <v>12930</v>
      </c>
    </row>
    <row r="336" spans="1:10" x14ac:dyDescent="0.3">
      <c r="A336" s="23" t="str">
        <f t="shared" si="20"/>
        <v>01-05-2026</v>
      </c>
      <c r="B336" s="24" t="s">
        <v>36</v>
      </c>
      <c r="C336" s="4">
        <v>8909285624555</v>
      </c>
      <c r="D336" s="24">
        <v>34</v>
      </c>
      <c r="E336" s="24" t="s">
        <v>245</v>
      </c>
      <c r="F336" s="25" t="str">
        <f t="shared" si="21"/>
        <v>FLYING MACHINE</v>
      </c>
      <c r="G336" s="24">
        <v>6</v>
      </c>
      <c r="H336" s="25" t="str">
        <f t="shared" si="22"/>
        <v>Pcs.</v>
      </c>
      <c r="I336" s="26">
        <v>2155</v>
      </c>
      <c r="J336" s="27">
        <f t="shared" si="23"/>
        <v>12930</v>
      </c>
    </row>
    <row r="337" spans="1:10" x14ac:dyDescent="0.3">
      <c r="A337" s="23" t="str">
        <f t="shared" si="20"/>
        <v>01-05-2026</v>
      </c>
      <c r="B337" s="24" t="s">
        <v>36</v>
      </c>
      <c r="C337" s="4">
        <v>8909285624562</v>
      </c>
      <c r="D337" s="24">
        <v>36</v>
      </c>
      <c r="E337" s="24" t="s">
        <v>245</v>
      </c>
      <c r="F337" s="25" t="str">
        <f t="shared" si="21"/>
        <v>FLYING MACHINE</v>
      </c>
      <c r="G337" s="24">
        <v>2</v>
      </c>
      <c r="H337" s="25" t="str">
        <f t="shared" si="22"/>
        <v>Pcs.</v>
      </c>
      <c r="I337" s="26">
        <v>2155</v>
      </c>
      <c r="J337" s="27">
        <f t="shared" si="23"/>
        <v>4310</v>
      </c>
    </row>
    <row r="338" spans="1:10" x14ac:dyDescent="0.3">
      <c r="A338" s="23" t="str">
        <f t="shared" si="20"/>
        <v>01-05-2026</v>
      </c>
      <c r="B338" s="24" t="s">
        <v>36</v>
      </c>
      <c r="C338" s="4">
        <v>8909285625002</v>
      </c>
      <c r="D338" s="24">
        <v>28</v>
      </c>
      <c r="E338" s="24" t="s">
        <v>45</v>
      </c>
      <c r="F338" s="25" t="str">
        <f t="shared" si="21"/>
        <v>FLYING MACHINE</v>
      </c>
      <c r="G338" s="24">
        <v>1</v>
      </c>
      <c r="H338" s="25" t="str">
        <f t="shared" si="22"/>
        <v>Pcs.</v>
      </c>
      <c r="I338" s="26">
        <v>2155</v>
      </c>
      <c r="J338" s="27">
        <f t="shared" si="23"/>
        <v>2155</v>
      </c>
    </row>
    <row r="339" spans="1:10" x14ac:dyDescent="0.3">
      <c r="A339" s="23" t="str">
        <f t="shared" si="20"/>
        <v>01-05-2026</v>
      </c>
      <c r="B339" s="24" t="s">
        <v>36</v>
      </c>
      <c r="C339" s="4">
        <v>8909285625019</v>
      </c>
      <c r="D339" s="24">
        <v>30</v>
      </c>
      <c r="E339" s="24" t="s">
        <v>45</v>
      </c>
      <c r="F339" s="25" t="str">
        <f t="shared" si="21"/>
        <v>FLYING MACHINE</v>
      </c>
      <c r="G339" s="24">
        <v>1</v>
      </c>
      <c r="H339" s="25" t="str">
        <f t="shared" si="22"/>
        <v>Pcs.</v>
      </c>
      <c r="I339" s="26">
        <v>2155</v>
      </c>
      <c r="J339" s="27">
        <f t="shared" si="23"/>
        <v>2155</v>
      </c>
    </row>
    <row r="340" spans="1:10" x14ac:dyDescent="0.3">
      <c r="A340" s="23" t="str">
        <f t="shared" si="20"/>
        <v>01-05-2026</v>
      </c>
      <c r="B340" s="24" t="s">
        <v>36</v>
      </c>
      <c r="C340" s="4">
        <v>8909285625026</v>
      </c>
      <c r="D340" s="24">
        <v>32</v>
      </c>
      <c r="E340" s="24" t="s">
        <v>45</v>
      </c>
      <c r="F340" s="25" t="str">
        <f t="shared" si="21"/>
        <v>FLYING MACHINE</v>
      </c>
      <c r="G340" s="24">
        <v>1</v>
      </c>
      <c r="H340" s="25" t="str">
        <f t="shared" si="22"/>
        <v>Pcs.</v>
      </c>
      <c r="I340" s="26">
        <v>2155</v>
      </c>
      <c r="J340" s="27">
        <f t="shared" si="23"/>
        <v>2155</v>
      </c>
    </row>
    <row r="341" spans="1:10" x14ac:dyDescent="0.3">
      <c r="A341" s="23" t="str">
        <f t="shared" si="20"/>
        <v>01-05-2026</v>
      </c>
      <c r="B341" s="24" t="s">
        <v>36</v>
      </c>
      <c r="C341" s="4">
        <v>8909285625033</v>
      </c>
      <c r="D341" s="24">
        <v>34</v>
      </c>
      <c r="E341" s="24" t="s">
        <v>45</v>
      </c>
      <c r="F341" s="25" t="str">
        <f t="shared" si="21"/>
        <v>FLYING MACHINE</v>
      </c>
      <c r="G341" s="24">
        <v>1</v>
      </c>
      <c r="H341" s="25" t="str">
        <f t="shared" si="22"/>
        <v>Pcs.</v>
      </c>
      <c r="I341" s="26">
        <v>2155</v>
      </c>
      <c r="J341" s="27">
        <f t="shared" si="23"/>
        <v>2155</v>
      </c>
    </row>
    <row r="342" spans="1:10" x14ac:dyDescent="0.3">
      <c r="A342" s="23" t="str">
        <f t="shared" si="20"/>
        <v>01-05-2026</v>
      </c>
      <c r="B342" s="24" t="s">
        <v>36</v>
      </c>
      <c r="C342" s="4">
        <v>8909285625040</v>
      </c>
      <c r="D342" s="24">
        <v>36</v>
      </c>
      <c r="E342" s="24" t="s">
        <v>45</v>
      </c>
      <c r="F342" s="25" t="str">
        <f t="shared" si="21"/>
        <v>FLYING MACHINE</v>
      </c>
      <c r="G342" s="24">
        <v>1</v>
      </c>
      <c r="H342" s="25" t="str">
        <f t="shared" si="22"/>
        <v>Pcs.</v>
      </c>
      <c r="I342" s="26">
        <v>2155</v>
      </c>
      <c r="J342" s="27">
        <f t="shared" si="23"/>
        <v>2155</v>
      </c>
    </row>
    <row r="343" spans="1:10" x14ac:dyDescent="0.3">
      <c r="A343" s="23" t="str">
        <f t="shared" si="20"/>
        <v>01-05-2026</v>
      </c>
      <c r="B343" s="24" t="s">
        <v>36</v>
      </c>
      <c r="C343" s="4">
        <v>8909285635452</v>
      </c>
      <c r="D343" s="24">
        <v>30</v>
      </c>
      <c r="E343" s="24" t="s">
        <v>246</v>
      </c>
      <c r="F343" s="25" t="str">
        <f t="shared" si="21"/>
        <v>FLYING MACHINE</v>
      </c>
      <c r="G343" s="24">
        <v>1</v>
      </c>
      <c r="H343" s="25" t="str">
        <f t="shared" si="22"/>
        <v>Pcs.</v>
      </c>
      <c r="I343" s="26">
        <v>3160</v>
      </c>
      <c r="J343" s="27">
        <f t="shared" si="23"/>
        <v>3160</v>
      </c>
    </row>
    <row r="344" spans="1:10" x14ac:dyDescent="0.3">
      <c r="A344" s="23" t="str">
        <f t="shared" si="20"/>
        <v>01-05-2026</v>
      </c>
      <c r="B344" s="24" t="s">
        <v>36</v>
      </c>
      <c r="C344" s="4">
        <v>8909285635469</v>
      </c>
      <c r="D344" s="24">
        <v>32</v>
      </c>
      <c r="E344" s="24" t="s">
        <v>246</v>
      </c>
      <c r="F344" s="25" t="str">
        <f t="shared" si="21"/>
        <v>FLYING MACHINE</v>
      </c>
      <c r="G344" s="24">
        <v>1</v>
      </c>
      <c r="H344" s="25" t="str">
        <f t="shared" si="22"/>
        <v>Pcs.</v>
      </c>
      <c r="I344" s="26">
        <v>3160</v>
      </c>
      <c r="J344" s="27">
        <f t="shared" si="23"/>
        <v>3160</v>
      </c>
    </row>
    <row r="345" spans="1:10" x14ac:dyDescent="0.3">
      <c r="A345" s="23" t="str">
        <f t="shared" si="20"/>
        <v>01-05-2026</v>
      </c>
      <c r="B345" s="24" t="s">
        <v>36</v>
      </c>
      <c r="C345" s="4">
        <v>8909285635476</v>
      </c>
      <c r="D345" s="24">
        <v>34</v>
      </c>
      <c r="E345" s="24" t="s">
        <v>246</v>
      </c>
      <c r="F345" s="25" t="str">
        <f t="shared" si="21"/>
        <v>FLYING MACHINE</v>
      </c>
      <c r="G345" s="24">
        <v>2</v>
      </c>
      <c r="H345" s="25" t="str">
        <f t="shared" si="22"/>
        <v>Pcs.</v>
      </c>
      <c r="I345" s="26">
        <v>3160</v>
      </c>
      <c r="J345" s="27">
        <f t="shared" si="23"/>
        <v>6320</v>
      </c>
    </row>
    <row r="346" spans="1:10" x14ac:dyDescent="0.3">
      <c r="A346" s="23" t="str">
        <f t="shared" si="20"/>
        <v>01-05-2026</v>
      </c>
      <c r="B346" s="24" t="s">
        <v>36</v>
      </c>
      <c r="C346" s="4">
        <v>8909285635483</v>
      </c>
      <c r="D346" s="24">
        <v>36</v>
      </c>
      <c r="E346" s="24" t="s">
        <v>246</v>
      </c>
      <c r="F346" s="25" t="str">
        <f t="shared" si="21"/>
        <v>FLYING MACHINE</v>
      </c>
      <c r="G346" s="24">
        <v>1</v>
      </c>
      <c r="H346" s="25" t="str">
        <f t="shared" si="22"/>
        <v>Pcs.</v>
      </c>
      <c r="I346" s="26">
        <v>3160</v>
      </c>
      <c r="J346" s="27">
        <f t="shared" si="23"/>
        <v>3160</v>
      </c>
    </row>
    <row r="347" spans="1:10" x14ac:dyDescent="0.3">
      <c r="A347" s="23" t="str">
        <f t="shared" si="20"/>
        <v>01-05-2026</v>
      </c>
      <c r="B347" s="24" t="s">
        <v>36</v>
      </c>
      <c r="C347" s="4">
        <v>8909285786161</v>
      </c>
      <c r="D347" s="24">
        <v>30</v>
      </c>
      <c r="E347" s="24" t="s">
        <v>247</v>
      </c>
      <c r="F347" s="25" t="str">
        <f t="shared" si="21"/>
        <v>FLYING MACHINE</v>
      </c>
      <c r="G347" s="24">
        <v>1</v>
      </c>
      <c r="H347" s="25" t="str">
        <f t="shared" si="22"/>
        <v>Pcs.</v>
      </c>
      <c r="I347" s="26">
        <v>3160</v>
      </c>
      <c r="J347" s="27">
        <f t="shared" si="23"/>
        <v>3160</v>
      </c>
    </row>
    <row r="348" spans="1:10" x14ac:dyDescent="0.3">
      <c r="A348" s="23" t="str">
        <f t="shared" si="20"/>
        <v>01-05-2026</v>
      </c>
      <c r="B348" s="24" t="s">
        <v>36</v>
      </c>
      <c r="C348" s="4">
        <v>8909285786178</v>
      </c>
      <c r="D348" s="24">
        <v>32</v>
      </c>
      <c r="E348" s="24" t="s">
        <v>247</v>
      </c>
      <c r="F348" s="25" t="str">
        <f t="shared" si="21"/>
        <v>FLYING MACHINE</v>
      </c>
      <c r="G348" s="24">
        <v>3</v>
      </c>
      <c r="H348" s="25" t="str">
        <f t="shared" si="22"/>
        <v>Pcs.</v>
      </c>
      <c r="I348" s="26">
        <v>3160</v>
      </c>
      <c r="J348" s="27">
        <f t="shared" si="23"/>
        <v>9480</v>
      </c>
    </row>
    <row r="349" spans="1:10" x14ac:dyDescent="0.3">
      <c r="A349" s="23" t="str">
        <f t="shared" si="20"/>
        <v>01-05-2026</v>
      </c>
      <c r="B349" s="24" t="s">
        <v>36</v>
      </c>
      <c r="C349" s="4">
        <v>8909285786185</v>
      </c>
      <c r="D349" s="24">
        <v>34</v>
      </c>
      <c r="E349" s="24" t="s">
        <v>247</v>
      </c>
      <c r="F349" s="25" t="str">
        <f t="shared" si="21"/>
        <v>FLYING MACHINE</v>
      </c>
      <c r="G349" s="24">
        <v>1</v>
      </c>
      <c r="H349" s="25" t="str">
        <f t="shared" si="22"/>
        <v>Pcs.</v>
      </c>
      <c r="I349" s="26">
        <v>3160</v>
      </c>
      <c r="J349" s="27">
        <f t="shared" si="23"/>
        <v>3160</v>
      </c>
    </row>
    <row r="350" spans="1:10" x14ac:dyDescent="0.3">
      <c r="A350" s="23" t="str">
        <f t="shared" si="20"/>
        <v>01-05-2026</v>
      </c>
      <c r="B350" s="24" t="s">
        <v>36</v>
      </c>
      <c r="C350" s="4">
        <v>8909285786192</v>
      </c>
      <c r="D350" s="24">
        <v>36</v>
      </c>
      <c r="E350" s="24" t="s">
        <v>247</v>
      </c>
      <c r="F350" s="25" t="str">
        <f t="shared" si="21"/>
        <v>FLYING MACHINE</v>
      </c>
      <c r="G350" s="24">
        <v>1</v>
      </c>
      <c r="H350" s="25" t="str">
        <f t="shared" si="22"/>
        <v>Pcs.</v>
      </c>
      <c r="I350" s="26">
        <v>3160</v>
      </c>
      <c r="J350" s="27">
        <f t="shared" si="23"/>
        <v>3160</v>
      </c>
    </row>
    <row r="351" spans="1:10" x14ac:dyDescent="0.3">
      <c r="A351" s="23" t="str">
        <f t="shared" si="20"/>
        <v>01-05-2026</v>
      </c>
      <c r="B351" s="24" t="s">
        <v>36</v>
      </c>
      <c r="C351" s="4">
        <v>8909286123194</v>
      </c>
      <c r="D351" s="24">
        <v>30</v>
      </c>
      <c r="E351" s="24" t="s">
        <v>60</v>
      </c>
      <c r="F351" s="25" t="str">
        <f t="shared" si="21"/>
        <v>FLYING MACHINE</v>
      </c>
      <c r="G351" s="24">
        <v>2</v>
      </c>
      <c r="H351" s="25" t="str">
        <f t="shared" si="22"/>
        <v>Pcs.</v>
      </c>
      <c r="I351" s="26">
        <v>3686</v>
      </c>
      <c r="J351" s="27">
        <f t="shared" si="23"/>
        <v>7372</v>
      </c>
    </row>
    <row r="352" spans="1:10" x14ac:dyDescent="0.3">
      <c r="A352" s="23" t="str">
        <f t="shared" si="20"/>
        <v>01-05-2026</v>
      </c>
      <c r="B352" s="24" t="s">
        <v>36</v>
      </c>
      <c r="C352" s="4">
        <v>8909286123200</v>
      </c>
      <c r="D352" s="24">
        <v>32</v>
      </c>
      <c r="E352" s="24" t="s">
        <v>60</v>
      </c>
      <c r="F352" s="25" t="str">
        <f t="shared" si="21"/>
        <v>FLYING MACHINE</v>
      </c>
      <c r="G352" s="24">
        <v>4</v>
      </c>
      <c r="H352" s="25" t="str">
        <f t="shared" si="22"/>
        <v>Pcs.</v>
      </c>
      <c r="I352" s="26">
        <v>3686</v>
      </c>
      <c r="J352" s="27">
        <f t="shared" si="23"/>
        <v>14744</v>
      </c>
    </row>
    <row r="353" spans="1:10" x14ac:dyDescent="0.3">
      <c r="A353" s="23" t="str">
        <f t="shared" si="20"/>
        <v>01-05-2026</v>
      </c>
      <c r="B353" s="24" t="s">
        <v>36</v>
      </c>
      <c r="C353" s="4">
        <v>8909286123217</v>
      </c>
      <c r="D353" s="24">
        <v>34</v>
      </c>
      <c r="E353" s="24" t="s">
        <v>60</v>
      </c>
      <c r="F353" s="25" t="str">
        <f t="shared" si="21"/>
        <v>FLYING MACHINE</v>
      </c>
      <c r="G353" s="24">
        <v>4</v>
      </c>
      <c r="H353" s="25" t="str">
        <f t="shared" si="22"/>
        <v>Pcs.</v>
      </c>
      <c r="I353" s="26">
        <v>3686</v>
      </c>
      <c r="J353" s="27">
        <f t="shared" si="23"/>
        <v>14744</v>
      </c>
    </row>
    <row r="354" spans="1:10" x14ac:dyDescent="0.3">
      <c r="A354" s="23" t="str">
        <f t="shared" si="20"/>
        <v>01-05-2026</v>
      </c>
      <c r="B354" s="24" t="s">
        <v>36</v>
      </c>
      <c r="C354" s="4">
        <v>8909286123224</v>
      </c>
      <c r="D354" s="24">
        <v>36</v>
      </c>
      <c r="E354" s="24" t="s">
        <v>60</v>
      </c>
      <c r="F354" s="25" t="str">
        <f t="shared" si="21"/>
        <v>FLYING MACHINE</v>
      </c>
      <c r="G354" s="24">
        <v>2</v>
      </c>
      <c r="H354" s="25" t="str">
        <f t="shared" si="22"/>
        <v>Pcs.</v>
      </c>
      <c r="I354" s="26">
        <v>3686</v>
      </c>
      <c r="J354" s="27">
        <f t="shared" si="23"/>
        <v>7372</v>
      </c>
    </row>
    <row r="355" spans="1:10" x14ac:dyDescent="0.3">
      <c r="A355" s="23" t="str">
        <f t="shared" si="20"/>
        <v>01-05-2026</v>
      </c>
      <c r="B355" s="24" t="s">
        <v>36</v>
      </c>
      <c r="C355" s="4">
        <v>8909286798408</v>
      </c>
      <c r="D355" s="24">
        <v>30</v>
      </c>
      <c r="E355" s="24" t="s">
        <v>248</v>
      </c>
      <c r="F355" s="25" t="str">
        <f t="shared" si="21"/>
        <v>FLYING MACHINE</v>
      </c>
      <c r="G355" s="24">
        <v>2</v>
      </c>
      <c r="H355" s="25" t="str">
        <f t="shared" si="22"/>
        <v>Pcs.</v>
      </c>
      <c r="I355" s="26">
        <v>3475.7400000000002</v>
      </c>
      <c r="J355" s="27">
        <f t="shared" si="23"/>
        <v>6951.4800000000005</v>
      </c>
    </row>
    <row r="356" spans="1:10" x14ac:dyDescent="0.3">
      <c r="A356" s="23" t="str">
        <f t="shared" si="20"/>
        <v>01-05-2026</v>
      </c>
      <c r="B356" s="24" t="s">
        <v>36</v>
      </c>
      <c r="C356" s="4">
        <v>8909286798415</v>
      </c>
      <c r="D356" s="24">
        <v>32</v>
      </c>
      <c r="E356" s="24" t="s">
        <v>248</v>
      </c>
      <c r="F356" s="25" t="str">
        <f t="shared" si="21"/>
        <v>FLYING MACHINE</v>
      </c>
      <c r="G356" s="24">
        <v>2</v>
      </c>
      <c r="H356" s="25" t="str">
        <f t="shared" si="22"/>
        <v>Pcs.</v>
      </c>
      <c r="I356" s="26">
        <v>3475.7400000000002</v>
      </c>
      <c r="J356" s="27">
        <f t="shared" si="23"/>
        <v>6951.4800000000005</v>
      </c>
    </row>
    <row r="357" spans="1:10" x14ac:dyDescent="0.3">
      <c r="A357" s="23" t="str">
        <f t="shared" si="20"/>
        <v>01-05-2026</v>
      </c>
      <c r="B357" s="24" t="s">
        <v>36</v>
      </c>
      <c r="C357" s="4">
        <v>8909286798422</v>
      </c>
      <c r="D357" s="24">
        <v>34</v>
      </c>
      <c r="E357" s="24" t="s">
        <v>248</v>
      </c>
      <c r="F357" s="25" t="str">
        <f t="shared" si="21"/>
        <v>FLYING MACHINE</v>
      </c>
      <c r="G357" s="24">
        <v>2</v>
      </c>
      <c r="H357" s="25" t="str">
        <f t="shared" si="22"/>
        <v>Pcs.</v>
      </c>
      <c r="I357" s="26">
        <v>3475.7400000000002</v>
      </c>
      <c r="J357" s="27">
        <f t="shared" si="23"/>
        <v>6951.4800000000005</v>
      </c>
    </row>
    <row r="358" spans="1:10" x14ac:dyDescent="0.3">
      <c r="A358" s="23" t="str">
        <f t="shared" si="20"/>
        <v>01-05-2026</v>
      </c>
      <c r="B358" s="24" t="s">
        <v>36</v>
      </c>
      <c r="C358" s="4">
        <v>8909286799184</v>
      </c>
      <c r="D358" s="24">
        <v>30</v>
      </c>
      <c r="E358" s="24" t="s">
        <v>249</v>
      </c>
      <c r="F358" s="25" t="str">
        <f t="shared" si="21"/>
        <v>FLYING MACHINE</v>
      </c>
      <c r="G358" s="24">
        <v>2</v>
      </c>
      <c r="H358" s="25" t="str">
        <f t="shared" si="22"/>
        <v>Pcs.</v>
      </c>
      <c r="I358" s="26">
        <v>3475.7400000000002</v>
      </c>
      <c r="J358" s="27">
        <f t="shared" si="23"/>
        <v>6951.4800000000005</v>
      </c>
    </row>
    <row r="359" spans="1:10" x14ac:dyDescent="0.3">
      <c r="A359" s="23" t="str">
        <f t="shared" si="20"/>
        <v>01-05-2026</v>
      </c>
      <c r="B359" s="24" t="s">
        <v>36</v>
      </c>
      <c r="C359" s="4">
        <v>8909286799191</v>
      </c>
      <c r="D359" s="24">
        <v>32</v>
      </c>
      <c r="E359" s="24" t="s">
        <v>249</v>
      </c>
      <c r="F359" s="25" t="str">
        <f t="shared" si="21"/>
        <v>FLYING MACHINE</v>
      </c>
      <c r="G359" s="24">
        <v>2</v>
      </c>
      <c r="H359" s="25" t="str">
        <f t="shared" si="22"/>
        <v>Pcs.</v>
      </c>
      <c r="I359" s="26">
        <v>3475.7400000000002</v>
      </c>
      <c r="J359" s="27">
        <f t="shared" si="23"/>
        <v>6951.4800000000005</v>
      </c>
    </row>
    <row r="360" spans="1:10" x14ac:dyDescent="0.3">
      <c r="A360" s="23" t="str">
        <f t="shared" si="20"/>
        <v>01-05-2026</v>
      </c>
      <c r="B360" s="24" t="s">
        <v>36</v>
      </c>
      <c r="C360" s="4">
        <v>8909286799207</v>
      </c>
      <c r="D360" s="24">
        <v>34</v>
      </c>
      <c r="E360" s="24" t="s">
        <v>249</v>
      </c>
      <c r="F360" s="25" t="str">
        <f t="shared" si="21"/>
        <v>FLYING MACHINE</v>
      </c>
      <c r="G360" s="24">
        <v>2</v>
      </c>
      <c r="H360" s="25" t="str">
        <f t="shared" si="22"/>
        <v>Pcs.</v>
      </c>
      <c r="I360" s="26">
        <v>3475.7400000000002</v>
      </c>
      <c r="J360" s="27">
        <f t="shared" si="23"/>
        <v>6951.4800000000005</v>
      </c>
    </row>
    <row r="361" spans="1:10" x14ac:dyDescent="0.3">
      <c r="A361" s="23" t="str">
        <f t="shared" si="20"/>
        <v>01-05-2026</v>
      </c>
      <c r="B361" s="24" t="s">
        <v>36</v>
      </c>
      <c r="C361" s="4">
        <v>8909286799214</v>
      </c>
      <c r="D361" s="24">
        <v>36</v>
      </c>
      <c r="E361" s="24" t="s">
        <v>249</v>
      </c>
      <c r="F361" s="25" t="str">
        <f t="shared" si="21"/>
        <v>FLYING MACHINE</v>
      </c>
      <c r="G361" s="24">
        <v>1</v>
      </c>
      <c r="H361" s="25" t="str">
        <f t="shared" si="22"/>
        <v>Pcs.</v>
      </c>
      <c r="I361" s="26">
        <v>3475.7400000000002</v>
      </c>
      <c r="J361" s="27">
        <f t="shared" si="23"/>
        <v>3475.7400000000002</v>
      </c>
    </row>
    <row r="362" spans="1:10" x14ac:dyDescent="0.3">
      <c r="A362" s="23" t="str">
        <f t="shared" si="20"/>
        <v>01-05-2026</v>
      </c>
      <c r="B362" s="24" t="s">
        <v>36</v>
      </c>
      <c r="C362" s="4">
        <v>8909286799221</v>
      </c>
      <c r="D362" s="24">
        <v>38</v>
      </c>
      <c r="E362" s="24" t="s">
        <v>249</v>
      </c>
      <c r="F362" s="25" t="str">
        <f t="shared" si="21"/>
        <v>FLYING MACHINE</v>
      </c>
      <c r="G362" s="24">
        <v>1</v>
      </c>
      <c r="H362" s="25" t="str">
        <f t="shared" si="22"/>
        <v>Pcs.</v>
      </c>
      <c r="I362" s="26">
        <v>3475.7400000000002</v>
      </c>
      <c r="J362" s="27">
        <f t="shared" si="23"/>
        <v>3475.7400000000002</v>
      </c>
    </row>
    <row r="363" spans="1:10" x14ac:dyDescent="0.3">
      <c r="A363" s="23" t="str">
        <f t="shared" si="20"/>
        <v>01-05-2026</v>
      </c>
      <c r="B363" s="24" t="s">
        <v>36</v>
      </c>
      <c r="C363" s="4">
        <v>8909286800361</v>
      </c>
      <c r="D363" s="24">
        <v>32</v>
      </c>
      <c r="E363" s="24" t="s">
        <v>134</v>
      </c>
      <c r="F363" s="25" t="str">
        <f t="shared" si="21"/>
        <v>FLYING MACHINE</v>
      </c>
      <c r="G363" s="24">
        <v>1</v>
      </c>
      <c r="H363" s="25" t="str">
        <f t="shared" si="22"/>
        <v>Pcs.</v>
      </c>
      <c r="I363" s="26">
        <v>2436.5700000000002</v>
      </c>
      <c r="J363" s="27">
        <f t="shared" si="23"/>
        <v>2436.5700000000002</v>
      </c>
    </row>
    <row r="364" spans="1:10" x14ac:dyDescent="0.3">
      <c r="A364" s="23" t="str">
        <f t="shared" si="20"/>
        <v>01-05-2026</v>
      </c>
      <c r="B364" s="24" t="s">
        <v>36</v>
      </c>
      <c r="C364" s="4">
        <v>8909286800378</v>
      </c>
      <c r="D364" s="24">
        <v>34</v>
      </c>
      <c r="E364" s="24" t="s">
        <v>134</v>
      </c>
      <c r="F364" s="25" t="str">
        <f t="shared" si="21"/>
        <v>FLYING MACHINE</v>
      </c>
      <c r="G364" s="24">
        <v>2</v>
      </c>
      <c r="H364" s="25" t="str">
        <f t="shared" si="22"/>
        <v>Pcs.</v>
      </c>
      <c r="I364" s="26">
        <v>2436.5700000000002</v>
      </c>
      <c r="J364" s="27">
        <f t="shared" si="23"/>
        <v>4873.1400000000003</v>
      </c>
    </row>
    <row r="365" spans="1:10" x14ac:dyDescent="0.3">
      <c r="A365" s="23" t="str">
        <f t="shared" si="20"/>
        <v>01-05-2026</v>
      </c>
      <c r="B365" s="24" t="s">
        <v>36</v>
      </c>
      <c r="C365" s="4">
        <v>8909286801139</v>
      </c>
      <c r="D365" s="24">
        <v>30</v>
      </c>
      <c r="E365" s="24" t="s">
        <v>88</v>
      </c>
      <c r="F365" s="25" t="str">
        <f t="shared" si="21"/>
        <v>FLYING MACHINE</v>
      </c>
      <c r="G365" s="24">
        <v>2</v>
      </c>
      <c r="H365" s="25" t="str">
        <f t="shared" si="22"/>
        <v>Pcs.</v>
      </c>
      <c r="I365" s="26">
        <v>3475.7400000000002</v>
      </c>
      <c r="J365" s="27">
        <f t="shared" si="23"/>
        <v>6951.4800000000005</v>
      </c>
    </row>
    <row r="366" spans="1:10" x14ac:dyDescent="0.3">
      <c r="A366" s="23" t="str">
        <f t="shared" si="20"/>
        <v>01-05-2026</v>
      </c>
      <c r="B366" s="24" t="s">
        <v>36</v>
      </c>
      <c r="C366" s="4">
        <v>8909286801153</v>
      </c>
      <c r="D366" s="24">
        <v>34</v>
      </c>
      <c r="E366" s="24" t="s">
        <v>88</v>
      </c>
      <c r="F366" s="25" t="str">
        <f t="shared" si="21"/>
        <v>FLYING MACHINE</v>
      </c>
      <c r="G366" s="24">
        <v>1</v>
      </c>
      <c r="H366" s="25" t="str">
        <f t="shared" si="22"/>
        <v>Pcs.</v>
      </c>
      <c r="I366" s="26">
        <v>3475.7400000000002</v>
      </c>
      <c r="J366" s="27">
        <f t="shared" si="23"/>
        <v>3475.7400000000002</v>
      </c>
    </row>
    <row r="367" spans="1:10" x14ac:dyDescent="0.3">
      <c r="A367" s="23" t="str">
        <f t="shared" si="20"/>
        <v>01-05-2026</v>
      </c>
      <c r="B367" s="24" t="s">
        <v>36</v>
      </c>
      <c r="C367" s="4">
        <v>8909286801160</v>
      </c>
      <c r="D367" s="24">
        <v>36</v>
      </c>
      <c r="E367" s="24" t="s">
        <v>88</v>
      </c>
      <c r="F367" s="25" t="str">
        <f t="shared" si="21"/>
        <v>FLYING MACHINE</v>
      </c>
      <c r="G367" s="24">
        <v>1</v>
      </c>
      <c r="H367" s="25" t="str">
        <f t="shared" si="22"/>
        <v>Pcs.</v>
      </c>
      <c r="I367" s="26">
        <v>3475.7400000000002</v>
      </c>
      <c r="J367" s="27">
        <f t="shared" si="23"/>
        <v>3475.7400000000002</v>
      </c>
    </row>
    <row r="368" spans="1:10" x14ac:dyDescent="0.3">
      <c r="A368" s="23" t="str">
        <f t="shared" si="20"/>
        <v>01-05-2026</v>
      </c>
      <c r="B368" s="24" t="s">
        <v>36</v>
      </c>
      <c r="C368" s="4">
        <v>8909286815341</v>
      </c>
      <c r="D368" s="24">
        <v>30</v>
      </c>
      <c r="E368" s="24" t="s">
        <v>250</v>
      </c>
      <c r="F368" s="25" t="str">
        <f t="shared" si="21"/>
        <v>FLYING MACHINE</v>
      </c>
      <c r="G368" s="24">
        <v>2</v>
      </c>
      <c r="H368" s="25" t="str">
        <f t="shared" si="22"/>
        <v>Pcs.</v>
      </c>
      <c r="I368" s="26">
        <v>2249.06</v>
      </c>
      <c r="J368" s="27">
        <f t="shared" si="23"/>
        <v>4498.12</v>
      </c>
    </row>
    <row r="369" spans="1:10" x14ac:dyDescent="0.3">
      <c r="A369" s="23" t="str">
        <f t="shared" si="20"/>
        <v>01-05-2026</v>
      </c>
      <c r="B369" s="24" t="s">
        <v>36</v>
      </c>
      <c r="C369" s="4">
        <v>8909286815358</v>
      </c>
      <c r="D369" s="24">
        <v>32</v>
      </c>
      <c r="E369" s="24" t="s">
        <v>250</v>
      </c>
      <c r="F369" s="25" t="str">
        <f t="shared" si="21"/>
        <v>FLYING MACHINE</v>
      </c>
      <c r="G369" s="24">
        <v>2</v>
      </c>
      <c r="H369" s="25" t="str">
        <f t="shared" si="22"/>
        <v>Pcs.</v>
      </c>
      <c r="I369" s="26">
        <v>2249.06</v>
      </c>
      <c r="J369" s="27">
        <f t="shared" si="23"/>
        <v>4498.12</v>
      </c>
    </row>
    <row r="370" spans="1:10" x14ac:dyDescent="0.3">
      <c r="A370" s="23" t="str">
        <f t="shared" si="20"/>
        <v>01-05-2026</v>
      </c>
      <c r="B370" s="24" t="s">
        <v>36</v>
      </c>
      <c r="C370" s="4">
        <v>8909286815365</v>
      </c>
      <c r="D370" s="24">
        <v>34</v>
      </c>
      <c r="E370" s="24" t="s">
        <v>250</v>
      </c>
      <c r="F370" s="25" t="str">
        <f t="shared" si="21"/>
        <v>FLYING MACHINE</v>
      </c>
      <c r="G370" s="24">
        <v>2</v>
      </c>
      <c r="H370" s="25" t="str">
        <f t="shared" si="22"/>
        <v>Pcs.</v>
      </c>
      <c r="I370" s="26">
        <v>2249.06</v>
      </c>
      <c r="J370" s="27">
        <f t="shared" si="23"/>
        <v>4498.12</v>
      </c>
    </row>
    <row r="371" spans="1:10" x14ac:dyDescent="0.3">
      <c r="A371" s="23" t="str">
        <f t="shared" si="20"/>
        <v>01-05-2026</v>
      </c>
      <c r="B371" s="24" t="s">
        <v>36</v>
      </c>
      <c r="C371" s="4">
        <v>8909286815372</v>
      </c>
      <c r="D371" s="24">
        <v>36</v>
      </c>
      <c r="E371" s="24" t="s">
        <v>250</v>
      </c>
      <c r="F371" s="25" t="str">
        <f t="shared" si="21"/>
        <v>FLYING MACHINE</v>
      </c>
      <c r="G371" s="24">
        <v>1</v>
      </c>
      <c r="H371" s="25" t="str">
        <f t="shared" si="22"/>
        <v>Pcs.</v>
      </c>
      <c r="I371" s="26">
        <v>2249.06</v>
      </c>
      <c r="J371" s="27">
        <f t="shared" si="23"/>
        <v>2249.06</v>
      </c>
    </row>
    <row r="372" spans="1:10" x14ac:dyDescent="0.3">
      <c r="A372" s="23" t="str">
        <f t="shared" si="20"/>
        <v>01-05-2026</v>
      </c>
      <c r="B372" s="24" t="s">
        <v>36</v>
      </c>
      <c r="C372" s="4">
        <v>8909286818700</v>
      </c>
      <c r="D372" s="24">
        <v>30</v>
      </c>
      <c r="E372" s="24" t="s">
        <v>251</v>
      </c>
      <c r="F372" s="25" t="str">
        <f t="shared" si="21"/>
        <v>FLYING MACHINE</v>
      </c>
      <c r="G372" s="24">
        <v>2</v>
      </c>
      <c r="H372" s="25" t="str">
        <f t="shared" si="22"/>
        <v>Pcs.</v>
      </c>
      <c r="I372" s="26">
        <v>3686.45</v>
      </c>
      <c r="J372" s="27">
        <f t="shared" si="23"/>
        <v>7372.9</v>
      </c>
    </row>
    <row r="373" spans="1:10" x14ac:dyDescent="0.3">
      <c r="A373" s="23" t="str">
        <f t="shared" si="20"/>
        <v>01-05-2026</v>
      </c>
      <c r="B373" s="24" t="s">
        <v>36</v>
      </c>
      <c r="C373" s="4">
        <v>8909286818717</v>
      </c>
      <c r="D373" s="24">
        <v>32</v>
      </c>
      <c r="E373" s="24" t="s">
        <v>251</v>
      </c>
      <c r="F373" s="25" t="str">
        <f t="shared" si="21"/>
        <v>FLYING MACHINE</v>
      </c>
      <c r="G373" s="24">
        <v>2</v>
      </c>
      <c r="H373" s="25" t="str">
        <f t="shared" si="22"/>
        <v>Pcs.</v>
      </c>
      <c r="I373" s="26">
        <v>3686.45</v>
      </c>
      <c r="J373" s="27">
        <f t="shared" si="23"/>
        <v>7372.9</v>
      </c>
    </row>
    <row r="374" spans="1:10" x14ac:dyDescent="0.3">
      <c r="A374" s="23" t="str">
        <f t="shared" si="20"/>
        <v>01-05-2026</v>
      </c>
      <c r="B374" s="24" t="s">
        <v>36</v>
      </c>
      <c r="C374" s="4">
        <v>8909286818724</v>
      </c>
      <c r="D374" s="24">
        <v>34</v>
      </c>
      <c r="E374" s="24" t="s">
        <v>251</v>
      </c>
      <c r="F374" s="25" t="str">
        <f t="shared" si="21"/>
        <v>FLYING MACHINE</v>
      </c>
      <c r="G374" s="24">
        <v>1</v>
      </c>
      <c r="H374" s="25" t="str">
        <f t="shared" si="22"/>
        <v>Pcs.</v>
      </c>
      <c r="I374" s="26">
        <v>3686.45</v>
      </c>
      <c r="J374" s="27">
        <f t="shared" si="23"/>
        <v>3686.45</v>
      </c>
    </row>
    <row r="375" spans="1:10" x14ac:dyDescent="0.3">
      <c r="A375" s="23" t="str">
        <f t="shared" si="20"/>
        <v>01-05-2026</v>
      </c>
      <c r="B375" s="24" t="s">
        <v>36</v>
      </c>
      <c r="C375" s="4">
        <v>8909286819875</v>
      </c>
      <c r="D375" s="24">
        <v>30</v>
      </c>
      <c r="E375" s="24" t="s">
        <v>252</v>
      </c>
      <c r="F375" s="25" t="str">
        <f t="shared" si="21"/>
        <v>FLYING MACHINE</v>
      </c>
      <c r="G375" s="24">
        <v>2</v>
      </c>
      <c r="H375" s="25" t="str">
        <f t="shared" si="22"/>
        <v>Pcs.</v>
      </c>
      <c r="I375" s="26">
        <v>3475.7400000000002</v>
      </c>
      <c r="J375" s="27">
        <f t="shared" si="23"/>
        <v>6951.4800000000005</v>
      </c>
    </row>
    <row r="376" spans="1:10" x14ac:dyDescent="0.3">
      <c r="A376" s="23" t="str">
        <f t="shared" si="20"/>
        <v>01-05-2026</v>
      </c>
      <c r="B376" s="24" t="s">
        <v>36</v>
      </c>
      <c r="C376" s="4">
        <v>8909286819882</v>
      </c>
      <c r="D376" s="24">
        <v>32</v>
      </c>
      <c r="E376" s="24" t="s">
        <v>252</v>
      </c>
      <c r="F376" s="25" t="str">
        <f t="shared" si="21"/>
        <v>FLYING MACHINE</v>
      </c>
      <c r="G376" s="24">
        <v>2</v>
      </c>
      <c r="H376" s="25" t="str">
        <f t="shared" si="22"/>
        <v>Pcs.</v>
      </c>
      <c r="I376" s="26">
        <v>3475.7400000000002</v>
      </c>
      <c r="J376" s="27">
        <f t="shared" si="23"/>
        <v>6951.4800000000005</v>
      </c>
    </row>
    <row r="377" spans="1:10" x14ac:dyDescent="0.3">
      <c r="A377" s="23" t="str">
        <f t="shared" si="20"/>
        <v>01-05-2026</v>
      </c>
      <c r="B377" s="24" t="s">
        <v>36</v>
      </c>
      <c r="C377" s="4">
        <v>8909286819899</v>
      </c>
      <c r="D377" s="24">
        <v>34</v>
      </c>
      <c r="E377" s="24" t="s">
        <v>252</v>
      </c>
      <c r="F377" s="25" t="str">
        <f t="shared" si="21"/>
        <v>FLYING MACHINE</v>
      </c>
      <c r="G377" s="24">
        <v>2</v>
      </c>
      <c r="H377" s="25" t="str">
        <f t="shared" si="22"/>
        <v>Pcs.</v>
      </c>
      <c r="I377" s="26">
        <v>3475.7400000000002</v>
      </c>
      <c r="J377" s="27">
        <f t="shared" si="23"/>
        <v>6951.4800000000005</v>
      </c>
    </row>
    <row r="378" spans="1:10" x14ac:dyDescent="0.3">
      <c r="A378" s="23" t="str">
        <f t="shared" si="20"/>
        <v>01-05-2026</v>
      </c>
      <c r="B378" s="24" t="s">
        <v>36</v>
      </c>
      <c r="C378" s="4">
        <v>8909286821694</v>
      </c>
      <c r="D378" s="24">
        <v>30</v>
      </c>
      <c r="E378" s="24" t="s">
        <v>116</v>
      </c>
      <c r="F378" s="25" t="str">
        <f t="shared" si="21"/>
        <v>FLYING MACHINE</v>
      </c>
      <c r="G378" s="24">
        <v>1</v>
      </c>
      <c r="H378" s="25" t="str">
        <f t="shared" si="22"/>
        <v>Pcs.</v>
      </c>
      <c r="I378" s="26">
        <v>2436.5700000000002</v>
      </c>
      <c r="J378" s="27">
        <f t="shared" si="23"/>
        <v>2436.5700000000002</v>
      </c>
    </row>
    <row r="379" spans="1:10" x14ac:dyDescent="0.3">
      <c r="A379" s="23" t="str">
        <f t="shared" si="20"/>
        <v>01-05-2026</v>
      </c>
      <c r="B379" s="24" t="s">
        <v>36</v>
      </c>
      <c r="C379" s="4">
        <v>8909286821700</v>
      </c>
      <c r="D379" s="24">
        <v>32</v>
      </c>
      <c r="E379" s="24" t="s">
        <v>116</v>
      </c>
      <c r="F379" s="25" t="str">
        <f t="shared" si="21"/>
        <v>FLYING MACHINE</v>
      </c>
      <c r="G379" s="24">
        <v>1</v>
      </c>
      <c r="H379" s="25" t="str">
        <f t="shared" si="22"/>
        <v>Pcs.</v>
      </c>
      <c r="I379" s="26">
        <v>2436.5700000000002</v>
      </c>
      <c r="J379" s="27">
        <f t="shared" si="23"/>
        <v>2436.5700000000002</v>
      </c>
    </row>
    <row r="380" spans="1:10" x14ac:dyDescent="0.3">
      <c r="A380" s="23" t="str">
        <f t="shared" si="20"/>
        <v>01-05-2026</v>
      </c>
      <c r="B380" s="24" t="s">
        <v>36</v>
      </c>
      <c r="C380" s="4">
        <v>8909286821717</v>
      </c>
      <c r="D380" s="24">
        <v>34</v>
      </c>
      <c r="E380" s="24" t="s">
        <v>116</v>
      </c>
      <c r="F380" s="25" t="str">
        <f t="shared" si="21"/>
        <v>FLYING MACHINE</v>
      </c>
      <c r="G380" s="24">
        <v>2</v>
      </c>
      <c r="H380" s="25" t="str">
        <f t="shared" si="22"/>
        <v>Pcs.</v>
      </c>
      <c r="I380" s="26">
        <v>2436.5700000000002</v>
      </c>
      <c r="J380" s="27">
        <f t="shared" si="23"/>
        <v>4873.1400000000003</v>
      </c>
    </row>
    <row r="381" spans="1:10" x14ac:dyDescent="0.3">
      <c r="A381" s="23" t="str">
        <f t="shared" si="20"/>
        <v>01-05-2026</v>
      </c>
      <c r="B381" s="24" t="s">
        <v>36</v>
      </c>
      <c r="C381" s="4">
        <v>8909286821724</v>
      </c>
      <c r="D381" s="24">
        <v>36</v>
      </c>
      <c r="E381" s="24" t="s">
        <v>116</v>
      </c>
      <c r="F381" s="25" t="str">
        <f t="shared" si="21"/>
        <v>FLYING MACHINE</v>
      </c>
      <c r="G381" s="24">
        <v>1</v>
      </c>
      <c r="H381" s="25" t="str">
        <f t="shared" si="22"/>
        <v>Pcs.</v>
      </c>
      <c r="I381" s="26">
        <v>2436.5700000000002</v>
      </c>
      <c r="J381" s="27">
        <f t="shared" si="23"/>
        <v>2436.5700000000002</v>
      </c>
    </row>
    <row r="382" spans="1:10" x14ac:dyDescent="0.3">
      <c r="A382" s="23" t="str">
        <f t="shared" si="20"/>
        <v>01-05-2026</v>
      </c>
      <c r="B382" s="24" t="s">
        <v>36</v>
      </c>
      <c r="C382" s="4">
        <v>8909286821731</v>
      </c>
      <c r="D382" s="24">
        <v>38</v>
      </c>
      <c r="E382" s="24" t="s">
        <v>116</v>
      </c>
      <c r="F382" s="25" t="str">
        <f t="shared" si="21"/>
        <v>FLYING MACHINE</v>
      </c>
      <c r="G382" s="24">
        <v>1</v>
      </c>
      <c r="H382" s="25" t="str">
        <f t="shared" si="22"/>
        <v>Pcs.</v>
      </c>
      <c r="I382" s="26">
        <v>2436.5700000000002</v>
      </c>
      <c r="J382" s="27">
        <f t="shared" si="23"/>
        <v>2436.5700000000002</v>
      </c>
    </row>
    <row r="383" spans="1:10" x14ac:dyDescent="0.3">
      <c r="A383" s="23" t="str">
        <f t="shared" si="20"/>
        <v>01-05-2026</v>
      </c>
      <c r="B383" s="24" t="s">
        <v>36</v>
      </c>
      <c r="C383" s="4">
        <v>8909286821823</v>
      </c>
      <c r="D383" s="24">
        <v>30</v>
      </c>
      <c r="E383" s="24" t="s">
        <v>253</v>
      </c>
      <c r="F383" s="25" t="str">
        <f t="shared" si="21"/>
        <v>FLYING MACHINE</v>
      </c>
      <c r="G383" s="24">
        <v>2</v>
      </c>
      <c r="H383" s="25" t="str">
        <f t="shared" si="22"/>
        <v>Pcs.</v>
      </c>
      <c r="I383" s="26">
        <v>3475.7400000000002</v>
      </c>
      <c r="J383" s="27">
        <f t="shared" si="23"/>
        <v>6951.4800000000005</v>
      </c>
    </row>
    <row r="384" spans="1:10" x14ac:dyDescent="0.3">
      <c r="A384" s="23" t="str">
        <f t="shared" si="20"/>
        <v>01-05-2026</v>
      </c>
      <c r="B384" s="24" t="s">
        <v>36</v>
      </c>
      <c r="C384" s="4">
        <v>8909286821830</v>
      </c>
      <c r="D384" s="24">
        <v>32</v>
      </c>
      <c r="E384" s="24" t="s">
        <v>253</v>
      </c>
      <c r="F384" s="25" t="str">
        <f t="shared" si="21"/>
        <v>FLYING MACHINE</v>
      </c>
      <c r="G384" s="24">
        <v>2</v>
      </c>
      <c r="H384" s="25" t="str">
        <f t="shared" si="22"/>
        <v>Pcs.</v>
      </c>
      <c r="I384" s="26">
        <v>3475.7400000000002</v>
      </c>
      <c r="J384" s="27">
        <f t="shared" si="23"/>
        <v>6951.4800000000005</v>
      </c>
    </row>
    <row r="385" spans="1:10" x14ac:dyDescent="0.3">
      <c r="A385" s="23" t="str">
        <f t="shared" si="20"/>
        <v>01-05-2026</v>
      </c>
      <c r="B385" s="24" t="s">
        <v>36</v>
      </c>
      <c r="C385" s="4">
        <v>8909286821847</v>
      </c>
      <c r="D385" s="24">
        <v>34</v>
      </c>
      <c r="E385" s="24" t="s">
        <v>253</v>
      </c>
      <c r="F385" s="25" t="str">
        <f t="shared" si="21"/>
        <v>FLYING MACHINE</v>
      </c>
      <c r="G385" s="24">
        <v>2</v>
      </c>
      <c r="H385" s="25" t="str">
        <f t="shared" si="22"/>
        <v>Pcs.</v>
      </c>
      <c r="I385" s="26">
        <v>3475.7400000000002</v>
      </c>
      <c r="J385" s="27">
        <f t="shared" si="23"/>
        <v>6951.4800000000005</v>
      </c>
    </row>
    <row r="386" spans="1:10" x14ac:dyDescent="0.3">
      <c r="A386" s="23" t="str">
        <f t="shared" si="20"/>
        <v>01-05-2026</v>
      </c>
      <c r="B386" s="24" t="s">
        <v>36</v>
      </c>
      <c r="C386" s="4">
        <v>8909286821854</v>
      </c>
      <c r="D386" s="24">
        <v>36</v>
      </c>
      <c r="E386" s="24" t="s">
        <v>253</v>
      </c>
      <c r="F386" s="25" t="str">
        <f t="shared" si="21"/>
        <v>FLYING MACHINE</v>
      </c>
      <c r="G386" s="24">
        <v>1</v>
      </c>
      <c r="H386" s="25" t="str">
        <f t="shared" si="22"/>
        <v>Pcs.</v>
      </c>
      <c r="I386" s="26">
        <v>3475.7400000000002</v>
      </c>
      <c r="J386" s="27">
        <f t="shared" si="23"/>
        <v>3475.7400000000002</v>
      </c>
    </row>
    <row r="387" spans="1:10" x14ac:dyDescent="0.3">
      <c r="A387" s="23" t="str">
        <f t="shared" si="20"/>
        <v>01-05-2026</v>
      </c>
      <c r="B387" s="24" t="s">
        <v>36</v>
      </c>
      <c r="C387" s="4">
        <v>8909286822608</v>
      </c>
      <c r="D387" s="24">
        <v>30</v>
      </c>
      <c r="E387" s="24" t="s">
        <v>118</v>
      </c>
      <c r="F387" s="25" t="str">
        <f t="shared" si="21"/>
        <v>FLYING MACHINE</v>
      </c>
      <c r="G387" s="24">
        <v>2</v>
      </c>
      <c r="H387" s="25" t="str">
        <f t="shared" si="22"/>
        <v>Pcs.</v>
      </c>
      <c r="I387" s="26">
        <v>3475.7400000000002</v>
      </c>
      <c r="J387" s="27">
        <f t="shared" si="23"/>
        <v>6951.4800000000005</v>
      </c>
    </row>
    <row r="388" spans="1:10" x14ac:dyDescent="0.3">
      <c r="A388" s="23" t="str">
        <f t="shared" si="20"/>
        <v>01-05-2026</v>
      </c>
      <c r="B388" s="24" t="s">
        <v>36</v>
      </c>
      <c r="C388" s="4">
        <v>8909286822615</v>
      </c>
      <c r="D388" s="24">
        <v>32</v>
      </c>
      <c r="E388" s="24" t="s">
        <v>118</v>
      </c>
      <c r="F388" s="25" t="str">
        <f t="shared" si="21"/>
        <v>FLYING MACHINE</v>
      </c>
      <c r="G388" s="24">
        <v>1</v>
      </c>
      <c r="H388" s="25" t="str">
        <f t="shared" si="22"/>
        <v>Pcs.</v>
      </c>
      <c r="I388" s="26">
        <v>3475.7400000000002</v>
      </c>
      <c r="J388" s="27">
        <f t="shared" si="23"/>
        <v>3475.7400000000002</v>
      </c>
    </row>
    <row r="389" spans="1:10" x14ac:dyDescent="0.3">
      <c r="A389" s="23" t="str">
        <f t="shared" ref="A389:A452" si="24">IF(C389&gt;0,RIGHT($D$3,10)," ")</f>
        <v>01-05-2026</v>
      </c>
      <c r="B389" s="24" t="s">
        <v>36</v>
      </c>
      <c r="C389" s="4">
        <v>8909286822622</v>
      </c>
      <c r="D389" s="24">
        <v>34</v>
      </c>
      <c r="E389" s="24" t="s">
        <v>118</v>
      </c>
      <c r="F389" s="25" t="str">
        <f t="shared" ref="F389:F452" si="25">IF(C389&gt;0,$C$3," ")</f>
        <v>FLYING MACHINE</v>
      </c>
      <c r="G389" s="24">
        <v>2</v>
      </c>
      <c r="H389" s="25" t="str">
        <f t="shared" ref="H389:H452" si="26">IF(G389&gt;0,"Pcs."," ")</f>
        <v>Pcs.</v>
      </c>
      <c r="I389" s="26">
        <v>3475.7400000000002</v>
      </c>
      <c r="J389" s="27">
        <f t="shared" ref="J389:J452" si="27">IF(I389*G389=0," ",I389*G389)</f>
        <v>6951.4800000000005</v>
      </c>
    </row>
    <row r="390" spans="1:10" x14ac:dyDescent="0.3">
      <c r="A390" s="23" t="str">
        <f t="shared" si="24"/>
        <v>01-05-2026</v>
      </c>
      <c r="B390" s="24" t="s">
        <v>36</v>
      </c>
      <c r="C390" s="4">
        <v>8909286822738</v>
      </c>
      <c r="D390" s="24">
        <v>30</v>
      </c>
      <c r="E390" s="24" t="s">
        <v>119</v>
      </c>
      <c r="F390" s="25" t="str">
        <f t="shared" si="25"/>
        <v>FLYING MACHINE</v>
      </c>
      <c r="G390" s="24">
        <v>2</v>
      </c>
      <c r="H390" s="25" t="str">
        <f t="shared" si="26"/>
        <v>Pcs.</v>
      </c>
      <c r="I390" s="26">
        <v>2436.5700000000002</v>
      </c>
      <c r="J390" s="27">
        <f t="shared" si="27"/>
        <v>4873.1400000000003</v>
      </c>
    </row>
    <row r="391" spans="1:10" x14ac:dyDescent="0.3">
      <c r="A391" s="23" t="str">
        <f t="shared" si="24"/>
        <v>01-05-2026</v>
      </c>
      <c r="B391" s="24" t="s">
        <v>36</v>
      </c>
      <c r="C391" s="4">
        <v>8909286822752</v>
      </c>
      <c r="D391" s="24">
        <v>34</v>
      </c>
      <c r="E391" s="24" t="s">
        <v>119</v>
      </c>
      <c r="F391" s="25" t="str">
        <f t="shared" si="25"/>
        <v>FLYING MACHINE</v>
      </c>
      <c r="G391" s="24">
        <v>2</v>
      </c>
      <c r="H391" s="25" t="str">
        <f t="shared" si="26"/>
        <v>Pcs.</v>
      </c>
      <c r="I391" s="26">
        <v>2436.5700000000002</v>
      </c>
      <c r="J391" s="27">
        <f t="shared" si="27"/>
        <v>4873.1400000000003</v>
      </c>
    </row>
    <row r="392" spans="1:10" x14ac:dyDescent="0.3">
      <c r="A392" s="23" t="str">
        <f t="shared" si="24"/>
        <v>01-05-2026</v>
      </c>
      <c r="B392" s="24" t="s">
        <v>36</v>
      </c>
      <c r="C392" s="4">
        <v>8909286822769</v>
      </c>
      <c r="D392" s="24">
        <v>36</v>
      </c>
      <c r="E392" s="24" t="s">
        <v>119</v>
      </c>
      <c r="F392" s="25" t="str">
        <f t="shared" si="25"/>
        <v>FLYING MACHINE</v>
      </c>
      <c r="G392" s="24">
        <v>1</v>
      </c>
      <c r="H392" s="25" t="str">
        <f t="shared" si="26"/>
        <v>Pcs.</v>
      </c>
      <c r="I392" s="26">
        <v>2436.5700000000002</v>
      </c>
      <c r="J392" s="27">
        <f t="shared" si="27"/>
        <v>2436.5700000000002</v>
      </c>
    </row>
    <row r="393" spans="1:10" x14ac:dyDescent="0.3">
      <c r="A393" s="23" t="str">
        <f t="shared" si="24"/>
        <v>01-05-2026</v>
      </c>
      <c r="B393" s="24" t="s">
        <v>36</v>
      </c>
      <c r="C393" s="4">
        <v>8909286822776</v>
      </c>
      <c r="D393" s="24">
        <v>38</v>
      </c>
      <c r="E393" s="24" t="s">
        <v>119</v>
      </c>
      <c r="F393" s="25" t="str">
        <f t="shared" si="25"/>
        <v>FLYING MACHINE</v>
      </c>
      <c r="G393" s="24">
        <v>1</v>
      </c>
      <c r="H393" s="25" t="str">
        <f t="shared" si="26"/>
        <v>Pcs.</v>
      </c>
      <c r="I393" s="26">
        <v>2436.5700000000002</v>
      </c>
      <c r="J393" s="27">
        <f t="shared" si="27"/>
        <v>2436.5700000000002</v>
      </c>
    </row>
    <row r="394" spans="1:10" x14ac:dyDescent="0.3">
      <c r="A394" s="23" t="str">
        <f t="shared" si="24"/>
        <v>01-05-2026</v>
      </c>
      <c r="B394" s="24" t="s">
        <v>36</v>
      </c>
      <c r="C394" s="4">
        <v>8909286822998</v>
      </c>
      <c r="D394" s="24">
        <v>30</v>
      </c>
      <c r="E394" s="24" t="s">
        <v>96</v>
      </c>
      <c r="F394" s="25" t="str">
        <f t="shared" si="25"/>
        <v>FLYING MACHINE</v>
      </c>
      <c r="G394" s="24">
        <v>2</v>
      </c>
      <c r="H394" s="25" t="str">
        <f t="shared" si="26"/>
        <v>Pcs.</v>
      </c>
      <c r="I394" s="26">
        <v>2436.5700000000002</v>
      </c>
      <c r="J394" s="27">
        <f t="shared" si="27"/>
        <v>4873.1400000000003</v>
      </c>
    </row>
    <row r="395" spans="1:10" x14ac:dyDescent="0.3">
      <c r="A395" s="23" t="str">
        <f t="shared" si="24"/>
        <v>01-05-2026</v>
      </c>
      <c r="B395" s="24" t="s">
        <v>36</v>
      </c>
      <c r="C395" s="4">
        <v>8909286823001</v>
      </c>
      <c r="D395" s="24">
        <v>32</v>
      </c>
      <c r="E395" s="24" t="s">
        <v>96</v>
      </c>
      <c r="F395" s="25" t="str">
        <f t="shared" si="25"/>
        <v>FLYING MACHINE</v>
      </c>
      <c r="G395" s="24">
        <v>2</v>
      </c>
      <c r="H395" s="25" t="str">
        <f t="shared" si="26"/>
        <v>Pcs.</v>
      </c>
      <c r="I395" s="26">
        <v>2436.5700000000002</v>
      </c>
      <c r="J395" s="27">
        <f t="shared" si="27"/>
        <v>4873.1400000000003</v>
      </c>
    </row>
    <row r="396" spans="1:10" x14ac:dyDescent="0.3">
      <c r="A396" s="23" t="str">
        <f t="shared" si="24"/>
        <v>01-05-2026</v>
      </c>
      <c r="B396" s="24" t="s">
        <v>36</v>
      </c>
      <c r="C396" s="4">
        <v>8909286823018</v>
      </c>
      <c r="D396" s="24">
        <v>34</v>
      </c>
      <c r="E396" s="24" t="s">
        <v>96</v>
      </c>
      <c r="F396" s="25" t="str">
        <f t="shared" si="25"/>
        <v>FLYING MACHINE</v>
      </c>
      <c r="G396" s="24">
        <v>2</v>
      </c>
      <c r="H396" s="25" t="str">
        <f t="shared" si="26"/>
        <v>Pcs.</v>
      </c>
      <c r="I396" s="26">
        <v>2436.5700000000002</v>
      </c>
      <c r="J396" s="27">
        <f t="shared" si="27"/>
        <v>4873.1400000000003</v>
      </c>
    </row>
    <row r="397" spans="1:10" x14ac:dyDescent="0.3">
      <c r="A397" s="23" t="str">
        <f t="shared" si="24"/>
        <v>01-05-2026</v>
      </c>
      <c r="B397" s="24" t="s">
        <v>36</v>
      </c>
      <c r="C397" s="4">
        <v>8909286823506</v>
      </c>
      <c r="D397" s="24">
        <v>28</v>
      </c>
      <c r="E397" s="24" t="s">
        <v>69</v>
      </c>
      <c r="F397" s="25" t="str">
        <f t="shared" si="25"/>
        <v>FLYING MACHINE</v>
      </c>
      <c r="G397" s="24">
        <v>1</v>
      </c>
      <c r="H397" s="25" t="str">
        <f t="shared" si="26"/>
        <v>Pcs.</v>
      </c>
      <c r="I397" s="26">
        <v>2436.5700000000002</v>
      </c>
      <c r="J397" s="27">
        <f t="shared" si="27"/>
        <v>2436.5700000000002</v>
      </c>
    </row>
    <row r="398" spans="1:10" x14ac:dyDescent="0.3">
      <c r="A398" s="23" t="str">
        <f t="shared" si="24"/>
        <v>01-05-2026</v>
      </c>
      <c r="B398" s="24" t="s">
        <v>36</v>
      </c>
      <c r="C398" s="4">
        <v>8909286823520</v>
      </c>
      <c r="D398" s="24">
        <v>32</v>
      </c>
      <c r="E398" s="24" t="s">
        <v>69</v>
      </c>
      <c r="F398" s="25" t="str">
        <f t="shared" si="25"/>
        <v>FLYING MACHINE</v>
      </c>
      <c r="G398" s="24">
        <v>2</v>
      </c>
      <c r="H398" s="25" t="str">
        <f t="shared" si="26"/>
        <v>Pcs.</v>
      </c>
      <c r="I398" s="26">
        <v>2436.5700000000002</v>
      </c>
      <c r="J398" s="27">
        <f t="shared" si="27"/>
        <v>4873.1400000000003</v>
      </c>
    </row>
    <row r="399" spans="1:10" x14ac:dyDescent="0.3">
      <c r="A399" s="23" t="str">
        <f t="shared" si="24"/>
        <v>01-05-2026</v>
      </c>
      <c r="B399" s="24" t="s">
        <v>36</v>
      </c>
      <c r="C399" s="4">
        <v>8909286823537</v>
      </c>
      <c r="D399" s="24">
        <v>34</v>
      </c>
      <c r="E399" s="24" t="s">
        <v>69</v>
      </c>
      <c r="F399" s="25" t="str">
        <f t="shared" si="25"/>
        <v>FLYING MACHINE</v>
      </c>
      <c r="G399" s="24">
        <v>4</v>
      </c>
      <c r="H399" s="25" t="str">
        <f t="shared" si="26"/>
        <v>Pcs.</v>
      </c>
      <c r="I399" s="26">
        <v>2436.5700000000002</v>
      </c>
      <c r="J399" s="27">
        <f t="shared" si="27"/>
        <v>9746.2800000000007</v>
      </c>
    </row>
    <row r="400" spans="1:10" x14ac:dyDescent="0.3">
      <c r="A400" s="23" t="str">
        <f t="shared" si="24"/>
        <v>01-05-2026</v>
      </c>
      <c r="B400" s="24" t="s">
        <v>36</v>
      </c>
      <c r="C400" s="4">
        <v>8909286823636</v>
      </c>
      <c r="D400" s="24">
        <v>28</v>
      </c>
      <c r="E400" s="24" t="s">
        <v>126</v>
      </c>
      <c r="F400" s="25" t="str">
        <f t="shared" si="25"/>
        <v>FLYING MACHINE</v>
      </c>
      <c r="G400" s="24">
        <v>1</v>
      </c>
      <c r="H400" s="25" t="str">
        <f t="shared" si="26"/>
        <v>Pcs.</v>
      </c>
      <c r="I400" s="26">
        <v>3475.7400000000002</v>
      </c>
      <c r="J400" s="27">
        <f t="shared" si="27"/>
        <v>3475.7400000000002</v>
      </c>
    </row>
    <row r="401" spans="1:10" x14ac:dyDescent="0.3">
      <c r="A401" s="23" t="str">
        <f t="shared" si="24"/>
        <v>01-05-2026</v>
      </c>
      <c r="B401" s="24" t="s">
        <v>36</v>
      </c>
      <c r="C401" s="4">
        <v>8909286823643</v>
      </c>
      <c r="D401" s="24">
        <v>30</v>
      </c>
      <c r="E401" s="24" t="s">
        <v>126</v>
      </c>
      <c r="F401" s="25" t="str">
        <f t="shared" si="25"/>
        <v>FLYING MACHINE</v>
      </c>
      <c r="G401" s="24">
        <v>2</v>
      </c>
      <c r="H401" s="25" t="str">
        <f t="shared" si="26"/>
        <v>Pcs.</v>
      </c>
      <c r="I401" s="26">
        <v>3475.7400000000002</v>
      </c>
      <c r="J401" s="27">
        <f t="shared" si="27"/>
        <v>6951.4800000000005</v>
      </c>
    </row>
    <row r="402" spans="1:10" x14ac:dyDescent="0.3">
      <c r="A402" s="23" t="str">
        <f t="shared" si="24"/>
        <v>01-05-2026</v>
      </c>
      <c r="B402" s="24" t="s">
        <v>36</v>
      </c>
      <c r="C402" s="4">
        <v>8909286823650</v>
      </c>
      <c r="D402" s="24">
        <v>32</v>
      </c>
      <c r="E402" s="24" t="s">
        <v>126</v>
      </c>
      <c r="F402" s="25" t="str">
        <f t="shared" si="25"/>
        <v>FLYING MACHINE</v>
      </c>
      <c r="G402" s="24">
        <v>2</v>
      </c>
      <c r="H402" s="25" t="str">
        <f t="shared" si="26"/>
        <v>Pcs.</v>
      </c>
      <c r="I402" s="26">
        <v>3475.7400000000002</v>
      </c>
      <c r="J402" s="27">
        <f t="shared" si="27"/>
        <v>6951.4800000000005</v>
      </c>
    </row>
    <row r="403" spans="1:10" x14ac:dyDescent="0.3">
      <c r="A403" s="23" t="str">
        <f t="shared" si="24"/>
        <v>01-05-2026</v>
      </c>
      <c r="B403" s="24" t="s">
        <v>36</v>
      </c>
      <c r="C403" s="4">
        <v>8909286823667</v>
      </c>
      <c r="D403" s="24">
        <v>34</v>
      </c>
      <c r="E403" s="24" t="s">
        <v>126</v>
      </c>
      <c r="F403" s="25" t="str">
        <f t="shared" si="25"/>
        <v>FLYING MACHINE</v>
      </c>
      <c r="G403" s="24">
        <v>3</v>
      </c>
      <c r="H403" s="25" t="str">
        <f t="shared" si="26"/>
        <v>Pcs.</v>
      </c>
      <c r="I403" s="26">
        <v>3475.7400000000002</v>
      </c>
      <c r="J403" s="27">
        <f t="shared" si="27"/>
        <v>10427.220000000001</v>
      </c>
    </row>
    <row r="404" spans="1:10" x14ac:dyDescent="0.3">
      <c r="A404" s="23" t="str">
        <f t="shared" si="24"/>
        <v>01-05-2026</v>
      </c>
      <c r="B404" s="24" t="s">
        <v>36</v>
      </c>
      <c r="C404" s="4">
        <v>8909286823773</v>
      </c>
      <c r="D404" s="24">
        <v>30</v>
      </c>
      <c r="E404" s="24" t="s">
        <v>254</v>
      </c>
      <c r="F404" s="25" t="str">
        <f t="shared" si="25"/>
        <v>FLYING MACHINE</v>
      </c>
      <c r="G404" s="24">
        <v>2</v>
      </c>
      <c r="H404" s="25" t="str">
        <f t="shared" si="26"/>
        <v>Pcs.</v>
      </c>
      <c r="I404" s="26">
        <v>3475.7400000000002</v>
      </c>
      <c r="J404" s="27">
        <f t="shared" si="27"/>
        <v>6951.4800000000005</v>
      </c>
    </row>
    <row r="405" spans="1:10" x14ac:dyDescent="0.3">
      <c r="A405" s="23" t="str">
        <f t="shared" si="24"/>
        <v>01-05-2026</v>
      </c>
      <c r="B405" s="24" t="s">
        <v>36</v>
      </c>
      <c r="C405" s="4">
        <v>8909286823780</v>
      </c>
      <c r="D405" s="24">
        <v>32</v>
      </c>
      <c r="E405" s="24" t="s">
        <v>254</v>
      </c>
      <c r="F405" s="25" t="str">
        <f t="shared" si="25"/>
        <v>FLYING MACHINE</v>
      </c>
      <c r="G405" s="24">
        <v>2</v>
      </c>
      <c r="H405" s="25" t="str">
        <f t="shared" si="26"/>
        <v>Pcs.</v>
      </c>
      <c r="I405" s="26">
        <v>3475.7400000000002</v>
      </c>
      <c r="J405" s="27">
        <f t="shared" si="27"/>
        <v>6951.4800000000005</v>
      </c>
    </row>
    <row r="406" spans="1:10" x14ac:dyDescent="0.3">
      <c r="A406" s="23" t="str">
        <f t="shared" si="24"/>
        <v>01-05-2026</v>
      </c>
      <c r="B406" s="24" t="s">
        <v>36</v>
      </c>
      <c r="C406" s="4">
        <v>8909286823797</v>
      </c>
      <c r="D406" s="24">
        <v>34</v>
      </c>
      <c r="E406" s="24" t="s">
        <v>254</v>
      </c>
      <c r="F406" s="25" t="str">
        <f t="shared" si="25"/>
        <v>FLYING MACHINE</v>
      </c>
      <c r="G406" s="24">
        <v>2</v>
      </c>
      <c r="H406" s="25" t="str">
        <f t="shared" si="26"/>
        <v>Pcs.</v>
      </c>
      <c r="I406" s="26">
        <v>3475.7400000000002</v>
      </c>
      <c r="J406" s="27">
        <f t="shared" si="27"/>
        <v>6951.4800000000005</v>
      </c>
    </row>
    <row r="407" spans="1:10" x14ac:dyDescent="0.3">
      <c r="A407" s="23" t="str">
        <f t="shared" si="24"/>
        <v>01-05-2026</v>
      </c>
      <c r="B407" s="24" t="s">
        <v>36</v>
      </c>
      <c r="C407" s="4">
        <v>8909286823803</v>
      </c>
      <c r="D407" s="24">
        <v>36</v>
      </c>
      <c r="E407" s="24" t="s">
        <v>254</v>
      </c>
      <c r="F407" s="25" t="str">
        <f t="shared" si="25"/>
        <v>FLYING MACHINE</v>
      </c>
      <c r="G407" s="24">
        <v>1</v>
      </c>
      <c r="H407" s="25" t="str">
        <f t="shared" si="26"/>
        <v>Pcs.</v>
      </c>
      <c r="I407" s="26">
        <v>3475.7400000000002</v>
      </c>
      <c r="J407" s="27">
        <f t="shared" si="27"/>
        <v>3475.7400000000002</v>
      </c>
    </row>
    <row r="408" spans="1:10" x14ac:dyDescent="0.3">
      <c r="A408" s="23" t="str">
        <f t="shared" si="24"/>
        <v>01-05-2026</v>
      </c>
      <c r="B408" s="24" t="s">
        <v>36</v>
      </c>
      <c r="C408" s="4">
        <v>8909286823810</v>
      </c>
      <c r="D408" s="24">
        <v>38</v>
      </c>
      <c r="E408" s="24" t="s">
        <v>254</v>
      </c>
      <c r="F408" s="25" t="str">
        <f t="shared" si="25"/>
        <v>FLYING MACHINE</v>
      </c>
      <c r="G408" s="24">
        <v>1</v>
      </c>
      <c r="H408" s="25" t="str">
        <f t="shared" si="26"/>
        <v>Pcs.</v>
      </c>
      <c r="I408" s="26">
        <v>3475.7400000000002</v>
      </c>
      <c r="J408" s="27">
        <f t="shared" si="27"/>
        <v>3475.7400000000002</v>
      </c>
    </row>
    <row r="409" spans="1:10" x14ac:dyDescent="0.3">
      <c r="A409" s="23" t="str">
        <f t="shared" si="24"/>
        <v>01-05-2026</v>
      </c>
      <c r="B409" s="24" t="s">
        <v>36</v>
      </c>
      <c r="C409" s="4">
        <v>8909286823902</v>
      </c>
      <c r="D409" s="24">
        <v>30</v>
      </c>
      <c r="E409" s="24" t="s">
        <v>255</v>
      </c>
      <c r="F409" s="25" t="str">
        <f t="shared" si="25"/>
        <v>FLYING MACHINE</v>
      </c>
      <c r="G409" s="24">
        <v>1</v>
      </c>
      <c r="H409" s="25" t="str">
        <f t="shared" si="26"/>
        <v>Pcs.</v>
      </c>
      <c r="I409" s="26">
        <v>3475.7400000000002</v>
      </c>
      <c r="J409" s="27">
        <f t="shared" si="27"/>
        <v>3475.7400000000002</v>
      </c>
    </row>
    <row r="410" spans="1:10" x14ac:dyDescent="0.3">
      <c r="A410" s="23" t="str">
        <f t="shared" si="24"/>
        <v>01-05-2026</v>
      </c>
      <c r="B410" s="24" t="s">
        <v>36</v>
      </c>
      <c r="C410" s="4">
        <v>8909286823919</v>
      </c>
      <c r="D410" s="24">
        <v>32</v>
      </c>
      <c r="E410" s="24" t="s">
        <v>255</v>
      </c>
      <c r="F410" s="25" t="str">
        <f t="shared" si="25"/>
        <v>FLYING MACHINE</v>
      </c>
      <c r="G410" s="24">
        <v>2</v>
      </c>
      <c r="H410" s="25" t="str">
        <f t="shared" si="26"/>
        <v>Pcs.</v>
      </c>
      <c r="I410" s="26">
        <v>3475.7400000000002</v>
      </c>
      <c r="J410" s="27">
        <f t="shared" si="27"/>
        <v>6951.4800000000005</v>
      </c>
    </row>
    <row r="411" spans="1:10" x14ac:dyDescent="0.3">
      <c r="A411" s="23" t="str">
        <f t="shared" si="24"/>
        <v>01-05-2026</v>
      </c>
      <c r="B411" s="24" t="s">
        <v>36</v>
      </c>
      <c r="C411" s="4">
        <v>8909286823926</v>
      </c>
      <c r="D411" s="24">
        <v>34</v>
      </c>
      <c r="E411" s="24" t="s">
        <v>255</v>
      </c>
      <c r="F411" s="25" t="str">
        <f t="shared" si="25"/>
        <v>FLYING MACHINE</v>
      </c>
      <c r="G411" s="24">
        <v>2</v>
      </c>
      <c r="H411" s="25" t="str">
        <f t="shared" si="26"/>
        <v>Pcs.</v>
      </c>
      <c r="I411" s="26">
        <v>3475.7400000000002</v>
      </c>
      <c r="J411" s="27">
        <f t="shared" si="27"/>
        <v>6951.4800000000005</v>
      </c>
    </row>
    <row r="412" spans="1:10" x14ac:dyDescent="0.3">
      <c r="A412" s="23" t="str">
        <f t="shared" si="24"/>
        <v>01-05-2026</v>
      </c>
      <c r="B412" s="24" t="s">
        <v>36</v>
      </c>
      <c r="C412" s="4">
        <v>8909286823933</v>
      </c>
      <c r="D412" s="24">
        <v>36</v>
      </c>
      <c r="E412" s="24" t="s">
        <v>255</v>
      </c>
      <c r="F412" s="25" t="str">
        <f t="shared" si="25"/>
        <v>FLYING MACHINE</v>
      </c>
      <c r="G412" s="24">
        <v>1</v>
      </c>
      <c r="H412" s="25" t="str">
        <f t="shared" si="26"/>
        <v>Pcs.</v>
      </c>
      <c r="I412" s="26">
        <v>3475.7400000000002</v>
      </c>
      <c r="J412" s="27">
        <f t="shared" si="27"/>
        <v>3475.7400000000002</v>
      </c>
    </row>
    <row r="413" spans="1:10" x14ac:dyDescent="0.3">
      <c r="A413" s="23" t="str">
        <f t="shared" si="24"/>
        <v>01-05-2026</v>
      </c>
      <c r="B413" s="24" t="s">
        <v>36</v>
      </c>
      <c r="C413" s="4">
        <v>8909286823940</v>
      </c>
      <c r="D413" s="24">
        <v>38</v>
      </c>
      <c r="E413" s="24" t="s">
        <v>255</v>
      </c>
      <c r="F413" s="25" t="str">
        <f t="shared" si="25"/>
        <v>FLYING MACHINE</v>
      </c>
      <c r="G413" s="24">
        <v>1</v>
      </c>
      <c r="H413" s="25" t="str">
        <f t="shared" si="26"/>
        <v>Pcs.</v>
      </c>
      <c r="I413" s="26">
        <v>3475.7400000000002</v>
      </c>
      <c r="J413" s="27">
        <f t="shared" si="27"/>
        <v>3475.7400000000002</v>
      </c>
    </row>
    <row r="414" spans="1:10" x14ac:dyDescent="0.3">
      <c r="A414" s="23" t="str">
        <f t="shared" si="24"/>
        <v>01-05-2026</v>
      </c>
      <c r="B414" s="24" t="s">
        <v>36</v>
      </c>
      <c r="C414" s="4">
        <v>8909286824039</v>
      </c>
      <c r="D414" s="24">
        <v>30</v>
      </c>
      <c r="E414" s="24" t="s">
        <v>256</v>
      </c>
      <c r="F414" s="25" t="str">
        <f t="shared" si="25"/>
        <v>FLYING MACHINE</v>
      </c>
      <c r="G414" s="24">
        <v>2</v>
      </c>
      <c r="H414" s="25" t="str">
        <f t="shared" si="26"/>
        <v>Pcs.</v>
      </c>
      <c r="I414" s="26">
        <v>3686.45</v>
      </c>
      <c r="J414" s="27">
        <f t="shared" si="27"/>
        <v>7372.9</v>
      </c>
    </row>
    <row r="415" spans="1:10" x14ac:dyDescent="0.3">
      <c r="A415" s="23" t="str">
        <f t="shared" si="24"/>
        <v>01-05-2026</v>
      </c>
      <c r="B415" s="24" t="s">
        <v>36</v>
      </c>
      <c r="C415" s="4">
        <v>8909286824046</v>
      </c>
      <c r="D415" s="24">
        <v>32</v>
      </c>
      <c r="E415" s="24" t="s">
        <v>256</v>
      </c>
      <c r="F415" s="25" t="str">
        <f t="shared" si="25"/>
        <v>FLYING MACHINE</v>
      </c>
      <c r="G415" s="24">
        <v>2</v>
      </c>
      <c r="H415" s="25" t="str">
        <f t="shared" si="26"/>
        <v>Pcs.</v>
      </c>
      <c r="I415" s="26">
        <v>3686.45</v>
      </c>
      <c r="J415" s="27">
        <f t="shared" si="27"/>
        <v>7372.9</v>
      </c>
    </row>
    <row r="416" spans="1:10" x14ac:dyDescent="0.3">
      <c r="A416" s="23" t="str">
        <f t="shared" si="24"/>
        <v>01-05-2026</v>
      </c>
      <c r="B416" s="24" t="s">
        <v>36</v>
      </c>
      <c r="C416" s="4">
        <v>8909286824053</v>
      </c>
      <c r="D416" s="24">
        <v>34</v>
      </c>
      <c r="E416" s="24" t="s">
        <v>256</v>
      </c>
      <c r="F416" s="25" t="str">
        <f t="shared" si="25"/>
        <v>FLYING MACHINE</v>
      </c>
      <c r="G416" s="24">
        <v>2</v>
      </c>
      <c r="H416" s="25" t="str">
        <f t="shared" si="26"/>
        <v>Pcs.</v>
      </c>
      <c r="I416" s="26">
        <v>3686.45</v>
      </c>
      <c r="J416" s="27">
        <f t="shared" si="27"/>
        <v>7372.9</v>
      </c>
    </row>
    <row r="417" spans="1:10" x14ac:dyDescent="0.3">
      <c r="A417" s="23" t="str">
        <f t="shared" si="24"/>
        <v>01-05-2026</v>
      </c>
      <c r="B417" s="24" t="s">
        <v>36</v>
      </c>
      <c r="C417" s="4">
        <v>8909286824060</v>
      </c>
      <c r="D417" s="24">
        <v>36</v>
      </c>
      <c r="E417" s="24" t="s">
        <v>256</v>
      </c>
      <c r="F417" s="25" t="str">
        <f t="shared" si="25"/>
        <v>FLYING MACHINE</v>
      </c>
      <c r="G417" s="24">
        <v>1</v>
      </c>
      <c r="H417" s="25" t="str">
        <f t="shared" si="26"/>
        <v>Pcs.</v>
      </c>
      <c r="I417" s="26">
        <v>3686.45</v>
      </c>
      <c r="J417" s="27">
        <f t="shared" si="27"/>
        <v>3686.45</v>
      </c>
    </row>
    <row r="418" spans="1:10" x14ac:dyDescent="0.3">
      <c r="A418" s="23" t="str">
        <f t="shared" si="24"/>
        <v>01-05-2026</v>
      </c>
      <c r="B418" s="24" t="s">
        <v>36</v>
      </c>
      <c r="C418" s="4">
        <v>8909286824077</v>
      </c>
      <c r="D418" s="24">
        <v>38</v>
      </c>
      <c r="E418" s="24" t="s">
        <v>256</v>
      </c>
      <c r="F418" s="25" t="str">
        <f t="shared" si="25"/>
        <v>FLYING MACHINE</v>
      </c>
      <c r="G418" s="24">
        <v>1</v>
      </c>
      <c r="H418" s="25" t="str">
        <f t="shared" si="26"/>
        <v>Pcs.</v>
      </c>
      <c r="I418" s="26">
        <v>3686.45</v>
      </c>
      <c r="J418" s="27">
        <f t="shared" si="27"/>
        <v>3686.45</v>
      </c>
    </row>
    <row r="419" spans="1:10" x14ac:dyDescent="0.3">
      <c r="A419" s="23" t="str">
        <f t="shared" si="24"/>
        <v>01-05-2026</v>
      </c>
      <c r="B419" s="24" t="s">
        <v>36</v>
      </c>
      <c r="C419" s="4">
        <v>8909286825340</v>
      </c>
      <c r="D419" s="24">
        <v>32</v>
      </c>
      <c r="E419" s="24" t="s">
        <v>95</v>
      </c>
      <c r="F419" s="25" t="str">
        <f t="shared" si="25"/>
        <v>FLYING MACHINE</v>
      </c>
      <c r="G419" s="24">
        <v>1</v>
      </c>
      <c r="H419" s="25" t="str">
        <f t="shared" si="26"/>
        <v>Pcs.</v>
      </c>
      <c r="I419" s="26">
        <v>3475.7400000000002</v>
      </c>
      <c r="J419" s="27">
        <f t="shared" si="27"/>
        <v>3475.7400000000002</v>
      </c>
    </row>
    <row r="420" spans="1:10" x14ac:dyDescent="0.3">
      <c r="A420" s="23" t="str">
        <f t="shared" si="24"/>
        <v>01-05-2026</v>
      </c>
      <c r="B420" s="24" t="s">
        <v>36</v>
      </c>
      <c r="C420" s="4">
        <v>8909286825357</v>
      </c>
      <c r="D420" s="24">
        <v>34</v>
      </c>
      <c r="E420" s="24" t="s">
        <v>95</v>
      </c>
      <c r="F420" s="25" t="str">
        <f t="shared" si="25"/>
        <v>FLYING MACHINE</v>
      </c>
      <c r="G420" s="24">
        <v>2</v>
      </c>
      <c r="H420" s="25" t="str">
        <f t="shared" si="26"/>
        <v>Pcs.</v>
      </c>
      <c r="I420" s="26">
        <v>3475.7400000000002</v>
      </c>
      <c r="J420" s="27">
        <f t="shared" si="27"/>
        <v>6951.4800000000005</v>
      </c>
    </row>
    <row r="421" spans="1:10" x14ac:dyDescent="0.3">
      <c r="A421" s="23" t="str">
        <f t="shared" si="24"/>
        <v>01-05-2026</v>
      </c>
      <c r="B421" s="24" t="s">
        <v>36</v>
      </c>
      <c r="C421" s="4">
        <v>8909286825463</v>
      </c>
      <c r="D421" s="24">
        <v>30</v>
      </c>
      <c r="E421" s="24" t="s">
        <v>84</v>
      </c>
      <c r="F421" s="25" t="str">
        <f t="shared" si="25"/>
        <v>FLYING MACHINE</v>
      </c>
      <c r="G421" s="24">
        <v>2</v>
      </c>
      <c r="H421" s="25" t="str">
        <f t="shared" si="26"/>
        <v>Pcs.</v>
      </c>
      <c r="I421" s="26">
        <v>3475.7400000000002</v>
      </c>
      <c r="J421" s="27">
        <f t="shared" si="27"/>
        <v>6951.4800000000005</v>
      </c>
    </row>
    <row r="422" spans="1:10" x14ac:dyDescent="0.3">
      <c r="A422" s="23" t="str">
        <f t="shared" si="24"/>
        <v>01-05-2026</v>
      </c>
      <c r="B422" s="24" t="s">
        <v>36</v>
      </c>
      <c r="C422" s="4">
        <v>8909286825470</v>
      </c>
      <c r="D422" s="24">
        <v>32</v>
      </c>
      <c r="E422" s="24" t="s">
        <v>84</v>
      </c>
      <c r="F422" s="25" t="str">
        <f t="shared" si="25"/>
        <v>FLYING MACHINE</v>
      </c>
      <c r="G422" s="24">
        <v>2</v>
      </c>
      <c r="H422" s="25" t="str">
        <f t="shared" si="26"/>
        <v>Pcs.</v>
      </c>
      <c r="I422" s="26">
        <v>3475.7400000000002</v>
      </c>
      <c r="J422" s="27">
        <f t="shared" si="27"/>
        <v>6951.4800000000005</v>
      </c>
    </row>
    <row r="423" spans="1:10" x14ac:dyDescent="0.3">
      <c r="A423" s="23" t="str">
        <f t="shared" si="24"/>
        <v>01-05-2026</v>
      </c>
      <c r="B423" s="24" t="s">
        <v>36</v>
      </c>
      <c r="C423" s="4">
        <v>8909286825487</v>
      </c>
      <c r="D423" s="24">
        <v>34</v>
      </c>
      <c r="E423" s="24" t="s">
        <v>84</v>
      </c>
      <c r="F423" s="25" t="str">
        <f t="shared" si="25"/>
        <v>FLYING MACHINE</v>
      </c>
      <c r="G423" s="24">
        <v>3</v>
      </c>
      <c r="H423" s="25" t="str">
        <f t="shared" si="26"/>
        <v>Pcs.</v>
      </c>
      <c r="I423" s="26">
        <v>3475.7400000000002</v>
      </c>
      <c r="J423" s="27">
        <f t="shared" si="27"/>
        <v>10427.220000000001</v>
      </c>
    </row>
    <row r="424" spans="1:10" x14ac:dyDescent="0.3">
      <c r="A424" s="23" t="str">
        <f t="shared" si="24"/>
        <v>01-05-2026</v>
      </c>
      <c r="B424" s="24" t="s">
        <v>36</v>
      </c>
      <c r="C424" s="4">
        <v>8909286825593</v>
      </c>
      <c r="D424" s="24">
        <v>30</v>
      </c>
      <c r="E424" s="24" t="s">
        <v>80</v>
      </c>
      <c r="F424" s="25" t="str">
        <f t="shared" si="25"/>
        <v>FLYING MACHINE</v>
      </c>
      <c r="G424" s="24">
        <v>1</v>
      </c>
      <c r="H424" s="25" t="str">
        <f t="shared" si="26"/>
        <v>Pcs.</v>
      </c>
      <c r="I424" s="26">
        <v>2436.5700000000002</v>
      </c>
      <c r="J424" s="27">
        <f t="shared" si="27"/>
        <v>2436.5700000000002</v>
      </c>
    </row>
    <row r="425" spans="1:10" x14ac:dyDescent="0.3">
      <c r="A425" s="23" t="str">
        <f t="shared" si="24"/>
        <v>01-05-2026</v>
      </c>
      <c r="B425" s="24" t="s">
        <v>36</v>
      </c>
      <c r="C425" s="4">
        <v>8909286825609</v>
      </c>
      <c r="D425" s="24">
        <v>32</v>
      </c>
      <c r="E425" s="24" t="s">
        <v>80</v>
      </c>
      <c r="F425" s="25" t="str">
        <f t="shared" si="25"/>
        <v>FLYING MACHINE</v>
      </c>
      <c r="G425" s="24">
        <v>1</v>
      </c>
      <c r="H425" s="25" t="str">
        <f t="shared" si="26"/>
        <v>Pcs.</v>
      </c>
      <c r="I425" s="26">
        <v>2436.5700000000002</v>
      </c>
      <c r="J425" s="27">
        <f t="shared" si="27"/>
        <v>2436.5700000000002</v>
      </c>
    </row>
    <row r="426" spans="1:10" x14ac:dyDescent="0.3">
      <c r="A426" s="23" t="str">
        <f t="shared" si="24"/>
        <v>01-05-2026</v>
      </c>
      <c r="B426" s="24" t="s">
        <v>36</v>
      </c>
      <c r="C426" s="4">
        <v>8909286825616</v>
      </c>
      <c r="D426" s="24">
        <v>34</v>
      </c>
      <c r="E426" s="24" t="s">
        <v>80</v>
      </c>
      <c r="F426" s="25" t="str">
        <f t="shared" si="25"/>
        <v>FLYING MACHINE</v>
      </c>
      <c r="G426" s="24">
        <v>1</v>
      </c>
      <c r="H426" s="25" t="str">
        <f t="shared" si="26"/>
        <v>Pcs.</v>
      </c>
      <c r="I426" s="26">
        <v>2436.5700000000002</v>
      </c>
      <c r="J426" s="27">
        <f t="shared" si="27"/>
        <v>2436.5700000000002</v>
      </c>
    </row>
    <row r="427" spans="1:10" x14ac:dyDescent="0.3">
      <c r="A427" s="23" t="str">
        <f t="shared" si="24"/>
        <v>01-05-2026</v>
      </c>
      <c r="B427" s="24" t="s">
        <v>36</v>
      </c>
      <c r="C427" s="4">
        <v>8909286828457</v>
      </c>
      <c r="D427" s="24">
        <v>30</v>
      </c>
      <c r="E427" s="24" t="s">
        <v>257</v>
      </c>
      <c r="F427" s="25" t="str">
        <f t="shared" si="25"/>
        <v>FLYING MACHINE</v>
      </c>
      <c r="G427" s="24">
        <v>2</v>
      </c>
      <c r="H427" s="25" t="str">
        <f t="shared" si="26"/>
        <v>Pcs.</v>
      </c>
      <c r="I427" s="26">
        <v>2436.5700000000002</v>
      </c>
      <c r="J427" s="27">
        <f t="shared" si="27"/>
        <v>4873.1400000000003</v>
      </c>
    </row>
    <row r="428" spans="1:10" x14ac:dyDescent="0.3">
      <c r="A428" s="23" t="str">
        <f t="shared" si="24"/>
        <v>01-05-2026</v>
      </c>
      <c r="B428" s="24" t="s">
        <v>36</v>
      </c>
      <c r="C428" s="4">
        <v>8909286828464</v>
      </c>
      <c r="D428" s="24">
        <v>32</v>
      </c>
      <c r="E428" s="24" t="s">
        <v>257</v>
      </c>
      <c r="F428" s="25" t="str">
        <f t="shared" si="25"/>
        <v>FLYING MACHINE</v>
      </c>
      <c r="G428" s="24">
        <v>2</v>
      </c>
      <c r="H428" s="25" t="str">
        <f t="shared" si="26"/>
        <v>Pcs.</v>
      </c>
      <c r="I428" s="26">
        <v>2436.5700000000002</v>
      </c>
      <c r="J428" s="27">
        <f t="shared" si="27"/>
        <v>4873.1400000000003</v>
      </c>
    </row>
    <row r="429" spans="1:10" x14ac:dyDescent="0.3">
      <c r="A429" s="23" t="str">
        <f t="shared" si="24"/>
        <v>01-05-2026</v>
      </c>
      <c r="B429" s="24" t="s">
        <v>36</v>
      </c>
      <c r="C429" s="4">
        <v>8909286828471</v>
      </c>
      <c r="D429" s="24">
        <v>34</v>
      </c>
      <c r="E429" s="24" t="s">
        <v>257</v>
      </c>
      <c r="F429" s="25" t="str">
        <f t="shared" si="25"/>
        <v>FLYING MACHINE</v>
      </c>
      <c r="G429" s="24">
        <v>1</v>
      </c>
      <c r="H429" s="25" t="str">
        <f t="shared" si="26"/>
        <v>Pcs.</v>
      </c>
      <c r="I429" s="26">
        <v>2436.5700000000002</v>
      </c>
      <c r="J429" s="27">
        <f t="shared" si="27"/>
        <v>2436.5700000000002</v>
      </c>
    </row>
    <row r="430" spans="1:10" x14ac:dyDescent="0.3">
      <c r="A430" s="23" t="str">
        <f t="shared" si="24"/>
        <v>01-05-2026</v>
      </c>
      <c r="B430" s="24" t="s">
        <v>36</v>
      </c>
      <c r="C430" s="4">
        <v>8909286828488</v>
      </c>
      <c r="D430" s="24">
        <v>36</v>
      </c>
      <c r="E430" s="24" t="s">
        <v>257</v>
      </c>
      <c r="F430" s="25" t="str">
        <f t="shared" si="25"/>
        <v>FLYING MACHINE</v>
      </c>
      <c r="G430" s="24">
        <v>1</v>
      </c>
      <c r="H430" s="25" t="str">
        <f t="shared" si="26"/>
        <v>Pcs.</v>
      </c>
      <c r="I430" s="26">
        <v>2436.5700000000002</v>
      </c>
      <c r="J430" s="27">
        <f t="shared" si="27"/>
        <v>2436.5700000000002</v>
      </c>
    </row>
    <row r="431" spans="1:10" x14ac:dyDescent="0.3">
      <c r="A431" s="23" t="str">
        <f t="shared" si="24"/>
        <v>01-05-2026</v>
      </c>
      <c r="B431" s="24" t="s">
        <v>36</v>
      </c>
      <c r="C431" s="4">
        <v>8909286828709</v>
      </c>
      <c r="D431" s="24">
        <v>28</v>
      </c>
      <c r="E431" s="24" t="s">
        <v>85</v>
      </c>
      <c r="F431" s="25" t="str">
        <f t="shared" si="25"/>
        <v>FLYING MACHINE</v>
      </c>
      <c r="G431" s="24">
        <v>1</v>
      </c>
      <c r="H431" s="25" t="str">
        <f t="shared" si="26"/>
        <v>Pcs.</v>
      </c>
      <c r="I431" s="26">
        <v>2436.5700000000002</v>
      </c>
      <c r="J431" s="27">
        <f t="shared" si="27"/>
        <v>2436.5700000000002</v>
      </c>
    </row>
    <row r="432" spans="1:10" x14ac:dyDescent="0.3">
      <c r="A432" s="23" t="str">
        <f t="shared" si="24"/>
        <v>01-05-2026</v>
      </c>
      <c r="B432" s="24" t="s">
        <v>36</v>
      </c>
      <c r="C432" s="4">
        <v>8909286828716</v>
      </c>
      <c r="D432" s="24">
        <v>30</v>
      </c>
      <c r="E432" s="24" t="s">
        <v>85</v>
      </c>
      <c r="F432" s="25" t="str">
        <f t="shared" si="25"/>
        <v>FLYING MACHINE</v>
      </c>
      <c r="G432" s="24">
        <v>1</v>
      </c>
      <c r="H432" s="25" t="str">
        <f t="shared" si="26"/>
        <v>Pcs.</v>
      </c>
      <c r="I432" s="26">
        <v>2436.5700000000002</v>
      </c>
      <c r="J432" s="27">
        <f t="shared" si="27"/>
        <v>2436.5700000000002</v>
      </c>
    </row>
    <row r="433" spans="1:10" x14ac:dyDescent="0.3">
      <c r="A433" s="23" t="str">
        <f t="shared" si="24"/>
        <v>01-05-2026</v>
      </c>
      <c r="B433" s="24" t="s">
        <v>36</v>
      </c>
      <c r="C433" s="4">
        <v>8909286828723</v>
      </c>
      <c r="D433" s="24">
        <v>32</v>
      </c>
      <c r="E433" s="24" t="s">
        <v>85</v>
      </c>
      <c r="F433" s="25" t="str">
        <f t="shared" si="25"/>
        <v>FLYING MACHINE</v>
      </c>
      <c r="G433" s="24">
        <v>2</v>
      </c>
      <c r="H433" s="25" t="str">
        <f t="shared" si="26"/>
        <v>Pcs.</v>
      </c>
      <c r="I433" s="26">
        <v>2436.5700000000002</v>
      </c>
      <c r="J433" s="27">
        <f t="shared" si="27"/>
        <v>4873.1400000000003</v>
      </c>
    </row>
    <row r="434" spans="1:10" x14ac:dyDescent="0.3">
      <c r="A434" s="23" t="str">
        <f t="shared" si="24"/>
        <v>01-05-2026</v>
      </c>
      <c r="B434" s="24" t="s">
        <v>36</v>
      </c>
      <c r="C434" s="4">
        <v>8909286828730</v>
      </c>
      <c r="D434" s="24">
        <v>34</v>
      </c>
      <c r="E434" s="24" t="s">
        <v>85</v>
      </c>
      <c r="F434" s="25" t="str">
        <f t="shared" si="25"/>
        <v>FLYING MACHINE</v>
      </c>
      <c r="G434" s="24">
        <v>3</v>
      </c>
      <c r="H434" s="25" t="str">
        <f t="shared" si="26"/>
        <v>Pcs.</v>
      </c>
      <c r="I434" s="26">
        <v>2436.5700000000002</v>
      </c>
      <c r="J434" s="27">
        <f t="shared" si="27"/>
        <v>7309.7100000000009</v>
      </c>
    </row>
    <row r="435" spans="1:10" x14ac:dyDescent="0.3">
      <c r="A435" s="23" t="str">
        <f t="shared" si="24"/>
        <v>01-05-2026</v>
      </c>
      <c r="B435" s="24" t="s">
        <v>36</v>
      </c>
      <c r="C435" s="4">
        <v>8909286828969</v>
      </c>
      <c r="D435" s="24">
        <v>28</v>
      </c>
      <c r="E435" s="24" t="s">
        <v>258</v>
      </c>
      <c r="F435" s="25" t="str">
        <f t="shared" si="25"/>
        <v>FLYING MACHINE</v>
      </c>
      <c r="G435" s="24">
        <v>1</v>
      </c>
      <c r="H435" s="25" t="str">
        <f t="shared" si="26"/>
        <v>Pcs.</v>
      </c>
      <c r="I435" s="26">
        <v>2436.5700000000002</v>
      </c>
      <c r="J435" s="27">
        <f t="shared" si="27"/>
        <v>2436.5700000000002</v>
      </c>
    </row>
    <row r="436" spans="1:10" x14ac:dyDescent="0.3">
      <c r="A436" s="23" t="str">
        <f t="shared" si="24"/>
        <v>01-05-2026</v>
      </c>
      <c r="B436" s="24" t="s">
        <v>36</v>
      </c>
      <c r="C436" s="4">
        <v>8909286828976</v>
      </c>
      <c r="D436" s="24">
        <v>30</v>
      </c>
      <c r="E436" s="24" t="s">
        <v>258</v>
      </c>
      <c r="F436" s="25" t="str">
        <f t="shared" si="25"/>
        <v>FLYING MACHINE</v>
      </c>
      <c r="G436" s="24">
        <v>2</v>
      </c>
      <c r="H436" s="25" t="str">
        <f t="shared" si="26"/>
        <v>Pcs.</v>
      </c>
      <c r="I436" s="26">
        <v>2436.5700000000002</v>
      </c>
      <c r="J436" s="27">
        <f t="shared" si="27"/>
        <v>4873.1400000000003</v>
      </c>
    </row>
    <row r="437" spans="1:10" x14ac:dyDescent="0.3">
      <c r="A437" s="23" t="str">
        <f t="shared" si="24"/>
        <v>01-05-2026</v>
      </c>
      <c r="B437" s="24" t="s">
        <v>36</v>
      </c>
      <c r="C437" s="4">
        <v>8909286828983</v>
      </c>
      <c r="D437" s="24">
        <v>32</v>
      </c>
      <c r="E437" s="24" t="s">
        <v>258</v>
      </c>
      <c r="F437" s="25" t="str">
        <f t="shared" si="25"/>
        <v>FLYING MACHINE</v>
      </c>
      <c r="G437" s="24">
        <v>2</v>
      </c>
      <c r="H437" s="25" t="str">
        <f t="shared" si="26"/>
        <v>Pcs.</v>
      </c>
      <c r="I437" s="26">
        <v>2436.5700000000002</v>
      </c>
      <c r="J437" s="27">
        <f t="shared" si="27"/>
        <v>4873.1400000000003</v>
      </c>
    </row>
    <row r="438" spans="1:10" x14ac:dyDescent="0.3">
      <c r="A438" s="23" t="str">
        <f t="shared" si="24"/>
        <v>01-05-2026</v>
      </c>
      <c r="B438" s="24" t="s">
        <v>36</v>
      </c>
      <c r="C438" s="4">
        <v>8909286828990</v>
      </c>
      <c r="D438" s="24">
        <v>34</v>
      </c>
      <c r="E438" s="24" t="s">
        <v>258</v>
      </c>
      <c r="F438" s="25" t="str">
        <f t="shared" si="25"/>
        <v>FLYING MACHINE</v>
      </c>
      <c r="G438" s="24">
        <v>4</v>
      </c>
      <c r="H438" s="25" t="str">
        <f t="shared" si="26"/>
        <v>Pcs.</v>
      </c>
      <c r="I438" s="26">
        <v>2436.5700000000002</v>
      </c>
      <c r="J438" s="27">
        <f t="shared" si="27"/>
        <v>9746.2800000000007</v>
      </c>
    </row>
    <row r="439" spans="1:10" x14ac:dyDescent="0.3">
      <c r="A439" s="23" t="str">
        <f t="shared" si="24"/>
        <v>01-05-2026</v>
      </c>
      <c r="B439" s="24" t="s">
        <v>36</v>
      </c>
      <c r="C439" s="4">
        <v>8909286829492</v>
      </c>
      <c r="D439" s="24">
        <v>30</v>
      </c>
      <c r="E439" s="24" t="s">
        <v>123</v>
      </c>
      <c r="F439" s="25" t="str">
        <f t="shared" si="25"/>
        <v>FLYING MACHINE</v>
      </c>
      <c r="G439" s="24">
        <v>2</v>
      </c>
      <c r="H439" s="25" t="str">
        <f t="shared" si="26"/>
        <v>Pcs.</v>
      </c>
      <c r="I439" s="26">
        <v>3475.7400000000002</v>
      </c>
      <c r="J439" s="27">
        <f t="shared" si="27"/>
        <v>6951.4800000000005</v>
      </c>
    </row>
    <row r="440" spans="1:10" x14ac:dyDescent="0.3">
      <c r="A440" s="23" t="str">
        <f t="shared" si="24"/>
        <v>01-05-2026</v>
      </c>
      <c r="B440" s="24" t="s">
        <v>36</v>
      </c>
      <c r="C440" s="4">
        <v>8909286829515</v>
      </c>
      <c r="D440" s="24">
        <v>34</v>
      </c>
      <c r="E440" s="24" t="s">
        <v>123</v>
      </c>
      <c r="F440" s="25" t="str">
        <f t="shared" si="25"/>
        <v>FLYING MACHINE</v>
      </c>
      <c r="G440" s="24">
        <v>2</v>
      </c>
      <c r="H440" s="25" t="str">
        <f t="shared" si="26"/>
        <v>Pcs.</v>
      </c>
      <c r="I440" s="26">
        <v>3475.7400000000002</v>
      </c>
      <c r="J440" s="27">
        <f t="shared" si="27"/>
        <v>6951.4800000000005</v>
      </c>
    </row>
    <row r="441" spans="1:10" x14ac:dyDescent="0.3">
      <c r="A441" s="23" t="str">
        <f t="shared" si="24"/>
        <v>01-05-2026</v>
      </c>
      <c r="B441" s="24" t="s">
        <v>36</v>
      </c>
      <c r="C441" s="4">
        <v>8909286830276</v>
      </c>
      <c r="D441" s="24">
        <v>30</v>
      </c>
      <c r="E441" s="24" t="s">
        <v>259</v>
      </c>
      <c r="F441" s="25" t="str">
        <f t="shared" si="25"/>
        <v>FLYING MACHINE</v>
      </c>
      <c r="G441" s="24">
        <v>2</v>
      </c>
      <c r="H441" s="25" t="str">
        <f t="shared" si="26"/>
        <v>Pcs.</v>
      </c>
      <c r="I441" s="26">
        <v>2061.56</v>
      </c>
      <c r="J441" s="27">
        <f t="shared" si="27"/>
        <v>4123.12</v>
      </c>
    </row>
    <row r="442" spans="1:10" x14ac:dyDescent="0.3">
      <c r="A442" s="23" t="str">
        <f t="shared" si="24"/>
        <v>01-05-2026</v>
      </c>
      <c r="B442" s="24" t="s">
        <v>36</v>
      </c>
      <c r="C442" s="4">
        <v>8909286830283</v>
      </c>
      <c r="D442" s="24">
        <v>32</v>
      </c>
      <c r="E442" s="24" t="s">
        <v>259</v>
      </c>
      <c r="F442" s="25" t="str">
        <f t="shared" si="25"/>
        <v>FLYING MACHINE</v>
      </c>
      <c r="G442" s="24">
        <v>2</v>
      </c>
      <c r="H442" s="25" t="str">
        <f t="shared" si="26"/>
        <v>Pcs.</v>
      </c>
      <c r="I442" s="26">
        <v>2061.56</v>
      </c>
      <c r="J442" s="27">
        <f t="shared" si="27"/>
        <v>4123.12</v>
      </c>
    </row>
    <row r="443" spans="1:10" x14ac:dyDescent="0.3">
      <c r="A443" s="23" t="str">
        <f t="shared" si="24"/>
        <v>01-05-2026</v>
      </c>
      <c r="B443" s="24" t="s">
        <v>36</v>
      </c>
      <c r="C443" s="4">
        <v>8909286830290</v>
      </c>
      <c r="D443" s="24">
        <v>34</v>
      </c>
      <c r="E443" s="24" t="s">
        <v>259</v>
      </c>
      <c r="F443" s="25" t="str">
        <f t="shared" si="25"/>
        <v>FLYING MACHINE</v>
      </c>
      <c r="G443" s="24">
        <v>2</v>
      </c>
      <c r="H443" s="25" t="str">
        <f t="shared" si="26"/>
        <v>Pcs.</v>
      </c>
      <c r="I443" s="26">
        <v>2061.56</v>
      </c>
      <c r="J443" s="27">
        <f t="shared" si="27"/>
        <v>4123.12</v>
      </c>
    </row>
    <row r="444" spans="1:10" x14ac:dyDescent="0.3">
      <c r="A444" s="23" t="str">
        <f t="shared" si="24"/>
        <v>01-05-2026</v>
      </c>
      <c r="B444" s="24" t="s">
        <v>36</v>
      </c>
      <c r="C444" s="4">
        <v>8909286830306</v>
      </c>
      <c r="D444" s="24">
        <v>36</v>
      </c>
      <c r="E444" s="24" t="s">
        <v>259</v>
      </c>
      <c r="F444" s="25" t="str">
        <f t="shared" si="25"/>
        <v>FLYING MACHINE</v>
      </c>
      <c r="G444" s="24">
        <v>1</v>
      </c>
      <c r="H444" s="25" t="str">
        <f t="shared" si="26"/>
        <v>Pcs.</v>
      </c>
      <c r="I444" s="26">
        <v>2061.56</v>
      </c>
      <c r="J444" s="27">
        <f t="shared" si="27"/>
        <v>2061.56</v>
      </c>
    </row>
    <row r="445" spans="1:10" x14ac:dyDescent="0.3">
      <c r="A445" s="23" t="str">
        <f t="shared" si="24"/>
        <v>01-05-2026</v>
      </c>
      <c r="B445" s="24" t="s">
        <v>36</v>
      </c>
      <c r="C445" s="4">
        <v>8909286830313</v>
      </c>
      <c r="D445" s="24">
        <v>38</v>
      </c>
      <c r="E445" s="24" t="s">
        <v>259</v>
      </c>
      <c r="F445" s="25" t="str">
        <f t="shared" si="25"/>
        <v>FLYING MACHINE</v>
      </c>
      <c r="G445" s="24">
        <v>1</v>
      </c>
      <c r="H445" s="25" t="str">
        <f t="shared" si="26"/>
        <v>Pcs.</v>
      </c>
      <c r="I445" s="26">
        <v>2061.56</v>
      </c>
      <c r="J445" s="27">
        <f t="shared" si="27"/>
        <v>2061.56</v>
      </c>
    </row>
    <row r="446" spans="1:10" x14ac:dyDescent="0.3">
      <c r="A446" s="23" t="str">
        <f t="shared" si="24"/>
        <v>01-05-2026</v>
      </c>
      <c r="B446" s="24" t="s">
        <v>36</v>
      </c>
      <c r="C446" s="4">
        <v>8909286831587</v>
      </c>
      <c r="D446" s="24">
        <v>32</v>
      </c>
      <c r="E446" s="24" t="s">
        <v>103</v>
      </c>
      <c r="F446" s="25" t="str">
        <f t="shared" si="25"/>
        <v>FLYING MACHINE</v>
      </c>
      <c r="G446" s="24">
        <v>2</v>
      </c>
      <c r="H446" s="25" t="str">
        <f t="shared" si="26"/>
        <v>Pcs.</v>
      </c>
      <c r="I446" s="26">
        <v>1874.06</v>
      </c>
      <c r="J446" s="27">
        <f t="shared" si="27"/>
        <v>3748.12</v>
      </c>
    </row>
    <row r="447" spans="1:10" x14ac:dyDescent="0.3">
      <c r="A447" s="23" t="str">
        <f t="shared" si="24"/>
        <v>01-05-2026</v>
      </c>
      <c r="B447" s="24" t="s">
        <v>36</v>
      </c>
      <c r="C447" s="4">
        <v>8909286831594</v>
      </c>
      <c r="D447" s="24">
        <v>34</v>
      </c>
      <c r="E447" s="24" t="s">
        <v>103</v>
      </c>
      <c r="F447" s="25" t="str">
        <f t="shared" si="25"/>
        <v>FLYING MACHINE</v>
      </c>
      <c r="G447" s="24">
        <v>2</v>
      </c>
      <c r="H447" s="25" t="str">
        <f t="shared" si="26"/>
        <v>Pcs.</v>
      </c>
      <c r="I447" s="26">
        <v>1874.06</v>
      </c>
      <c r="J447" s="27">
        <f t="shared" si="27"/>
        <v>3748.12</v>
      </c>
    </row>
    <row r="448" spans="1:10" x14ac:dyDescent="0.3">
      <c r="A448" s="23" t="str">
        <f t="shared" si="24"/>
        <v>01-05-2026</v>
      </c>
      <c r="B448" s="24" t="s">
        <v>36</v>
      </c>
      <c r="C448" s="4">
        <v>8909286831600</v>
      </c>
      <c r="D448" s="24">
        <v>36</v>
      </c>
      <c r="E448" s="24" t="s">
        <v>103</v>
      </c>
      <c r="F448" s="25" t="str">
        <f t="shared" si="25"/>
        <v>FLYING MACHINE</v>
      </c>
      <c r="G448" s="24">
        <v>1</v>
      </c>
      <c r="H448" s="25" t="str">
        <f t="shared" si="26"/>
        <v>Pcs.</v>
      </c>
      <c r="I448" s="26">
        <v>1874.06</v>
      </c>
      <c r="J448" s="27">
        <f t="shared" si="27"/>
        <v>1874.06</v>
      </c>
    </row>
    <row r="449" spans="1:10" x14ac:dyDescent="0.3">
      <c r="A449" s="23" t="str">
        <f t="shared" si="24"/>
        <v>01-05-2026</v>
      </c>
      <c r="B449" s="24" t="s">
        <v>36</v>
      </c>
      <c r="C449" s="4">
        <v>8909286831969</v>
      </c>
      <c r="D449" s="24">
        <v>30</v>
      </c>
      <c r="E449" s="24" t="s">
        <v>100</v>
      </c>
      <c r="F449" s="25" t="str">
        <f t="shared" si="25"/>
        <v>FLYING MACHINE</v>
      </c>
      <c r="G449" s="24">
        <v>1</v>
      </c>
      <c r="H449" s="25" t="str">
        <f t="shared" si="26"/>
        <v>Pcs.</v>
      </c>
      <c r="I449" s="26">
        <v>3475.7400000000002</v>
      </c>
      <c r="J449" s="27">
        <f t="shared" si="27"/>
        <v>3475.7400000000002</v>
      </c>
    </row>
    <row r="450" spans="1:10" x14ac:dyDescent="0.3">
      <c r="A450" s="23" t="str">
        <f t="shared" si="24"/>
        <v>01-05-2026</v>
      </c>
      <c r="B450" s="24" t="s">
        <v>36</v>
      </c>
      <c r="C450" s="4">
        <v>8909286831976</v>
      </c>
      <c r="D450" s="24">
        <v>32</v>
      </c>
      <c r="E450" s="24" t="s">
        <v>100</v>
      </c>
      <c r="F450" s="25" t="str">
        <f t="shared" si="25"/>
        <v>FLYING MACHINE</v>
      </c>
      <c r="G450" s="24">
        <v>2</v>
      </c>
      <c r="H450" s="25" t="str">
        <f t="shared" si="26"/>
        <v>Pcs.</v>
      </c>
      <c r="I450" s="26">
        <v>3475.7400000000002</v>
      </c>
      <c r="J450" s="27">
        <f t="shared" si="27"/>
        <v>6951.4800000000005</v>
      </c>
    </row>
    <row r="451" spans="1:10" x14ac:dyDescent="0.3">
      <c r="A451" s="23" t="str">
        <f t="shared" si="24"/>
        <v>01-05-2026</v>
      </c>
      <c r="B451" s="24" t="s">
        <v>36</v>
      </c>
      <c r="C451" s="4">
        <v>8909286831983</v>
      </c>
      <c r="D451" s="24">
        <v>34</v>
      </c>
      <c r="E451" s="24" t="s">
        <v>100</v>
      </c>
      <c r="F451" s="25" t="str">
        <f t="shared" si="25"/>
        <v>FLYING MACHINE</v>
      </c>
      <c r="G451" s="24">
        <v>1</v>
      </c>
      <c r="H451" s="25" t="str">
        <f t="shared" si="26"/>
        <v>Pcs.</v>
      </c>
      <c r="I451" s="26">
        <v>3475.7400000000002</v>
      </c>
      <c r="J451" s="27">
        <f t="shared" si="27"/>
        <v>3475.7400000000002</v>
      </c>
    </row>
    <row r="452" spans="1:10" x14ac:dyDescent="0.3">
      <c r="A452" s="23" t="str">
        <f t="shared" si="24"/>
        <v>01-05-2026</v>
      </c>
      <c r="B452" s="24" t="s">
        <v>36</v>
      </c>
      <c r="C452" s="4">
        <v>8909286832096</v>
      </c>
      <c r="D452" s="24">
        <v>30</v>
      </c>
      <c r="E452" s="24" t="s">
        <v>260</v>
      </c>
      <c r="F452" s="25" t="str">
        <f t="shared" si="25"/>
        <v>FLYING MACHINE</v>
      </c>
      <c r="G452" s="24">
        <v>2</v>
      </c>
      <c r="H452" s="25" t="str">
        <f t="shared" si="26"/>
        <v>Pcs.</v>
      </c>
      <c r="I452" s="26">
        <v>3475.7400000000002</v>
      </c>
      <c r="J452" s="27">
        <f t="shared" si="27"/>
        <v>6951.4800000000005</v>
      </c>
    </row>
    <row r="453" spans="1:10" x14ac:dyDescent="0.3">
      <c r="A453" s="23" t="str">
        <f t="shared" ref="A453:A516" si="28">IF(C453&gt;0,RIGHT($D$3,10)," ")</f>
        <v>01-05-2026</v>
      </c>
      <c r="B453" s="24" t="s">
        <v>36</v>
      </c>
      <c r="C453" s="4">
        <v>8909286832102</v>
      </c>
      <c r="D453" s="24">
        <v>32</v>
      </c>
      <c r="E453" s="24" t="s">
        <v>260</v>
      </c>
      <c r="F453" s="25" t="str">
        <f t="shared" ref="F453:F516" si="29">IF(C453&gt;0,$C$3," ")</f>
        <v>FLYING MACHINE</v>
      </c>
      <c r="G453" s="24">
        <v>2</v>
      </c>
      <c r="H453" s="25" t="str">
        <f t="shared" ref="H453:H516" si="30">IF(G453&gt;0,"Pcs."," ")</f>
        <v>Pcs.</v>
      </c>
      <c r="I453" s="26">
        <v>3475.7400000000002</v>
      </c>
      <c r="J453" s="27">
        <f t="shared" ref="J453:J516" si="31">IF(I453*G453=0," ",I453*G453)</f>
        <v>6951.4800000000005</v>
      </c>
    </row>
    <row r="454" spans="1:10" x14ac:dyDescent="0.3">
      <c r="A454" s="23" t="str">
        <f t="shared" si="28"/>
        <v>01-05-2026</v>
      </c>
      <c r="B454" s="24" t="s">
        <v>36</v>
      </c>
      <c r="C454" s="4">
        <v>8909286832119</v>
      </c>
      <c r="D454" s="24">
        <v>34</v>
      </c>
      <c r="E454" s="24" t="s">
        <v>260</v>
      </c>
      <c r="F454" s="25" t="str">
        <f t="shared" si="29"/>
        <v>FLYING MACHINE</v>
      </c>
      <c r="G454" s="24">
        <v>2</v>
      </c>
      <c r="H454" s="25" t="str">
        <f t="shared" si="30"/>
        <v>Pcs.</v>
      </c>
      <c r="I454" s="26">
        <v>3475.7400000000002</v>
      </c>
      <c r="J454" s="27">
        <f t="shared" si="31"/>
        <v>6951.4800000000005</v>
      </c>
    </row>
    <row r="455" spans="1:10" x14ac:dyDescent="0.3">
      <c r="A455" s="23" t="str">
        <f t="shared" si="28"/>
        <v>01-05-2026</v>
      </c>
      <c r="B455" s="24" t="s">
        <v>36</v>
      </c>
      <c r="C455" s="4">
        <v>8909286832126</v>
      </c>
      <c r="D455" s="24">
        <v>36</v>
      </c>
      <c r="E455" s="24" t="s">
        <v>260</v>
      </c>
      <c r="F455" s="25" t="str">
        <f t="shared" si="29"/>
        <v>FLYING MACHINE</v>
      </c>
      <c r="G455" s="24">
        <v>1</v>
      </c>
      <c r="H455" s="25" t="str">
        <f t="shared" si="30"/>
        <v>Pcs.</v>
      </c>
      <c r="I455" s="26">
        <v>3475.7400000000002</v>
      </c>
      <c r="J455" s="27">
        <f t="shared" si="31"/>
        <v>3475.7400000000002</v>
      </c>
    </row>
    <row r="456" spans="1:10" x14ac:dyDescent="0.3">
      <c r="A456" s="23" t="str">
        <f t="shared" si="28"/>
        <v>01-05-2026</v>
      </c>
      <c r="B456" s="24" t="s">
        <v>36</v>
      </c>
      <c r="C456" s="4">
        <v>8909286837251</v>
      </c>
      <c r="D456" s="24">
        <v>30</v>
      </c>
      <c r="E456" s="24" t="s">
        <v>120</v>
      </c>
      <c r="F456" s="25" t="str">
        <f t="shared" si="29"/>
        <v>FLYING MACHINE</v>
      </c>
      <c r="G456" s="24">
        <v>1</v>
      </c>
      <c r="H456" s="25" t="str">
        <f t="shared" si="30"/>
        <v>Pcs.</v>
      </c>
      <c r="I456" s="26">
        <v>2436.5700000000002</v>
      </c>
      <c r="J456" s="27">
        <f t="shared" si="31"/>
        <v>2436.5700000000002</v>
      </c>
    </row>
    <row r="457" spans="1:10" x14ac:dyDescent="0.3">
      <c r="A457" s="23" t="str">
        <f t="shared" si="28"/>
        <v>01-05-2026</v>
      </c>
      <c r="B457" s="24" t="s">
        <v>36</v>
      </c>
      <c r="C457" s="4">
        <v>8909286837268</v>
      </c>
      <c r="D457" s="24">
        <v>32</v>
      </c>
      <c r="E457" s="24" t="s">
        <v>120</v>
      </c>
      <c r="F457" s="25" t="str">
        <f t="shared" si="29"/>
        <v>FLYING MACHINE</v>
      </c>
      <c r="G457" s="24">
        <v>1</v>
      </c>
      <c r="H457" s="25" t="str">
        <f t="shared" si="30"/>
        <v>Pcs.</v>
      </c>
      <c r="I457" s="26">
        <v>2436.5700000000002</v>
      </c>
      <c r="J457" s="27">
        <f t="shared" si="31"/>
        <v>2436.5700000000002</v>
      </c>
    </row>
    <row r="458" spans="1:10" x14ac:dyDescent="0.3">
      <c r="A458" s="23" t="str">
        <f t="shared" si="28"/>
        <v>01-05-2026</v>
      </c>
      <c r="B458" s="24" t="s">
        <v>36</v>
      </c>
      <c r="C458" s="4">
        <v>8909286837275</v>
      </c>
      <c r="D458" s="24">
        <v>34</v>
      </c>
      <c r="E458" s="24" t="s">
        <v>120</v>
      </c>
      <c r="F458" s="25" t="str">
        <f t="shared" si="29"/>
        <v>FLYING MACHINE</v>
      </c>
      <c r="G458" s="24">
        <v>2</v>
      </c>
      <c r="H458" s="25" t="str">
        <f t="shared" si="30"/>
        <v>Pcs.</v>
      </c>
      <c r="I458" s="26">
        <v>2436.5700000000002</v>
      </c>
      <c r="J458" s="27">
        <f t="shared" si="31"/>
        <v>4873.1400000000003</v>
      </c>
    </row>
    <row r="459" spans="1:10" x14ac:dyDescent="0.3">
      <c r="A459" s="23" t="str">
        <f t="shared" si="28"/>
        <v>01-05-2026</v>
      </c>
      <c r="B459" s="24" t="s">
        <v>36</v>
      </c>
      <c r="C459" s="4">
        <v>8909286865100</v>
      </c>
      <c r="D459" s="24">
        <v>28</v>
      </c>
      <c r="E459" s="24" t="s">
        <v>115</v>
      </c>
      <c r="F459" s="25" t="str">
        <f t="shared" si="29"/>
        <v>FLYING MACHINE</v>
      </c>
      <c r="G459" s="24">
        <v>1</v>
      </c>
      <c r="H459" s="25" t="str">
        <f t="shared" si="30"/>
        <v>Pcs.</v>
      </c>
      <c r="I459" s="26">
        <v>2436.5700000000002</v>
      </c>
      <c r="J459" s="27">
        <f t="shared" si="31"/>
        <v>2436.5700000000002</v>
      </c>
    </row>
    <row r="460" spans="1:10" x14ac:dyDescent="0.3">
      <c r="A460" s="23" t="str">
        <f t="shared" si="28"/>
        <v>01-05-2026</v>
      </c>
      <c r="B460" s="24" t="s">
        <v>36</v>
      </c>
      <c r="C460" s="4">
        <v>8909286865117</v>
      </c>
      <c r="D460" s="24">
        <v>30</v>
      </c>
      <c r="E460" s="24" t="s">
        <v>115</v>
      </c>
      <c r="F460" s="25" t="str">
        <f t="shared" si="29"/>
        <v>FLYING MACHINE</v>
      </c>
      <c r="G460" s="24">
        <v>1</v>
      </c>
      <c r="H460" s="25" t="str">
        <f t="shared" si="30"/>
        <v>Pcs.</v>
      </c>
      <c r="I460" s="26">
        <v>2436.5700000000002</v>
      </c>
      <c r="J460" s="27">
        <f t="shared" si="31"/>
        <v>2436.5700000000002</v>
      </c>
    </row>
    <row r="461" spans="1:10" x14ac:dyDescent="0.3">
      <c r="A461" s="23" t="str">
        <f t="shared" si="28"/>
        <v>01-05-2026</v>
      </c>
      <c r="B461" s="24" t="s">
        <v>36</v>
      </c>
      <c r="C461" s="4">
        <v>8909286865124</v>
      </c>
      <c r="D461" s="24">
        <v>32</v>
      </c>
      <c r="E461" s="24" t="s">
        <v>115</v>
      </c>
      <c r="F461" s="25" t="str">
        <f t="shared" si="29"/>
        <v>FLYING MACHINE</v>
      </c>
      <c r="G461" s="24">
        <v>2</v>
      </c>
      <c r="H461" s="25" t="str">
        <f t="shared" si="30"/>
        <v>Pcs.</v>
      </c>
      <c r="I461" s="26">
        <v>2436.5700000000002</v>
      </c>
      <c r="J461" s="27">
        <f t="shared" si="31"/>
        <v>4873.1400000000003</v>
      </c>
    </row>
    <row r="462" spans="1:10" x14ac:dyDescent="0.3">
      <c r="A462" s="23" t="str">
        <f t="shared" si="28"/>
        <v>01-05-2026</v>
      </c>
      <c r="B462" s="24" t="s">
        <v>36</v>
      </c>
      <c r="C462" s="4">
        <v>8909286865131</v>
      </c>
      <c r="D462" s="24">
        <v>34</v>
      </c>
      <c r="E462" s="24" t="s">
        <v>115</v>
      </c>
      <c r="F462" s="25" t="str">
        <f t="shared" si="29"/>
        <v>FLYING MACHINE</v>
      </c>
      <c r="G462" s="24">
        <v>3</v>
      </c>
      <c r="H462" s="25" t="str">
        <f t="shared" si="30"/>
        <v>Pcs.</v>
      </c>
      <c r="I462" s="26">
        <v>2436.5700000000002</v>
      </c>
      <c r="J462" s="27">
        <f t="shared" si="31"/>
        <v>7309.7100000000009</v>
      </c>
    </row>
    <row r="463" spans="1:10" x14ac:dyDescent="0.3">
      <c r="A463" s="23" t="str">
        <f t="shared" si="28"/>
        <v>01-05-2026</v>
      </c>
      <c r="B463" s="24" t="s">
        <v>36</v>
      </c>
      <c r="C463" s="4">
        <v>8909286866718</v>
      </c>
      <c r="D463" s="24">
        <v>30</v>
      </c>
      <c r="E463" s="24" t="s">
        <v>109</v>
      </c>
      <c r="F463" s="25" t="str">
        <f t="shared" si="29"/>
        <v>FLYING MACHINE</v>
      </c>
      <c r="G463" s="24">
        <v>1</v>
      </c>
      <c r="H463" s="25" t="str">
        <f t="shared" si="30"/>
        <v>Pcs.</v>
      </c>
      <c r="I463" s="26">
        <v>2436.5700000000002</v>
      </c>
      <c r="J463" s="27">
        <f t="shared" si="31"/>
        <v>2436.5700000000002</v>
      </c>
    </row>
    <row r="464" spans="1:10" x14ac:dyDescent="0.3">
      <c r="A464" s="23" t="str">
        <f t="shared" si="28"/>
        <v>01-05-2026</v>
      </c>
      <c r="B464" s="24" t="s">
        <v>36</v>
      </c>
      <c r="C464" s="4">
        <v>8909286866725</v>
      </c>
      <c r="D464" s="24">
        <v>32</v>
      </c>
      <c r="E464" s="24" t="s">
        <v>109</v>
      </c>
      <c r="F464" s="25" t="str">
        <f t="shared" si="29"/>
        <v>FLYING MACHINE</v>
      </c>
      <c r="G464" s="24">
        <v>2</v>
      </c>
      <c r="H464" s="25" t="str">
        <f t="shared" si="30"/>
        <v>Pcs.</v>
      </c>
      <c r="I464" s="26">
        <v>2436.5700000000002</v>
      </c>
      <c r="J464" s="27">
        <f t="shared" si="31"/>
        <v>4873.1400000000003</v>
      </c>
    </row>
    <row r="465" spans="1:10" x14ac:dyDescent="0.3">
      <c r="A465" s="23" t="str">
        <f t="shared" si="28"/>
        <v>01-05-2026</v>
      </c>
      <c r="B465" s="24" t="s">
        <v>36</v>
      </c>
      <c r="C465" s="4">
        <v>8909286866732</v>
      </c>
      <c r="D465" s="24">
        <v>34</v>
      </c>
      <c r="E465" s="24" t="s">
        <v>109</v>
      </c>
      <c r="F465" s="25" t="str">
        <f t="shared" si="29"/>
        <v>FLYING MACHINE</v>
      </c>
      <c r="G465" s="24">
        <v>3</v>
      </c>
      <c r="H465" s="25" t="str">
        <f t="shared" si="30"/>
        <v>Pcs.</v>
      </c>
      <c r="I465" s="26">
        <v>2436.5700000000002</v>
      </c>
      <c r="J465" s="27">
        <f t="shared" si="31"/>
        <v>7309.7100000000009</v>
      </c>
    </row>
    <row r="466" spans="1:10" x14ac:dyDescent="0.3">
      <c r="A466" s="23" t="str">
        <f t="shared" si="28"/>
        <v>01-05-2026</v>
      </c>
      <c r="B466" s="24" t="s">
        <v>36</v>
      </c>
      <c r="C466" s="4">
        <v>8909286866848</v>
      </c>
      <c r="D466" s="24">
        <v>30</v>
      </c>
      <c r="E466" s="24" t="s">
        <v>261</v>
      </c>
      <c r="F466" s="25" t="str">
        <f t="shared" si="29"/>
        <v>FLYING MACHINE</v>
      </c>
      <c r="G466" s="24">
        <v>2</v>
      </c>
      <c r="H466" s="25" t="str">
        <f t="shared" si="30"/>
        <v>Pcs.</v>
      </c>
      <c r="I466" s="26">
        <v>2436.5700000000002</v>
      </c>
      <c r="J466" s="27">
        <f t="shared" si="31"/>
        <v>4873.1400000000003</v>
      </c>
    </row>
    <row r="467" spans="1:10" x14ac:dyDescent="0.3">
      <c r="A467" s="23" t="str">
        <f t="shared" si="28"/>
        <v>01-05-2026</v>
      </c>
      <c r="B467" s="24" t="s">
        <v>36</v>
      </c>
      <c r="C467" s="4">
        <v>8909286866855</v>
      </c>
      <c r="D467" s="24">
        <v>32</v>
      </c>
      <c r="E467" s="24" t="s">
        <v>261</v>
      </c>
      <c r="F467" s="25" t="str">
        <f t="shared" si="29"/>
        <v>FLYING MACHINE</v>
      </c>
      <c r="G467" s="24">
        <v>2</v>
      </c>
      <c r="H467" s="25" t="str">
        <f t="shared" si="30"/>
        <v>Pcs.</v>
      </c>
      <c r="I467" s="26">
        <v>2436.5700000000002</v>
      </c>
      <c r="J467" s="27">
        <f t="shared" si="31"/>
        <v>4873.1400000000003</v>
      </c>
    </row>
    <row r="468" spans="1:10" x14ac:dyDescent="0.3">
      <c r="A468" s="23" t="str">
        <f t="shared" si="28"/>
        <v>01-05-2026</v>
      </c>
      <c r="B468" s="24" t="s">
        <v>36</v>
      </c>
      <c r="C468" s="4">
        <v>8909286866862</v>
      </c>
      <c r="D468" s="24">
        <v>34</v>
      </c>
      <c r="E468" s="24" t="s">
        <v>261</v>
      </c>
      <c r="F468" s="25" t="str">
        <f t="shared" si="29"/>
        <v>FLYING MACHINE</v>
      </c>
      <c r="G468" s="24">
        <v>1</v>
      </c>
      <c r="H468" s="25" t="str">
        <f t="shared" si="30"/>
        <v>Pcs.</v>
      </c>
      <c r="I468" s="26">
        <v>2436.5700000000002</v>
      </c>
      <c r="J468" s="27">
        <f t="shared" si="31"/>
        <v>2436.5700000000002</v>
      </c>
    </row>
    <row r="469" spans="1:10" x14ac:dyDescent="0.3">
      <c r="A469" s="23" t="str">
        <f t="shared" si="28"/>
        <v>01-05-2026</v>
      </c>
      <c r="B469" s="24" t="s">
        <v>36</v>
      </c>
      <c r="C469" s="4">
        <v>8909286866879</v>
      </c>
      <c r="D469" s="24">
        <v>36</v>
      </c>
      <c r="E469" s="24" t="s">
        <v>261</v>
      </c>
      <c r="F469" s="25" t="str">
        <f t="shared" si="29"/>
        <v>FLYING MACHINE</v>
      </c>
      <c r="G469" s="24">
        <v>1</v>
      </c>
      <c r="H469" s="25" t="str">
        <f t="shared" si="30"/>
        <v>Pcs.</v>
      </c>
      <c r="I469" s="26">
        <v>2436.5700000000002</v>
      </c>
      <c r="J469" s="27">
        <f t="shared" si="31"/>
        <v>2436.5700000000002</v>
      </c>
    </row>
    <row r="470" spans="1:10" x14ac:dyDescent="0.3">
      <c r="A470" s="23" t="str">
        <f t="shared" si="28"/>
        <v>01-05-2026</v>
      </c>
      <c r="B470" s="24" t="s">
        <v>36</v>
      </c>
      <c r="C470" s="4">
        <v>8909286866978</v>
      </c>
      <c r="D470" s="24">
        <v>30</v>
      </c>
      <c r="E470" s="24" t="s">
        <v>262</v>
      </c>
      <c r="F470" s="25" t="str">
        <f t="shared" si="29"/>
        <v>FLYING MACHINE</v>
      </c>
      <c r="G470" s="24">
        <v>2</v>
      </c>
      <c r="H470" s="25" t="str">
        <f t="shared" si="30"/>
        <v>Pcs.</v>
      </c>
      <c r="I470" s="26">
        <v>2436.5700000000002</v>
      </c>
      <c r="J470" s="27">
        <f t="shared" si="31"/>
        <v>4873.1400000000003</v>
      </c>
    </row>
    <row r="471" spans="1:10" x14ac:dyDescent="0.3">
      <c r="A471" s="23" t="str">
        <f t="shared" si="28"/>
        <v>01-05-2026</v>
      </c>
      <c r="B471" s="24" t="s">
        <v>36</v>
      </c>
      <c r="C471" s="4">
        <v>8909286866985</v>
      </c>
      <c r="D471" s="24">
        <v>32</v>
      </c>
      <c r="E471" s="24" t="s">
        <v>262</v>
      </c>
      <c r="F471" s="25" t="str">
        <f t="shared" si="29"/>
        <v>FLYING MACHINE</v>
      </c>
      <c r="G471" s="24">
        <v>2</v>
      </c>
      <c r="H471" s="25" t="str">
        <f t="shared" si="30"/>
        <v>Pcs.</v>
      </c>
      <c r="I471" s="26">
        <v>2436.5700000000002</v>
      </c>
      <c r="J471" s="27">
        <f t="shared" si="31"/>
        <v>4873.1400000000003</v>
      </c>
    </row>
    <row r="472" spans="1:10" x14ac:dyDescent="0.3">
      <c r="A472" s="23" t="str">
        <f t="shared" si="28"/>
        <v>01-05-2026</v>
      </c>
      <c r="B472" s="24" t="s">
        <v>36</v>
      </c>
      <c r="C472" s="4">
        <v>8909286866992</v>
      </c>
      <c r="D472" s="24">
        <v>34</v>
      </c>
      <c r="E472" s="24" t="s">
        <v>262</v>
      </c>
      <c r="F472" s="25" t="str">
        <f t="shared" si="29"/>
        <v>FLYING MACHINE</v>
      </c>
      <c r="G472" s="24">
        <v>1</v>
      </c>
      <c r="H472" s="25" t="str">
        <f t="shared" si="30"/>
        <v>Pcs.</v>
      </c>
      <c r="I472" s="26">
        <v>2436.5700000000002</v>
      </c>
      <c r="J472" s="27">
        <f t="shared" si="31"/>
        <v>2436.5700000000002</v>
      </c>
    </row>
    <row r="473" spans="1:10" x14ac:dyDescent="0.3">
      <c r="A473" s="23" t="str">
        <f t="shared" si="28"/>
        <v>01-05-2026</v>
      </c>
      <c r="B473" s="24" t="s">
        <v>36</v>
      </c>
      <c r="C473" s="4">
        <v>8909286867005</v>
      </c>
      <c r="D473" s="24">
        <v>36</v>
      </c>
      <c r="E473" s="24" t="s">
        <v>262</v>
      </c>
      <c r="F473" s="25" t="str">
        <f t="shared" si="29"/>
        <v>FLYING MACHINE</v>
      </c>
      <c r="G473" s="24">
        <v>1</v>
      </c>
      <c r="H473" s="25" t="str">
        <f t="shared" si="30"/>
        <v>Pcs.</v>
      </c>
      <c r="I473" s="26">
        <v>2436.5700000000002</v>
      </c>
      <c r="J473" s="27">
        <f t="shared" si="31"/>
        <v>2436.5700000000002</v>
      </c>
    </row>
    <row r="474" spans="1:10" x14ac:dyDescent="0.3">
      <c r="A474" s="23" t="str">
        <f t="shared" si="28"/>
        <v>01-05-2026</v>
      </c>
      <c r="B474" s="24" t="s">
        <v>36</v>
      </c>
      <c r="C474" s="4">
        <v>8909432412370</v>
      </c>
      <c r="D474" s="24">
        <v>30</v>
      </c>
      <c r="E474" s="24" t="s">
        <v>263</v>
      </c>
      <c r="F474" s="25" t="str">
        <f t="shared" si="29"/>
        <v>FLYING MACHINE</v>
      </c>
      <c r="G474" s="24">
        <v>2</v>
      </c>
      <c r="H474" s="25" t="str">
        <f t="shared" si="30"/>
        <v>Pcs.</v>
      </c>
      <c r="I474" s="26">
        <v>3370.38</v>
      </c>
      <c r="J474" s="27">
        <f t="shared" si="31"/>
        <v>6740.76</v>
      </c>
    </row>
    <row r="475" spans="1:10" x14ac:dyDescent="0.3">
      <c r="A475" s="23" t="str">
        <f t="shared" si="28"/>
        <v>01-05-2026</v>
      </c>
      <c r="B475" s="24" t="s">
        <v>36</v>
      </c>
      <c r="C475" s="4">
        <v>8909432412387</v>
      </c>
      <c r="D475" s="24">
        <v>32</v>
      </c>
      <c r="E475" s="24" t="s">
        <v>263</v>
      </c>
      <c r="F475" s="25" t="str">
        <f t="shared" si="29"/>
        <v>FLYING MACHINE</v>
      </c>
      <c r="G475" s="24">
        <v>2</v>
      </c>
      <c r="H475" s="25" t="str">
        <f t="shared" si="30"/>
        <v>Pcs.</v>
      </c>
      <c r="I475" s="26">
        <v>3370.38</v>
      </c>
      <c r="J475" s="27">
        <f t="shared" si="31"/>
        <v>6740.76</v>
      </c>
    </row>
    <row r="476" spans="1:10" x14ac:dyDescent="0.3">
      <c r="A476" s="23" t="str">
        <f t="shared" si="28"/>
        <v>01-05-2026</v>
      </c>
      <c r="B476" s="24" t="s">
        <v>36</v>
      </c>
      <c r="C476" s="4">
        <v>8909432412394</v>
      </c>
      <c r="D476" s="24">
        <v>34</v>
      </c>
      <c r="E476" s="24" t="s">
        <v>263</v>
      </c>
      <c r="F476" s="25" t="str">
        <f t="shared" si="29"/>
        <v>FLYING MACHINE</v>
      </c>
      <c r="G476" s="24">
        <v>2</v>
      </c>
      <c r="H476" s="25" t="str">
        <f t="shared" si="30"/>
        <v>Pcs.</v>
      </c>
      <c r="I476" s="26">
        <v>3370.38</v>
      </c>
      <c r="J476" s="27">
        <f t="shared" si="31"/>
        <v>6740.76</v>
      </c>
    </row>
    <row r="477" spans="1:10" x14ac:dyDescent="0.3">
      <c r="A477" s="23" t="str">
        <f t="shared" si="28"/>
        <v>01-05-2026</v>
      </c>
      <c r="B477" s="24" t="s">
        <v>34</v>
      </c>
      <c r="C477" s="4">
        <v>8905951046881</v>
      </c>
      <c r="D477" s="24" t="s">
        <v>51</v>
      </c>
      <c r="E477" s="24" t="s">
        <v>129</v>
      </c>
      <c r="F477" s="25" t="str">
        <f t="shared" si="29"/>
        <v>FLYING MACHINE</v>
      </c>
      <c r="G477" s="24">
        <v>2</v>
      </c>
      <c r="H477" s="25" t="str">
        <f t="shared" si="30"/>
        <v>Pcs.</v>
      </c>
      <c r="I477" s="26">
        <v>2155</v>
      </c>
      <c r="J477" s="27">
        <f t="shared" si="31"/>
        <v>4310</v>
      </c>
    </row>
    <row r="478" spans="1:10" x14ac:dyDescent="0.3">
      <c r="A478" s="23" t="str">
        <f t="shared" si="28"/>
        <v>01-05-2026</v>
      </c>
      <c r="B478" s="24" t="s">
        <v>34</v>
      </c>
      <c r="C478" s="4">
        <v>8905951046898</v>
      </c>
      <c r="D478" s="24" t="s">
        <v>46</v>
      </c>
      <c r="E478" s="24" t="s">
        <v>129</v>
      </c>
      <c r="F478" s="25" t="str">
        <f t="shared" si="29"/>
        <v>FLYING MACHINE</v>
      </c>
      <c r="G478" s="24">
        <v>2</v>
      </c>
      <c r="H478" s="25" t="str">
        <f t="shared" si="30"/>
        <v>Pcs.</v>
      </c>
      <c r="I478" s="26">
        <v>2155</v>
      </c>
      <c r="J478" s="27">
        <f t="shared" si="31"/>
        <v>4310</v>
      </c>
    </row>
    <row r="479" spans="1:10" x14ac:dyDescent="0.3">
      <c r="A479" s="23" t="str">
        <f t="shared" si="28"/>
        <v>01-05-2026</v>
      </c>
      <c r="B479" s="24" t="s">
        <v>34</v>
      </c>
      <c r="C479" s="4">
        <v>8905951046911</v>
      </c>
      <c r="D479" s="24" t="s">
        <v>57</v>
      </c>
      <c r="E479" s="24" t="s">
        <v>129</v>
      </c>
      <c r="F479" s="25" t="str">
        <f t="shared" si="29"/>
        <v>FLYING MACHINE</v>
      </c>
      <c r="G479" s="24">
        <v>2</v>
      </c>
      <c r="H479" s="25" t="str">
        <f t="shared" si="30"/>
        <v>Pcs.</v>
      </c>
      <c r="I479" s="26">
        <v>2155</v>
      </c>
      <c r="J479" s="27">
        <f t="shared" si="31"/>
        <v>4310</v>
      </c>
    </row>
    <row r="480" spans="1:10" x14ac:dyDescent="0.3">
      <c r="A480" s="23" t="str">
        <f t="shared" si="28"/>
        <v>01-05-2026</v>
      </c>
      <c r="B480" s="24" t="s">
        <v>34</v>
      </c>
      <c r="C480" s="4">
        <v>8905951046966</v>
      </c>
      <c r="D480" s="24" t="s">
        <v>39</v>
      </c>
      <c r="E480" s="24" t="s">
        <v>264</v>
      </c>
      <c r="F480" s="25" t="str">
        <f t="shared" si="29"/>
        <v>FLYING MACHINE</v>
      </c>
      <c r="G480" s="24">
        <v>1</v>
      </c>
      <c r="H480" s="25" t="str">
        <f t="shared" si="30"/>
        <v>Pcs.</v>
      </c>
      <c r="I480" s="26">
        <v>2155</v>
      </c>
      <c r="J480" s="27">
        <f t="shared" si="31"/>
        <v>2155</v>
      </c>
    </row>
    <row r="481" spans="1:10" x14ac:dyDescent="0.3">
      <c r="A481" s="23" t="str">
        <f t="shared" si="28"/>
        <v>01-05-2026</v>
      </c>
      <c r="B481" s="24" t="s">
        <v>34</v>
      </c>
      <c r="C481" s="4">
        <v>8905951046980</v>
      </c>
      <c r="D481" s="24" t="s">
        <v>37</v>
      </c>
      <c r="E481" s="24" t="s">
        <v>264</v>
      </c>
      <c r="F481" s="25" t="str">
        <f t="shared" si="29"/>
        <v>FLYING MACHINE</v>
      </c>
      <c r="G481" s="24">
        <v>1</v>
      </c>
      <c r="H481" s="25" t="str">
        <f t="shared" si="30"/>
        <v>Pcs.</v>
      </c>
      <c r="I481" s="26">
        <v>2155</v>
      </c>
      <c r="J481" s="27">
        <f t="shared" si="31"/>
        <v>2155</v>
      </c>
    </row>
    <row r="482" spans="1:10" x14ac:dyDescent="0.3">
      <c r="A482" s="23" t="str">
        <f t="shared" si="28"/>
        <v>01-05-2026</v>
      </c>
      <c r="B482" s="24" t="s">
        <v>34</v>
      </c>
      <c r="C482" s="4">
        <v>8905951046997</v>
      </c>
      <c r="D482" s="24" t="s">
        <v>37</v>
      </c>
      <c r="E482" s="24" t="s">
        <v>264</v>
      </c>
      <c r="F482" s="25" t="str">
        <f t="shared" si="29"/>
        <v>FLYING MACHINE</v>
      </c>
      <c r="G482" s="24">
        <v>1</v>
      </c>
      <c r="H482" s="25" t="str">
        <f t="shared" si="30"/>
        <v>Pcs.</v>
      </c>
      <c r="I482" s="26">
        <v>2155</v>
      </c>
      <c r="J482" s="27">
        <f t="shared" si="31"/>
        <v>2155</v>
      </c>
    </row>
    <row r="483" spans="1:10" x14ac:dyDescent="0.3">
      <c r="A483" s="23" t="str">
        <f t="shared" si="28"/>
        <v>01-05-2026</v>
      </c>
      <c r="B483" s="24" t="s">
        <v>34</v>
      </c>
      <c r="C483" s="4">
        <v>8905951047017</v>
      </c>
      <c r="D483" s="24" t="s">
        <v>39</v>
      </c>
      <c r="E483" s="24" t="s">
        <v>264</v>
      </c>
      <c r="F483" s="25" t="str">
        <f t="shared" si="29"/>
        <v>FLYING MACHINE</v>
      </c>
      <c r="G483" s="24">
        <v>1</v>
      </c>
      <c r="H483" s="25" t="str">
        <f t="shared" si="30"/>
        <v>Pcs.</v>
      </c>
      <c r="I483" s="26">
        <v>2155</v>
      </c>
      <c r="J483" s="27">
        <f t="shared" si="31"/>
        <v>2155</v>
      </c>
    </row>
    <row r="484" spans="1:10" x14ac:dyDescent="0.3">
      <c r="A484" s="23" t="str">
        <f t="shared" si="28"/>
        <v>01-05-2026</v>
      </c>
      <c r="B484" s="24" t="s">
        <v>34</v>
      </c>
      <c r="C484" s="4">
        <v>8905951047048</v>
      </c>
      <c r="D484" s="24" t="s">
        <v>51</v>
      </c>
      <c r="E484" s="24" t="s">
        <v>265</v>
      </c>
      <c r="F484" s="25" t="str">
        <f t="shared" si="29"/>
        <v>FLYING MACHINE</v>
      </c>
      <c r="G484" s="24">
        <v>1</v>
      </c>
      <c r="H484" s="25" t="str">
        <f t="shared" si="30"/>
        <v>Pcs.</v>
      </c>
      <c r="I484" s="26">
        <v>2155</v>
      </c>
      <c r="J484" s="27">
        <f t="shared" si="31"/>
        <v>2155</v>
      </c>
    </row>
    <row r="485" spans="1:10" x14ac:dyDescent="0.3">
      <c r="A485" s="23" t="str">
        <f t="shared" si="28"/>
        <v>01-05-2026</v>
      </c>
      <c r="B485" s="24" t="s">
        <v>34</v>
      </c>
      <c r="C485" s="4">
        <v>8905951047093</v>
      </c>
      <c r="D485" s="24" t="s">
        <v>37</v>
      </c>
      <c r="E485" s="24" t="s">
        <v>265</v>
      </c>
      <c r="F485" s="25" t="str">
        <f t="shared" si="29"/>
        <v>FLYING MACHINE</v>
      </c>
      <c r="G485" s="24">
        <v>1</v>
      </c>
      <c r="H485" s="25" t="str">
        <f t="shared" si="30"/>
        <v>Pcs.</v>
      </c>
      <c r="I485" s="26">
        <v>2155</v>
      </c>
      <c r="J485" s="27">
        <f t="shared" si="31"/>
        <v>2155</v>
      </c>
    </row>
    <row r="486" spans="1:10" x14ac:dyDescent="0.3">
      <c r="A486" s="23" t="str">
        <f t="shared" si="28"/>
        <v>01-05-2026</v>
      </c>
      <c r="B486" s="24" t="s">
        <v>34</v>
      </c>
      <c r="C486" s="4">
        <v>8905951579174</v>
      </c>
      <c r="D486" s="24" t="s">
        <v>51</v>
      </c>
      <c r="E486" s="24" t="s">
        <v>266</v>
      </c>
      <c r="F486" s="25" t="str">
        <f t="shared" si="29"/>
        <v>FLYING MACHINE</v>
      </c>
      <c r="G486" s="24">
        <v>1</v>
      </c>
      <c r="H486" s="25" t="str">
        <f t="shared" si="30"/>
        <v>Pcs.</v>
      </c>
      <c r="I486" s="26">
        <v>2155</v>
      </c>
      <c r="J486" s="27">
        <f t="shared" si="31"/>
        <v>2155</v>
      </c>
    </row>
    <row r="487" spans="1:10" x14ac:dyDescent="0.3">
      <c r="A487" s="23" t="str">
        <f t="shared" si="28"/>
        <v>01-05-2026</v>
      </c>
      <c r="B487" s="24" t="s">
        <v>34</v>
      </c>
      <c r="C487" s="4">
        <v>8905951579204</v>
      </c>
      <c r="D487" s="24" t="s">
        <v>57</v>
      </c>
      <c r="E487" s="24" t="s">
        <v>266</v>
      </c>
      <c r="F487" s="25" t="str">
        <f t="shared" si="29"/>
        <v>FLYING MACHINE</v>
      </c>
      <c r="G487" s="24">
        <v>2</v>
      </c>
      <c r="H487" s="25" t="str">
        <f t="shared" si="30"/>
        <v>Pcs.</v>
      </c>
      <c r="I487" s="26">
        <v>2155</v>
      </c>
      <c r="J487" s="27">
        <f t="shared" si="31"/>
        <v>4310</v>
      </c>
    </row>
    <row r="488" spans="1:10" x14ac:dyDescent="0.3">
      <c r="A488" s="23" t="str">
        <f t="shared" si="28"/>
        <v>01-05-2026</v>
      </c>
      <c r="B488" s="24" t="s">
        <v>34</v>
      </c>
      <c r="C488" s="4">
        <v>8905951579211</v>
      </c>
      <c r="D488" s="24" t="s">
        <v>39</v>
      </c>
      <c r="E488" s="24" t="s">
        <v>266</v>
      </c>
      <c r="F488" s="25" t="str">
        <f t="shared" si="29"/>
        <v>FLYING MACHINE</v>
      </c>
      <c r="G488" s="24">
        <v>2</v>
      </c>
      <c r="H488" s="25" t="str">
        <f t="shared" si="30"/>
        <v>Pcs.</v>
      </c>
      <c r="I488" s="26">
        <v>2155</v>
      </c>
      <c r="J488" s="27">
        <f t="shared" si="31"/>
        <v>4310</v>
      </c>
    </row>
    <row r="489" spans="1:10" x14ac:dyDescent="0.3">
      <c r="A489" s="23" t="str">
        <f t="shared" si="28"/>
        <v>01-05-2026</v>
      </c>
      <c r="B489" s="24" t="s">
        <v>34</v>
      </c>
      <c r="C489" s="4">
        <v>8905951579259</v>
      </c>
      <c r="D489" s="24" t="s">
        <v>51</v>
      </c>
      <c r="E489" s="24" t="s">
        <v>267</v>
      </c>
      <c r="F489" s="25" t="str">
        <f t="shared" si="29"/>
        <v>FLYING MACHINE</v>
      </c>
      <c r="G489" s="24">
        <v>1</v>
      </c>
      <c r="H489" s="25" t="str">
        <f t="shared" si="30"/>
        <v>Pcs.</v>
      </c>
      <c r="I489" s="26">
        <v>2155</v>
      </c>
      <c r="J489" s="27">
        <f t="shared" si="31"/>
        <v>2155</v>
      </c>
    </row>
    <row r="490" spans="1:10" x14ac:dyDescent="0.3">
      <c r="A490" s="23" t="str">
        <f t="shared" si="28"/>
        <v>01-05-2026</v>
      </c>
      <c r="B490" s="24" t="s">
        <v>34</v>
      </c>
      <c r="C490" s="4">
        <v>8905951579266</v>
      </c>
      <c r="D490" s="24" t="s">
        <v>46</v>
      </c>
      <c r="E490" s="24" t="s">
        <v>267</v>
      </c>
      <c r="F490" s="25" t="str">
        <f t="shared" si="29"/>
        <v>FLYING MACHINE</v>
      </c>
      <c r="G490" s="24">
        <v>2</v>
      </c>
      <c r="H490" s="25" t="str">
        <f t="shared" si="30"/>
        <v>Pcs.</v>
      </c>
      <c r="I490" s="26">
        <v>2155</v>
      </c>
      <c r="J490" s="27">
        <f t="shared" si="31"/>
        <v>4310</v>
      </c>
    </row>
    <row r="491" spans="1:10" x14ac:dyDescent="0.3">
      <c r="A491" s="23" t="str">
        <f t="shared" si="28"/>
        <v>01-05-2026</v>
      </c>
      <c r="B491" s="24" t="s">
        <v>34</v>
      </c>
      <c r="C491" s="4">
        <v>8905951579273</v>
      </c>
      <c r="D491" s="24" t="s">
        <v>37</v>
      </c>
      <c r="E491" s="24" t="s">
        <v>267</v>
      </c>
      <c r="F491" s="25" t="str">
        <f t="shared" si="29"/>
        <v>FLYING MACHINE</v>
      </c>
      <c r="G491" s="24">
        <v>1</v>
      </c>
      <c r="H491" s="25" t="str">
        <f t="shared" si="30"/>
        <v>Pcs.</v>
      </c>
      <c r="I491" s="26">
        <v>2155.31</v>
      </c>
      <c r="J491" s="27">
        <f t="shared" si="31"/>
        <v>2155.31</v>
      </c>
    </row>
    <row r="492" spans="1:10" x14ac:dyDescent="0.3">
      <c r="A492" s="23" t="str">
        <f t="shared" si="28"/>
        <v>01-05-2026</v>
      </c>
      <c r="B492" s="24" t="s">
        <v>34</v>
      </c>
      <c r="C492" s="4">
        <v>8905951579280</v>
      </c>
      <c r="D492" s="24" t="s">
        <v>57</v>
      </c>
      <c r="E492" s="24" t="s">
        <v>267</v>
      </c>
      <c r="F492" s="25" t="str">
        <f t="shared" si="29"/>
        <v>FLYING MACHINE</v>
      </c>
      <c r="G492" s="24">
        <v>1</v>
      </c>
      <c r="H492" s="25" t="str">
        <f t="shared" si="30"/>
        <v>Pcs.</v>
      </c>
      <c r="I492" s="26">
        <v>2155.31</v>
      </c>
      <c r="J492" s="27">
        <f t="shared" si="31"/>
        <v>2155.31</v>
      </c>
    </row>
    <row r="493" spans="1:10" x14ac:dyDescent="0.3">
      <c r="A493" s="23" t="str">
        <f t="shared" si="28"/>
        <v>01-05-2026</v>
      </c>
      <c r="B493" s="24" t="s">
        <v>34</v>
      </c>
      <c r="C493" s="4">
        <v>8905951579297</v>
      </c>
      <c r="D493" s="24" t="s">
        <v>39</v>
      </c>
      <c r="E493" s="24" t="s">
        <v>267</v>
      </c>
      <c r="F493" s="25" t="str">
        <f t="shared" si="29"/>
        <v>FLYING MACHINE</v>
      </c>
      <c r="G493" s="24">
        <v>1</v>
      </c>
      <c r="H493" s="25" t="str">
        <f t="shared" si="30"/>
        <v>Pcs.</v>
      </c>
      <c r="I493" s="26">
        <v>2155</v>
      </c>
      <c r="J493" s="27">
        <f t="shared" si="31"/>
        <v>2155</v>
      </c>
    </row>
    <row r="494" spans="1:10" x14ac:dyDescent="0.3">
      <c r="A494" s="23" t="str">
        <f t="shared" si="28"/>
        <v>01-05-2026</v>
      </c>
      <c r="B494" s="24" t="s">
        <v>34</v>
      </c>
      <c r="C494" s="4">
        <v>8905951579440</v>
      </c>
      <c r="D494" s="24" t="s">
        <v>57</v>
      </c>
      <c r="E494" s="24" t="s">
        <v>268</v>
      </c>
      <c r="F494" s="25" t="str">
        <f t="shared" si="29"/>
        <v>FLYING MACHINE</v>
      </c>
      <c r="G494" s="24">
        <v>1</v>
      </c>
      <c r="H494" s="25" t="str">
        <f t="shared" si="30"/>
        <v>Pcs.</v>
      </c>
      <c r="I494" s="26">
        <v>2155.31</v>
      </c>
      <c r="J494" s="27">
        <f t="shared" si="31"/>
        <v>2155.31</v>
      </c>
    </row>
    <row r="495" spans="1:10" x14ac:dyDescent="0.3">
      <c r="A495" s="23" t="str">
        <f t="shared" si="28"/>
        <v>01-05-2026</v>
      </c>
      <c r="B495" s="24" t="s">
        <v>34</v>
      </c>
      <c r="C495" s="4">
        <v>8905951579846</v>
      </c>
      <c r="D495" s="24" t="s">
        <v>57</v>
      </c>
      <c r="E495" s="24" t="s">
        <v>269</v>
      </c>
      <c r="F495" s="25" t="str">
        <f t="shared" si="29"/>
        <v>FLYING MACHINE</v>
      </c>
      <c r="G495" s="24">
        <v>1</v>
      </c>
      <c r="H495" s="25" t="str">
        <f t="shared" si="30"/>
        <v>Pcs.</v>
      </c>
      <c r="I495" s="26">
        <v>2343</v>
      </c>
      <c r="J495" s="27">
        <f t="shared" si="31"/>
        <v>2343</v>
      </c>
    </row>
    <row r="496" spans="1:10" x14ac:dyDescent="0.3">
      <c r="A496" s="23" t="str">
        <f t="shared" si="28"/>
        <v>01-05-2026</v>
      </c>
      <c r="B496" s="24" t="s">
        <v>34</v>
      </c>
      <c r="C496" s="4">
        <v>8905951579860</v>
      </c>
      <c r="D496" s="24" t="s">
        <v>270</v>
      </c>
      <c r="E496" s="24" t="s">
        <v>271</v>
      </c>
      <c r="F496" s="25" t="str">
        <f t="shared" si="29"/>
        <v>FLYING MACHINE</v>
      </c>
      <c r="G496" s="24">
        <v>1</v>
      </c>
      <c r="H496" s="25" t="str">
        <f t="shared" si="30"/>
        <v>Pcs.</v>
      </c>
      <c r="I496" s="26">
        <v>2342.81</v>
      </c>
      <c r="J496" s="27">
        <f t="shared" si="31"/>
        <v>2342.81</v>
      </c>
    </row>
    <row r="497" spans="1:10" x14ac:dyDescent="0.3">
      <c r="A497" s="23" t="str">
        <f t="shared" si="28"/>
        <v>01-05-2026</v>
      </c>
      <c r="B497" s="24" t="s">
        <v>34</v>
      </c>
      <c r="C497" s="4">
        <v>8905951579907</v>
      </c>
      <c r="D497" s="24" t="s">
        <v>46</v>
      </c>
      <c r="E497" s="24" t="s">
        <v>271</v>
      </c>
      <c r="F497" s="25" t="str">
        <f t="shared" si="29"/>
        <v>FLYING MACHINE</v>
      </c>
      <c r="G497" s="24">
        <v>1</v>
      </c>
      <c r="H497" s="25" t="str">
        <f t="shared" si="30"/>
        <v>Pcs.</v>
      </c>
      <c r="I497" s="26">
        <v>2342.81</v>
      </c>
      <c r="J497" s="27">
        <f t="shared" si="31"/>
        <v>2342.81</v>
      </c>
    </row>
    <row r="498" spans="1:10" x14ac:dyDescent="0.3">
      <c r="A498" s="23" t="str">
        <f t="shared" si="28"/>
        <v>01-05-2026</v>
      </c>
      <c r="B498" s="24" t="s">
        <v>34</v>
      </c>
      <c r="C498" s="4">
        <v>8905951580248</v>
      </c>
      <c r="D498" s="24" t="s">
        <v>57</v>
      </c>
      <c r="E498" s="24" t="s">
        <v>272</v>
      </c>
      <c r="F498" s="25" t="str">
        <f t="shared" si="29"/>
        <v>FLYING MACHINE</v>
      </c>
      <c r="G498" s="24">
        <v>1</v>
      </c>
      <c r="H498" s="25" t="str">
        <f t="shared" si="30"/>
        <v>Pcs.</v>
      </c>
      <c r="I498" s="26">
        <v>3160</v>
      </c>
      <c r="J498" s="27">
        <f t="shared" si="31"/>
        <v>3160</v>
      </c>
    </row>
    <row r="499" spans="1:10" x14ac:dyDescent="0.3">
      <c r="A499" s="23" t="str">
        <f t="shared" si="28"/>
        <v>01-05-2026</v>
      </c>
      <c r="B499" s="24" t="s">
        <v>34</v>
      </c>
      <c r="C499" s="4">
        <v>8905951580255</v>
      </c>
      <c r="D499" s="24" t="s">
        <v>39</v>
      </c>
      <c r="E499" s="24" t="s">
        <v>272</v>
      </c>
      <c r="F499" s="25" t="str">
        <f t="shared" si="29"/>
        <v>FLYING MACHINE</v>
      </c>
      <c r="G499" s="24">
        <v>2</v>
      </c>
      <c r="H499" s="25" t="str">
        <f t="shared" si="30"/>
        <v>Pcs.</v>
      </c>
      <c r="I499" s="26">
        <v>3160</v>
      </c>
      <c r="J499" s="27">
        <f t="shared" si="31"/>
        <v>6320</v>
      </c>
    </row>
    <row r="500" spans="1:10" x14ac:dyDescent="0.3">
      <c r="A500" s="23" t="str">
        <f t="shared" si="28"/>
        <v>01-05-2026</v>
      </c>
      <c r="B500" s="24" t="s">
        <v>34</v>
      </c>
      <c r="C500" s="4">
        <v>8905951580293</v>
      </c>
      <c r="D500" s="24" t="s">
        <v>51</v>
      </c>
      <c r="E500" s="24" t="s">
        <v>273</v>
      </c>
      <c r="F500" s="25" t="str">
        <f t="shared" si="29"/>
        <v>FLYING MACHINE</v>
      </c>
      <c r="G500" s="24">
        <v>1</v>
      </c>
      <c r="H500" s="25" t="str">
        <f t="shared" si="30"/>
        <v>Pcs.</v>
      </c>
      <c r="I500" s="26">
        <v>3160</v>
      </c>
      <c r="J500" s="27">
        <f t="shared" si="31"/>
        <v>3160</v>
      </c>
    </row>
    <row r="501" spans="1:10" x14ac:dyDescent="0.3">
      <c r="A501" s="23" t="str">
        <f t="shared" si="28"/>
        <v>01-05-2026</v>
      </c>
      <c r="B501" s="24" t="s">
        <v>34</v>
      </c>
      <c r="C501" s="4">
        <v>8905951582136</v>
      </c>
      <c r="D501" s="24" t="s">
        <v>51</v>
      </c>
      <c r="E501" s="24" t="s">
        <v>274</v>
      </c>
      <c r="F501" s="25" t="str">
        <f t="shared" si="29"/>
        <v>FLYING MACHINE</v>
      </c>
      <c r="G501" s="24">
        <v>4</v>
      </c>
      <c r="H501" s="25" t="str">
        <f t="shared" si="30"/>
        <v>Pcs.</v>
      </c>
      <c r="I501" s="26">
        <v>2343</v>
      </c>
      <c r="J501" s="27">
        <f t="shared" si="31"/>
        <v>9372</v>
      </c>
    </row>
    <row r="502" spans="1:10" x14ac:dyDescent="0.3">
      <c r="A502" s="23" t="str">
        <f t="shared" si="28"/>
        <v>01-05-2026</v>
      </c>
      <c r="B502" s="24" t="s">
        <v>34</v>
      </c>
      <c r="C502" s="4">
        <v>8905951582143</v>
      </c>
      <c r="D502" s="24" t="s">
        <v>46</v>
      </c>
      <c r="E502" s="24" t="s">
        <v>274</v>
      </c>
      <c r="F502" s="25" t="str">
        <f t="shared" si="29"/>
        <v>FLYING MACHINE</v>
      </c>
      <c r="G502" s="24">
        <v>4</v>
      </c>
      <c r="H502" s="25" t="str">
        <f t="shared" si="30"/>
        <v>Pcs.</v>
      </c>
      <c r="I502" s="26">
        <v>2343</v>
      </c>
      <c r="J502" s="27">
        <f t="shared" si="31"/>
        <v>9372</v>
      </c>
    </row>
    <row r="503" spans="1:10" x14ac:dyDescent="0.3">
      <c r="A503" s="23" t="str">
        <f t="shared" si="28"/>
        <v>01-05-2026</v>
      </c>
      <c r="B503" s="24" t="s">
        <v>34</v>
      </c>
      <c r="C503" s="4">
        <v>8905951587254</v>
      </c>
      <c r="D503" s="24" t="s">
        <v>51</v>
      </c>
      <c r="E503" s="24" t="s">
        <v>275</v>
      </c>
      <c r="F503" s="25" t="str">
        <f t="shared" si="29"/>
        <v>FLYING MACHINE</v>
      </c>
      <c r="G503" s="24">
        <v>2</v>
      </c>
      <c r="H503" s="25" t="str">
        <f t="shared" si="30"/>
        <v>Pcs.</v>
      </c>
      <c r="I503" s="26">
        <v>1874.06</v>
      </c>
      <c r="J503" s="27">
        <f t="shared" si="31"/>
        <v>3748.12</v>
      </c>
    </row>
    <row r="504" spans="1:10" x14ac:dyDescent="0.3">
      <c r="A504" s="23" t="str">
        <f t="shared" si="28"/>
        <v>01-05-2026</v>
      </c>
      <c r="B504" s="24" t="s">
        <v>34</v>
      </c>
      <c r="C504" s="4">
        <v>8905951587261</v>
      </c>
      <c r="D504" s="24" t="s">
        <v>46</v>
      </c>
      <c r="E504" s="24" t="s">
        <v>275</v>
      </c>
      <c r="F504" s="25" t="str">
        <f t="shared" si="29"/>
        <v>FLYING MACHINE</v>
      </c>
      <c r="G504" s="24">
        <v>3</v>
      </c>
      <c r="H504" s="25" t="str">
        <f t="shared" si="30"/>
        <v>Pcs.</v>
      </c>
      <c r="I504" s="26">
        <v>1874.06</v>
      </c>
      <c r="J504" s="27">
        <f t="shared" si="31"/>
        <v>5622.18</v>
      </c>
    </row>
    <row r="505" spans="1:10" x14ac:dyDescent="0.3">
      <c r="A505" s="23" t="str">
        <f t="shared" si="28"/>
        <v>01-05-2026</v>
      </c>
      <c r="B505" s="24" t="s">
        <v>34</v>
      </c>
      <c r="C505" s="4">
        <v>8905951587292</v>
      </c>
      <c r="D505" s="24" t="s">
        <v>39</v>
      </c>
      <c r="E505" s="24" t="s">
        <v>275</v>
      </c>
      <c r="F505" s="25" t="str">
        <f t="shared" si="29"/>
        <v>FLYING MACHINE</v>
      </c>
      <c r="G505" s="24">
        <v>2</v>
      </c>
      <c r="H505" s="25" t="str">
        <f t="shared" si="30"/>
        <v>Pcs.</v>
      </c>
      <c r="I505" s="26">
        <v>1874.06</v>
      </c>
      <c r="J505" s="27">
        <f t="shared" si="31"/>
        <v>3748.12</v>
      </c>
    </row>
    <row r="506" spans="1:10" x14ac:dyDescent="0.3">
      <c r="A506" s="23" t="str">
        <f t="shared" si="28"/>
        <v>01-05-2026</v>
      </c>
      <c r="B506" s="24" t="s">
        <v>34</v>
      </c>
      <c r="C506" s="4">
        <v>8905951587575</v>
      </c>
      <c r="D506" s="24" t="s">
        <v>51</v>
      </c>
      <c r="E506" s="24" t="s">
        <v>276</v>
      </c>
      <c r="F506" s="25" t="str">
        <f t="shared" si="29"/>
        <v>FLYING MACHINE</v>
      </c>
      <c r="G506" s="24">
        <v>3</v>
      </c>
      <c r="H506" s="25" t="str">
        <f t="shared" si="30"/>
        <v>Pcs.</v>
      </c>
      <c r="I506" s="26">
        <v>2155.31</v>
      </c>
      <c r="J506" s="27">
        <f t="shared" si="31"/>
        <v>6465.93</v>
      </c>
    </row>
    <row r="507" spans="1:10" x14ac:dyDescent="0.3">
      <c r="A507" s="23" t="str">
        <f t="shared" si="28"/>
        <v>01-05-2026</v>
      </c>
      <c r="B507" s="24" t="s">
        <v>34</v>
      </c>
      <c r="C507" s="4">
        <v>8905951587582</v>
      </c>
      <c r="D507" s="24" t="s">
        <v>46</v>
      </c>
      <c r="E507" s="24" t="s">
        <v>276</v>
      </c>
      <c r="F507" s="25" t="str">
        <f t="shared" si="29"/>
        <v>FLYING MACHINE</v>
      </c>
      <c r="G507" s="24">
        <v>3</v>
      </c>
      <c r="H507" s="25" t="str">
        <f t="shared" si="30"/>
        <v>Pcs.</v>
      </c>
      <c r="I507" s="26">
        <v>2155</v>
      </c>
      <c r="J507" s="27">
        <f t="shared" si="31"/>
        <v>6465</v>
      </c>
    </row>
    <row r="508" spans="1:10" x14ac:dyDescent="0.3">
      <c r="A508" s="23" t="str">
        <f t="shared" si="28"/>
        <v>01-05-2026</v>
      </c>
      <c r="B508" s="24" t="s">
        <v>34</v>
      </c>
      <c r="C508" s="4">
        <v>8905951587599</v>
      </c>
      <c r="D508" s="24" t="s">
        <v>37</v>
      </c>
      <c r="E508" s="24" t="s">
        <v>276</v>
      </c>
      <c r="F508" s="25" t="str">
        <f t="shared" si="29"/>
        <v>FLYING MACHINE</v>
      </c>
      <c r="G508" s="24">
        <v>2</v>
      </c>
      <c r="H508" s="25" t="str">
        <f t="shared" si="30"/>
        <v>Pcs.</v>
      </c>
      <c r="I508" s="26">
        <v>2155</v>
      </c>
      <c r="J508" s="27">
        <f t="shared" si="31"/>
        <v>4310</v>
      </c>
    </row>
    <row r="509" spans="1:10" x14ac:dyDescent="0.3">
      <c r="A509" s="23" t="str">
        <f t="shared" si="28"/>
        <v>01-05-2026</v>
      </c>
      <c r="B509" s="24" t="s">
        <v>34</v>
      </c>
      <c r="C509" s="4">
        <v>8905951587605</v>
      </c>
      <c r="D509" s="24" t="s">
        <v>57</v>
      </c>
      <c r="E509" s="24" t="s">
        <v>276</v>
      </c>
      <c r="F509" s="25" t="str">
        <f t="shared" si="29"/>
        <v>FLYING MACHINE</v>
      </c>
      <c r="G509" s="24">
        <v>1</v>
      </c>
      <c r="H509" s="25" t="str">
        <f t="shared" si="30"/>
        <v>Pcs.</v>
      </c>
      <c r="I509" s="26">
        <v>2155</v>
      </c>
      <c r="J509" s="27">
        <f t="shared" si="31"/>
        <v>2155</v>
      </c>
    </row>
    <row r="510" spans="1:10" x14ac:dyDescent="0.3">
      <c r="A510" s="23" t="str">
        <f t="shared" si="28"/>
        <v>01-05-2026</v>
      </c>
      <c r="B510" s="24" t="s">
        <v>34</v>
      </c>
      <c r="C510" s="4">
        <v>8905951588176</v>
      </c>
      <c r="D510" s="24" t="s">
        <v>39</v>
      </c>
      <c r="E510" s="24" t="s">
        <v>277</v>
      </c>
      <c r="F510" s="25" t="str">
        <f t="shared" si="29"/>
        <v>FLYING MACHINE</v>
      </c>
      <c r="G510" s="24">
        <v>1</v>
      </c>
      <c r="H510" s="25" t="str">
        <f t="shared" si="30"/>
        <v>Pcs.</v>
      </c>
      <c r="I510" s="26">
        <v>2155.31</v>
      </c>
      <c r="J510" s="27">
        <f t="shared" si="31"/>
        <v>2155.31</v>
      </c>
    </row>
    <row r="511" spans="1:10" x14ac:dyDescent="0.3">
      <c r="A511" s="23" t="str">
        <f t="shared" si="28"/>
        <v>01-05-2026</v>
      </c>
      <c r="B511" s="24" t="s">
        <v>34</v>
      </c>
      <c r="C511" s="4">
        <v>8905951591572</v>
      </c>
      <c r="D511" s="24" t="s">
        <v>51</v>
      </c>
      <c r="E511" s="24" t="s">
        <v>278</v>
      </c>
      <c r="F511" s="25" t="str">
        <f t="shared" si="29"/>
        <v>FLYING MACHINE</v>
      </c>
      <c r="G511" s="24">
        <v>2</v>
      </c>
      <c r="H511" s="25" t="str">
        <f t="shared" si="30"/>
        <v>Pcs.</v>
      </c>
      <c r="I511" s="26">
        <v>1874.06</v>
      </c>
      <c r="J511" s="27">
        <f t="shared" si="31"/>
        <v>3748.12</v>
      </c>
    </row>
    <row r="512" spans="1:10" x14ac:dyDescent="0.3">
      <c r="A512" s="23" t="str">
        <f t="shared" si="28"/>
        <v>01-05-2026</v>
      </c>
      <c r="B512" s="24" t="s">
        <v>34</v>
      </c>
      <c r="C512" s="4">
        <v>8905951591596</v>
      </c>
      <c r="D512" s="24" t="s">
        <v>37</v>
      </c>
      <c r="E512" s="24" t="s">
        <v>278</v>
      </c>
      <c r="F512" s="25" t="str">
        <f t="shared" si="29"/>
        <v>FLYING MACHINE</v>
      </c>
      <c r="G512" s="24">
        <v>1</v>
      </c>
      <c r="H512" s="25" t="str">
        <f t="shared" si="30"/>
        <v>Pcs.</v>
      </c>
      <c r="I512" s="26">
        <v>1874.06</v>
      </c>
      <c r="J512" s="27">
        <f t="shared" si="31"/>
        <v>1874.06</v>
      </c>
    </row>
    <row r="513" spans="1:10" x14ac:dyDescent="0.3">
      <c r="A513" s="23" t="str">
        <f t="shared" si="28"/>
        <v>01-05-2026</v>
      </c>
      <c r="B513" s="24" t="s">
        <v>34</v>
      </c>
      <c r="C513" s="4">
        <v>8905951591619</v>
      </c>
      <c r="D513" s="24" t="s">
        <v>39</v>
      </c>
      <c r="E513" s="24" t="s">
        <v>278</v>
      </c>
      <c r="F513" s="25" t="str">
        <f t="shared" si="29"/>
        <v>FLYING MACHINE</v>
      </c>
      <c r="G513" s="24">
        <v>1</v>
      </c>
      <c r="H513" s="25" t="str">
        <f t="shared" si="30"/>
        <v>Pcs.</v>
      </c>
      <c r="I513" s="26">
        <v>1874.06</v>
      </c>
      <c r="J513" s="27">
        <f t="shared" si="31"/>
        <v>1874.06</v>
      </c>
    </row>
    <row r="514" spans="1:10" x14ac:dyDescent="0.3">
      <c r="A514" s="23" t="str">
        <f t="shared" si="28"/>
        <v>01-05-2026</v>
      </c>
      <c r="B514" s="24" t="s">
        <v>34</v>
      </c>
      <c r="C514" s="4">
        <v>8905951592531</v>
      </c>
      <c r="D514" s="24" t="s">
        <v>51</v>
      </c>
      <c r="E514" s="24" t="s">
        <v>279</v>
      </c>
      <c r="F514" s="25" t="str">
        <f t="shared" si="29"/>
        <v>FLYING MACHINE</v>
      </c>
      <c r="G514" s="24">
        <v>2</v>
      </c>
      <c r="H514" s="25" t="str">
        <f t="shared" si="30"/>
        <v>Pcs.</v>
      </c>
      <c r="I514" s="26">
        <v>2342.81</v>
      </c>
      <c r="J514" s="27">
        <f t="shared" si="31"/>
        <v>4685.62</v>
      </c>
    </row>
    <row r="515" spans="1:10" x14ac:dyDescent="0.3">
      <c r="A515" s="23" t="str">
        <f t="shared" si="28"/>
        <v>01-05-2026</v>
      </c>
      <c r="B515" s="24" t="s">
        <v>34</v>
      </c>
      <c r="C515" s="4">
        <v>8905951592548</v>
      </c>
      <c r="D515" s="24" t="s">
        <v>46</v>
      </c>
      <c r="E515" s="24" t="s">
        <v>279</v>
      </c>
      <c r="F515" s="25" t="str">
        <f t="shared" si="29"/>
        <v>FLYING MACHINE</v>
      </c>
      <c r="G515" s="24">
        <v>1</v>
      </c>
      <c r="H515" s="25" t="str">
        <f t="shared" si="30"/>
        <v>Pcs.</v>
      </c>
      <c r="I515" s="26">
        <v>2342.81</v>
      </c>
      <c r="J515" s="27">
        <f t="shared" si="31"/>
        <v>2342.81</v>
      </c>
    </row>
    <row r="516" spans="1:10" x14ac:dyDescent="0.3">
      <c r="A516" s="23" t="str">
        <f t="shared" si="28"/>
        <v>01-05-2026</v>
      </c>
      <c r="B516" s="24" t="s">
        <v>34</v>
      </c>
      <c r="C516" s="4">
        <v>8905951592562</v>
      </c>
      <c r="D516" s="24" t="s">
        <v>57</v>
      </c>
      <c r="E516" s="24" t="s">
        <v>279</v>
      </c>
      <c r="F516" s="25" t="str">
        <f t="shared" si="29"/>
        <v>FLYING MACHINE</v>
      </c>
      <c r="G516" s="24">
        <v>1</v>
      </c>
      <c r="H516" s="25" t="str">
        <f t="shared" si="30"/>
        <v>Pcs.</v>
      </c>
      <c r="I516" s="26">
        <v>2342.81</v>
      </c>
      <c r="J516" s="27">
        <f t="shared" si="31"/>
        <v>2342.81</v>
      </c>
    </row>
    <row r="517" spans="1:10" x14ac:dyDescent="0.3">
      <c r="A517" s="23" t="str">
        <f t="shared" ref="A517:A580" si="32">IF(C517&gt;0,RIGHT($D$3,10)," ")</f>
        <v>01-05-2026</v>
      </c>
      <c r="B517" s="24" t="s">
        <v>34</v>
      </c>
      <c r="C517" s="4">
        <v>8905951592869</v>
      </c>
      <c r="D517" s="24" t="s">
        <v>46</v>
      </c>
      <c r="E517" s="24" t="s">
        <v>280</v>
      </c>
      <c r="F517" s="25" t="str">
        <f t="shared" ref="F517:F580" si="33">IF(C517&gt;0,$C$3," ")</f>
        <v>FLYING MACHINE</v>
      </c>
      <c r="G517" s="24">
        <v>2</v>
      </c>
      <c r="H517" s="25" t="str">
        <f t="shared" ref="H517:H580" si="34">IF(G517&gt;0,"Pcs."," ")</f>
        <v>Pcs.</v>
      </c>
      <c r="I517" s="26">
        <v>1874.06</v>
      </c>
      <c r="J517" s="27">
        <f t="shared" ref="J517:J580" si="35">IF(I517*G517=0," ",I517*G517)</f>
        <v>3748.12</v>
      </c>
    </row>
    <row r="518" spans="1:10" x14ac:dyDescent="0.3">
      <c r="A518" s="23" t="str">
        <f t="shared" si="32"/>
        <v>01-05-2026</v>
      </c>
      <c r="B518" s="24" t="s">
        <v>34</v>
      </c>
      <c r="C518" s="4">
        <v>8905951592890</v>
      </c>
      <c r="D518" s="24" t="s">
        <v>39</v>
      </c>
      <c r="E518" s="24" t="s">
        <v>280</v>
      </c>
      <c r="F518" s="25" t="str">
        <f t="shared" si="33"/>
        <v>FLYING MACHINE</v>
      </c>
      <c r="G518" s="24">
        <v>1</v>
      </c>
      <c r="H518" s="25" t="str">
        <f t="shared" si="34"/>
        <v>Pcs.</v>
      </c>
      <c r="I518" s="26">
        <v>1874.06</v>
      </c>
      <c r="J518" s="27">
        <f t="shared" si="35"/>
        <v>1874.06</v>
      </c>
    </row>
    <row r="519" spans="1:10" x14ac:dyDescent="0.3">
      <c r="A519" s="23" t="str">
        <f t="shared" si="32"/>
        <v>01-05-2026</v>
      </c>
      <c r="B519" s="24" t="s">
        <v>34</v>
      </c>
      <c r="C519" s="4">
        <v>8905951593576</v>
      </c>
      <c r="D519" s="24" t="s">
        <v>51</v>
      </c>
      <c r="E519" s="24" t="s">
        <v>281</v>
      </c>
      <c r="F519" s="25" t="str">
        <f t="shared" si="33"/>
        <v>FLYING MACHINE</v>
      </c>
      <c r="G519" s="24">
        <v>1</v>
      </c>
      <c r="H519" s="25" t="str">
        <f t="shared" si="34"/>
        <v>Pcs.</v>
      </c>
      <c r="I519" s="26">
        <v>2342.81</v>
      </c>
      <c r="J519" s="27">
        <f t="shared" si="35"/>
        <v>2342.81</v>
      </c>
    </row>
    <row r="520" spans="1:10" x14ac:dyDescent="0.3">
      <c r="A520" s="23" t="str">
        <f t="shared" si="32"/>
        <v>01-05-2026</v>
      </c>
      <c r="B520" s="24" t="s">
        <v>34</v>
      </c>
      <c r="C520" s="4">
        <v>8905951593590</v>
      </c>
      <c r="D520" s="24" t="s">
        <v>37</v>
      </c>
      <c r="E520" s="24" t="s">
        <v>281</v>
      </c>
      <c r="F520" s="25" t="str">
        <f t="shared" si="33"/>
        <v>FLYING MACHINE</v>
      </c>
      <c r="G520" s="24">
        <v>1</v>
      </c>
      <c r="H520" s="25" t="str">
        <f t="shared" si="34"/>
        <v>Pcs.</v>
      </c>
      <c r="I520" s="26">
        <v>2342.81</v>
      </c>
      <c r="J520" s="27">
        <f t="shared" si="35"/>
        <v>2342.81</v>
      </c>
    </row>
    <row r="521" spans="1:10" x14ac:dyDescent="0.3">
      <c r="A521" s="23" t="str">
        <f t="shared" si="32"/>
        <v>01-05-2026</v>
      </c>
      <c r="B521" s="24" t="s">
        <v>34</v>
      </c>
      <c r="C521" s="4">
        <v>8905951593613</v>
      </c>
      <c r="D521" s="24" t="s">
        <v>39</v>
      </c>
      <c r="E521" s="24" t="s">
        <v>281</v>
      </c>
      <c r="F521" s="25" t="str">
        <f t="shared" si="33"/>
        <v>FLYING MACHINE</v>
      </c>
      <c r="G521" s="24">
        <v>2</v>
      </c>
      <c r="H521" s="25" t="str">
        <f t="shared" si="34"/>
        <v>Pcs.</v>
      </c>
      <c r="I521" s="26">
        <v>2342.81</v>
      </c>
      <c r="J521" s="27">
        <f t="shared" si="35"/>
        <v>4685.62</v>
      </c>
    </row>
    <row r="522" spans="1:10" x14ac:dyDescent="0.3">
      <c r="A522" s="23" t="str">
        <f t="shared" si="32"/>
        <v>01-05-2026</v>
      </c>
      <c r="B522" s="24" t="s">
        <v>34</v>
      </c>
      <c r="C522" s="4">
        <v>8905951596058</v>
      </c>
      <c r="D522" s="24" t="s">
        <v>51</v>
      </c>
      <c r="E522" s="24" t="s">
        <v>282</v>
      </c>
      <c r="F522" s="25" t="str">
        <f t="shared" si="33"/>
        <v>FLYING MACHINE</v>
      </c>
      <c r="G522" s="24">
        <v>2</v>
      </c>
      <c r="H522" s="25" t="str">
        <f t="shared" si="34"/>
        <v>Pcs.</v>
      </c>
      <c r="I522" s="26">
        <v>2342.81</v>
      </c>
      <c r="J522" s="27">
        <f t="shared" si="35"/>
        <v>4685.62</v>
      </c>
    </row>
    <row r="523" spans="1:10" x14ac:dyDescent="0.3">
      <c r="A523" s="23" t="str">
        <f t="shared" si="32"/>
        <v>01-05-2026</v>
      </c>
      <c r="B523" s="24" t="s">
        <v>34</v>
      </c>
      <c r="C523" s="4">
        <v>8905951596065</v>
      </c>
      <c r="D523" s="24" t="s">
        <v>46</v>
      </c>
      <c r="E523" s="24" t="s">
        <v>282</v>
      </c>
      <c r="F523" s="25" t="str">
        <f t="shared" si="33"/>
        <v>FLYING MACHINE</v>
      </c>
      <c r="G523" s="24">
        <v>2</v>
      </c>
      <c r="H523" s="25" t="str">
        <f t="shared" si="34"/>
        <v>Pcs.</v>
      </c>
      <c r="I523" s="26">
        <v>2342.81</v>
      </c>
      <c r="J523" s="27">
        <f t="shared" si="35"/>
        <v>4685.62</v>
      </c>
    </row>
    <row r="524" spans="1:10" x14ac:dyDescent="0.3">
      <c r="A524" s="23" t="str">
        <f t="shared" si="32"/>
        <v>01-05-2026</v>
      </c>
      <c r="B524" s="24" t="s">
        <v>34</v>
      </c>
      <c r="C524" s="4">
        <v>8905951596089</v>
      </c>
      <c r="D524" s="24" t="s">
        <v>57</v>
      </c>
      <c r="E524" s="24" t="s">
        <v>282</v>
      </c>
      <c r="F524" s="25" t="str">
        <f t="shared" si="33"/>
        <v>FLYING MACHINE</v>
      </c>
      <c r="G524" s="24">
        <v>1</v>
      </c>
      <c r="H524" s="25" t="str">
        <f t="shared" si="34"/>
        <v>Pcs.</v>
      </c>
      <c r="I524" s="26">
        <v>2342.81</v>
      </c>
      <c r="J524" s="27">
        <f t="shared" si="35"/>
        <v>2342.81</v>
      </c>
    </row>
    <row r="525" spans="1:10" x14ac:dyDescent="0.3">
      <c r="A525" s="23" t="str">
        <f t="shared" si="32"/>
        <v>01-05-2026</v>
      </c>
      <c r="B525" s="24" t="s">
        <v>34</v>
      </c>
      <c r="C525" s="4">
        <v>8905951596096</v>
      </c>
      <c r="D525" s="24" t="s">
        <v>39</v>
      </c>
      <c r="E525" s="24" t="s">
        <v>282</v>
      </c>
      <c r="F525" s="25" t="str">
        <f t="shared" si="33"/>
        <v>FLYING MACHINE</v>
      </c>
      <c r="G525" s="24">
        <v>1</v>
      </c>
      <c r="H525" s="25" t="str">
        <f t="shared" si="34"/>
        <v>Pcs.</v>
      </c>
      <c r="I525" s="26">
        <v>2343</v>
      </c>
      <c r="J525" s="27">
        <f t="shared" si="35"/>
        <v>2343</v>
      </c>
    </row>
    <row r="526" spans="1:10" x14ac:dyDescent="0.3">
      <c r="A526" s="23" t="str">
        <f t="shared" si="32"/>
        <v>01-05-2026</v>
      </c>
      <c r="B526" s="24" t="s">
        <v>34</v>
      </c>
      <c r="C526" s="4">
        <v>8905951596133</v>
      </c>
      <c r="D526" s="24" t="s">
        <v>51</v>
      </c>
      <c r="E526" s="24" t="s">
        <v>283</v>
      </c>
      <c r="F526" s="25" t="str">
        <f t="shared" si="33"/>
        <v>FLYING MACHINE</v>
      </c>
      <c r="G526" s="24">
        <v>2</v>
      </c>
      <c r="H526" s="25" t="str">
        <f t="shared" si="34"/>
        <v>Pcs.</v>
      </c>
      <c r="I526" s="26">
        <v>2155.31</v>
      </c>
      <c r="J526" s="27">
        <f t="shared" si="35"/>
        <v>4310.62</v>
      </c>
    </row>
    <row r="527" spans="1:10" x14ac:dyDescent="0.3">
      <c r="A527" s="23" t="str">
        <f t="shared" si="32"/>
        <v>01-05-2026</v>
      </c>
      <c r="B527" s="24" t="s">
        <v>34</v>
      </c>
      <c r="C527" s="4">
        <v>8905951596140</v>
      </c>
      <c r="D527" s="24" t="s">
        <v>46</v>
      </c>
      <c r="E527" s="24" t="s">
        <v>283</v>
      </c>
      <c r="F527" s="25" t="str">
        <f t="shared" si="33"/>
        <v>FLYING MACHINE</v>
      </c>
      <c r="G527" s="24">
        <v>1</v>
      </c>
      <c r="H527" s="25" t="str">
        <f t="shared" si="34"/>
        <v>Pcs.</v>
      </c>
      <c r="I527" s="26">
        <v>2155.31</v>
      </c>
      <c r="J527" s="27">
        <f t="shared" si="35"/>
        <v>2155.31</v>
      </c>
    </row>
    <row r="528" spans="1:10" x14ac:dyDescent="0.3">
      <c r="A528" s="23" t="str">
        <f t="shared" si="32"/>
        <v>01-05-2026</v>
      </c>
      <c r="B528" s="24" t="s">
        <v>34</v>
      </c>
      <c r="C528" s="4">
        <v>8905951596171</v>
      </c>
      <c r="D528" s="24" t="s">
        <v>39</v>
      </c>
      <c r="E528" s="24" t="s">
        <v>283</v>
      </c>
      <c r="F528" s="25" t="str">
        <f t="shared" si="33"/>
        <v>FLYING MACHINE</v>
      </c>
      <c r="G528" s="24">
        <v>1</v>
      </c>
      <c r="H528" s="25" t="str">
        <f t="shared" si="34"/>
        <v>Pcs.</v>
      </c>
      <c r="I528" s="26">
        <v>2155.31</v>
      </c>
      <c r="J528" s="27">
        <f t="shared" si="35"/>
        <v>2155.31</v>
      </c>
    </row>
    <row r="529" spans="1:10" x14ac:dyDescent="0.3">
      <c r="A529" s="23" t="str">
        <f t="shared" si="32"/>
        <v>01-05-2026</v>
      </c>
      <c r="B529" s="24" t="s">
        <v>34</v>
      </c>
      <c r="C529" s="4">
        <v>8905951596225</v>
      </c>
      <c r="D529" s="24" t="s">
        <v>46</v>
      </c>
      <c r="E529" s="24" t="s">
        <v>284</v>
      </c>
      <c r="F529" s="25" t="str">
        <f t="shared" si="33"/>
        <v>FLYING MACHINE</v>
      </c>
      <c r="G529" s="24">
        <v>2</v>
      </c>
      <c r="H529" s="25" t="str">
        <f t="shared" si="34"/>
        <v>Pcs.</v>
      </c>
      <c r="I529" s="26">
        <v>2342.81</v>
      </c>
      <c r="J529" s="27">
        <f t="shared" si="35"/>
        <v>4685.62</v>
      </c>
    </row>
    <row r="530" spans="1:10" x14ac:dyDescent="0.3">
      <c r="A530" s="23" t="str">
        <f t="shared" si="32"/>
        <v>01-05-2026</v>
      </c>
      <c r="B530" s="24" t="s">
        <v>34</v>
      </c>
      <c r="C530" s="4">
        <v>8905952860080</v>
      </c>
      <c r="D530" s="24" t="s">
        <v>39</v>
      </c>
      <c r="E530" s="24" t="s">
        <v>285</v>
      </c>
      <c r="F530" s="25" t="str">
        <f t="shared" si="33"/>
        <v>FLYING MACHINE</v>
      </c>
      <c r="G530" s="24">
        <v>1</v>
      </c>
      <c r="H530" s="25" t="str">
        <f t="shared" si="34"/>
        <v>Pcs.</v>
      </c>
      <c r="I530" s="26">
        <v>1405.31</v>
      </c>
      <c r="J530" s="27">
        <f t="shared" si="35"/>
        <v>1405.31</v>
      </c>
    </row>
    <row r="531" spans="1:10" x14ac:dyDescent="0.3">
      <c r="A531" s="23" t="str">
        <f t="shared" si="32"/>
        <v>01-05-2026</v>
      </c>
      <c r="B531" s="24" t="s">
        <v>34</v>
      </c>
      <c r="C531" s="4">
        <v>8905952873448</v>
      </c>
      <c r="D531" s="24" t="s">
        <v>46</v>
      </c>
      <c r="E531" s="24" t="s">
        <v>286</v>
      </c>
      <c r="F531" s="25" t="str">
        <f t="shared" si="33"/>
        <v>FLYING MACHINE</v>
      </c>
      <c r="G531" s="24">
        <v>1</v>
      </c>
      <c r="H531" s="25" t="str">
        <f t="shared" si="34"/>
        <v>Pcs.</v>
      </c>
      <c r="I531" s="26">
        <v>2343</v>
      </c>
      <c r="J531" s="27">
        <f t="shared" si="35"/>
        <v>2343</v>
      </c>
    </row>
    <row r="532" spans="1:10" x14ac:dyDescent="0.3">
      <c r="A532" s="23" t="str">
        <f t="shared" si="32"/>
        <v>01-05-2026</v>
      </c>
      <c r="B532" s="24" t="s">
        <v>34</v>
      </c>
      <c r="C532" s="4">
        <v>8905952885861</v>
      </c>
      <c r="D532" s="24" t="s">
        <v>51</v>
      </c>
      <c r="E532" s="24" t="s">
        <v>287</v>
      </c>
      <c r="F532" s="25" t="str">
        <f t="shared" si="33"/>
        <v>FLYING MACHINE</v>
      </c>
      <c r="G532" s="24">
        <v>1</v>
      </c>
      <c r="H532" s="25" t="str">
        <f t="shared" si="34"/>
        <v>Pcs.</v>
      </c>
      <c r="I532" s="26">
        <v>1874</v>
      </c>
      <c r="J532" s="27">
        <f t="shared" si="35"/>
        <v>1874</v>
      </c>
    </row>
    <row r="533" spans="1:10" x14ac:dyDescent="0.3">
      <c r="A533" s="23" t="str">
        <f t="shared" si="32"/>
        <v>01-05-2026</v>
      </c>
      <c r="B533" s="24" t="s">
        <v>34</v>
      </c>
      <c r="C533" s="4">
        <v>8905952888541</v>
      </c>
      <c r="D533" s="24" t="s">
        <v>37</v>
      </c>
      <c r="E533" s="24" t="s">
        <v>288</v>
      </c>
      <c r="F533" s="25" t="str">
        <f t="shared" si="33"/>
        <v>FLYING MACHINE</v>
      </c>
      <c r="G533" s="24">
        <v>1</v>
      </c>
      <c r="H533" s="25" t="str">
        <f t="shared" si="34"/>
        <v>Pcs.</v>
      </c>
      <c r="I533" s="26">
        <v>2155.31</v>
      </c>
      <c r="J533" s="27">
        <f t="shared" si="35"/>
        <v>2155.31</v>
      </c>
    </row>
    <row r="534" spans="1:10" x14ac:dyDescent="0.3">
      <c r="A534" s="23" t="str">
        <f t="shared" si="32"/>
        <v>01-05-2026</v>
      </c>
      <c r="B534" s="24" t="s">
        <v>34</v>
      </c>
      <c r="C534" s="4">
        <v>8909113057760</v>
      </c>
      <c r="D534" s="24" t="s">
        <v>51</v>
      </c>
      <c r="E534" s="24" t="s">
        <v>289</v>
      </c>
      <c r="F534" s="25" t="str">
        <f t="shared" si="33"/>
        <v>FLYING MACHINE</v>
      </c>
      <c r="G534" s="24">
        <v>2</v>
      </c>
      <c r="H534" s="25" t="str">
        <f t="shared" si="34"/>
        <v>Pcs.</v>
      </c>
      <c r="I534" s="26">
        <v>2343</v>
      </c>
      <c r="J534" s="27">
        <f t="shared" si="35"/>
        <v>4686</v>
      </c>
    </row>
    <row r="535" spans="1:10" x14ac:dyDescent="0.3">
      <c r="A535" s="23" t="str">
        <f t="shared" si="32"/>
        <v>01-05-2026</v>
      </c>
      <c r="B535" s="24" t="s">
        <v>34</v>
      </c>
      <c r="C535" s="4">
        <v>8909113057777</v>
      </c>
      <c r="D535" s="24" t="s">
        <v>46</v>
      </c>
      <c r="E535" s="24" t="s">
        <v>289</v>
      </c>
      <c r="F535" s="25" t="str">
        <f t="shared" si="33"/>
        <v>FLYING MACHINE</v>
      </c>
      <c r="G535" s="24">
        <v>2</v>
      </c>
      <c r="H535" s="25" t="str">
        <f t="shared" si="34"/>
        <v>Pcs.</v>
      </c>
      <c r="I535" s="26">
        <v>2343</v>
      </c>
      <c r="J535" s="27">
        <f t="shared" si="35"/>
        <v>4686</v>
      </c>
    </row>
    <row r="536" spans="1:10" x14ac:dyDescent="0.3">
      <c r="A536" s="23" t="str">
        <f t="shared" si="32"/>
        <v>01-05-2026</v>
      </c>
      <c r="B536" s="24" t="s">
        <v>34</v>
      </c>
      <c r="C536" s="4">
        <v>8909113057791</v>
      </c>
      <c r="D536" s="24" t="s">
        <v>57</v>
      </c>
      <c r="E536" s="24" t="s">
        <v>289</v>
      </c>
      <c r="F536" s="25" t="str">
        <f t="shared" si="33"/>
        <v>FLYING MACHINE</v>
      </c>
      <c r="G536" s="24">
        <v>1</v>
      </c>
      <c r="H536" s="25" t="str">
        <f t="shared" si="34"/>
        <v>Pcs.</v>
      </c>
      <c r="I536" s="26">
        <v>2343</v>
      </c>
      <c r="J536" s="27">
        <f t="shared" si="35"/>
        <v>2343</v>
      </c>
    </row>
    <row r="537" spans="1:10" x14ac:dyDescent="0.3">
      <c r="A537" s="23" t="str">
        <f t="shared" si="32"/>
        <v>01-05-2026</v>
      </c>
      <c r="B537" s="24" t="s">
        <v>34</v>
      </c>
      <c r="C537" s="4">
        <v>8909113057814</v>
      </c>
      <c r="D537" s="24" t="s">
        <v>39</v>
      </c>
      <c r="E537" s="24" t="s">
        <v>289</v>
      </c>
      <c r="F537" s="25" t="str">
        <f t="shared" si="33"/>
        <v>FLYING MACHINE</v>
      </c>
      <c r="G537" s="24">
        <v>1</v>
      </c>
      <c r="H537" s="25" t="str">
        <f t="shared" si="34"/>
        <v>Pcs.</v>
      </c>
      <c r="I537" s="26">
        <v>2343</v>
      </c>
      <c r="J537" s="27">
        <f t="shared" si="35"/>
        <v>2343</v>
      </c>
    </row>
    <row r="538" spans="1:10" x14ac:dyDescent="0.3">
      <c r="A538" s="23" t="str">
        <f t="shared" si="32"/>
        <v>01-05-2026</v>
      </c>
      <c r="B538" s="24" t="s">
        <v>34</v>
      </c>
      <c r="C538" s="4">
        <v>8909113058767</v>
      </c>
      <c r="D538" s="24" t="s">
        <v>46</v>
      </c>
      <c r="E538" s="24" t="s">
        <v>290</v>
      </c>
      <c r="F538" s="25" t="str">
        <f t="shared" si="33"/>
        <v>FLYING MACHINE</v>
      </c>
      <c r="G538" s="24">
        <v>2</v>
      </c>
      <c r="H538" s="25" t="str">
        <f t="shared" si="34"/>
        <v>Pcs.</v>
      </c>
      <c r="I538" s="26">
        <v>1405</v>
      </c>
      <c r="J538" s="27">
        <f t="shared" si="35"/>
        <v>2810</v>
      </c>
    </row>
    <row r="539" spans="1:10" x14ac:dyDescent="0.3">
      <c r="A539" s="23" t="str">
        <f t="shared" si="32"/>
        <v>01-05-2026</v>
      </c>
      <c r="B539" s="24" t="s">
        <v>34</v>
      </c>
      <c r="C539" s="4">
        <v>8909113059252</v>
      </c>
      <c r="D539" s="24">
        <v>36</v>
      </c>
      <c r="E539" s="24" t="s">
        <v>291</v>
      </c>
      <c r="F539" s="25" t="str">
        <f t="shared" si="33"/>
        <v>FLYING MACHINE</v>
      </c>
      <c r="G539" s="24">
        <v>1</v>
      </c>
      <c r="H539" s="25" t="str">
        <f t="shared" si="34"/>
        <v>Pcs.</v>
      </c>
      <c r="I539" s="26">
        <v>1405</v>
      </c>
      <c r="J539" s="27">
        <f t="shared" si="35"/>
        <v>1405</v>
      </c>
    </row>
    <row r="540" spans="1:10" x14ac:dyDescent="0.3">
      <c r="A540" s="23" t="str">
        <f t="shared" si="32"/>
        <v>01-05-2026</v>
      </c>
      <c r="B540" s="24" t="s">
        <v>34</v>
      </c>
      <c r="C540" s="4">
        <v>8909113060746</v>
      </c>
      <c r="D540" s="24" t="s">
        <v>46</v>
      </c>
      <c r="E540" s="24" t="s">
        <v>292</v>
      </c>
      <c r="F540" s="25" t="str">
        <f t="shared" si="33"/>
        <v>FLYING MACHINE</v>
      </c>
      <c r="G540" s="24">
        <v>1</v>
      </c>
      <c r="H540" s="25" t="str">
        <f t="shared" si="34"/>
        <v>Pcs.</v>
      </c>
      <c r="I540" s="26">
        <v>1405.31</v>
      </c>
      <c r="J540" s="27">
        <f t="shared" si="35"/>
        <v>1405.31</v>
      </c>
    </row>
    <row r="541" spans="1:10" x14ac:dyDescent="0.3">
      <c r="A541" s="23" t="str">
        <f t="shared" si="32"/>
        <v>01-05-2026</v>
      </c>
      <c r="B541" s="24" t="s">
        <v>34</v>
      </c>
      <c r="C541" s="4">
        <v>8909113061033</v>
      </c>
      <c r="D541" s="24" t="s">
        <v>57</v>
      </c>
      <c r="E541" s="24" t="s">
        <v>293</v>
      </c>
      <c r="F541" s="25" t="str">
        <f t="shared" si="33"/>
        <v>FLYING MACHINE</v>
      </c>
      <c r="G541" s="24">
        <v>1</v>
      </c>
      <c r="H541" s="25" t="str">
        <f t="shared" si="34"/>
        <v>Pcs.</v>
      </c>
      <c r="I541" s="26">
        <v>1405.31</v>
      </c>
      <c r="J541" s="27">
        <f t="shared" si="35"/>
        <v>1405.31</v>
      </c>
    </row>
    <row r="542" spans="1:10" x14ac:dyDescent="0.3">
      <c r="A542" s="23" t="str">
        <f t="shared" si="32"/>
        <v>01-05-2026</v>
      </c>
      <c r="B542" s="24" t="s">
        <v>34</v>
      </c>
      <c r="C542" s="4">
        <v>8909113061057</v>
      </c>
      <c r="D542" s="24" t="s">
        <v>39</v>
      </c>
      <c r="E542" s="24" t="s">
        <v>293</v>
      </c>
      <c r="F542" s="25" t="str">
        <f t="shared" si="33"/>
        <v>FLYING MACHINE</v>
      </c>
      <c r="G542" s="24">
        <v>1</v>
      </c>
      <c r="H542" s="25" t="str">
        <f t="shared" si="34"/>
        <v>Pcs.</v>
      </c>
      <c r="I542" s="26">
        <v>1405.31</v>
      </c>
      <c r="J542" s="27">
        <f t="shared" si="35"/>
        <v>1405.31</v>
      </c>
    </row>
    <row r="543" spans="1:10" x14ac:dyDescent="0.3">
      <c r="A543" s="23" t="str">
        <f t="shared" si="32"/>
        <v>01-05-2026</v>
      </c>
      <c r="B543" s="24" t="s">
        <v>34</v>
      </c>
      <c r="C543" s="4">
        <v>8909113062917</v>
      </c>
      <c r="D543" s="24" t="s">
        <v>37</v>
      </c>
      <c r="E543" s="24" t="s">
        <v>294</v>
      </c>
      <c r="F543" s="25" t="str">
        <f t="shared" si="33"/>
        <v>FLYING MACHINE</v>
      </c>
      <c r="G543" s="24">
        <v>1</v>
      </c>
      <c r="H543" s="25" t="str">
        <f t="shared" si="34"/>
        <v>Pcs.</v>
      </c>
      <c r="I543" s="26">
        <v>1874</v>
      </c>
      <c r="J543" s="27">
        <f t="shared" si="35"/>
        <v>1874</v>
      </c>
    </row>
    <row r="544" spans="1:10" x14ac:dyDescent="0.3">
      <c r="A544" s="23" t="str">
        <f t="shared" si="32"/>
        <v>01-05-2026</v>
      </c>
      <c r="B544" s="24" t="s">
        <v>34</v>
      </c>
      <c r="C544" s="4">
        <v>8909113062924</v>
      </c>
      <c r="D544" s="24" t="s">
        <v>57</v>
      </c>
      <c r="E544" s="24" t="s">
        <v>294</v>
      </c>
      <c r="F544" s="25" t="str">
        <f t="shared" si="33"/>
        <v>FLYING MACHINE</v>
      </c>
      <c r="G544" s="24">
        <v>1</v>
      </c>
      <c r="H544" s="25" t="str">
        <f t="shared" si="34"/>
        <v>Pcs.</v>
      </c>
      <c r="I544" s="26">
        <v>1874</v>
      </c>
      <c r="J544" s="27">
        <f t="shared" si="35"/>
        <v>1874</v>
      </c>
    </row>
    <row r="545" spans="1:10" x14ac:dyDescent="0.3">
      <c r="A545" s="23" t="str">
        <f t="shared" si="32"/>
        <v>01-05-2026</v>
      </c>
      <c r="B545" s="24" t="s">
        <v>34</v>
      </c>
      <c r="C545" s="4">
        <v>8909113063037</v>
      </c>
      <c r="D545" s="24" t="s">
        <v>39</v>
      </c>
      <c r="E545" s="24" t="s">
        <v>295</v>
      </c>
      <c r="F545" s="25" t="str">
        <f t="shared" si="33"/>
        <v>FLYING MACHINE</v>
      </c>
      <c r="G545" s="24">
        <v>1</v>
      </c>
      <c r="H545" s="25" t="str">
        <f t="shared" si="34"/>
        <v>Pcs.</v>
      </c>
      <c r="I545" s="26">
        <v>1874</v>
      </c>
      <c r="J545" s="27">
        <f t="shared" si="35"/>
        <v>1874</v>
      </c>
    </row>
    <row r="546" spans="1:10" x14ac:dyDescent="0.3">
      <c r="A546" s="23" t="str">
        <f t="shared" si="32"/>
        <v>01-05-2026</v>
      </c>
      <c r="B546" s="24" t="s">
        <v>34</v>
      </c>
      <c r="C546" s="4">
        <v>8909113063167</v>
      </c>
      <c r="D546" s="24" t="s">
        <v>51</v>
      </c>
      <c r="E546" s="24" t="s">
        <v>296</v>
      </c>
      <c r="F546" s="25" t="str">
        <f t="shared" si="33"/>
        <v>FLYING MACHINE</v>
      </c>
      <c r="G546" s="24">
        <v>2</v>
      </c>
      <c r="H546" s="25" t="str">
        <f t="shared" si="34"/>
        <v>Pcs.</v>
      </c>
      <c r="I546" s="26">
        <v>1874</v>
      </c>
      <c r="J546" s="27">
        <f t="shared" si="35"/>
        <v>3748</v>
      </c>
    </row>
    <row r="547" spans="1:10" x14ac:dyDescent="0.3">
      <c r="A547" s="23" t="str">
        <f t="shared" si="32"/>
        <v>01-05-2026</v>
      </c>
      <c r="B547" s="24" t="s">
        <v>34</v>
      </c>
      <c r="C547" s="4">
        <v>8909113063211</v>
      </c>
      <c r="D547" s="24" t="s">
        <v>39</v>
      </c>
      <c r="E547" s="24" t="s">
        <v>296</v>
      </c>
      <c r="F547" s="25" t="str">
        <f t="shared" si="33"/>
        <v>FLYING MACHINE</v>
      </c>
      <c r="G547" s="24">
        <v>1</v>
      </c>
      <c r="H547" s="25" t="str">
        <f t="shared" si="34"/>
        <v>Pcs.</v>
      </c>
      <c r="I547" s="26">
        <v>1874</v>
      </c>
      <c r="J547" s="27">
        <f t="shared" si="35"/>
        <v>1874</v>
      </c>
    </row>
    <row r="548" spans="1:10" x14ac:dyDescent="0.3">
      <c r="A548" s="23" t="str">
        <f t="shared" si="32"/>
        <v>01-05-2026</v>
      </c>
      <c r="B548" s="24" t="s">
        <v>34</v>
      </c>
      <c r="C548" s="4">
        <v>8909113063273</v>
      </c>
      <c r="D548" s="24" t="s">
        <v>37</v>
      </c>
      <c r="E548" s="24" t="s">
        <v>297</v>
      </c>
      <c r="F548" s="25" t="str">
        <f t="shared" si="33"/>
        <v>FLYING MACHINE</v>
      </c>
      <c r="G548" s="24">
        <v>1</v>
      </c>
      <c r="H548" s="25" t="str">
        <f t="shared" si="34"/>
        <v>Pcs.</v>
      </c>
      <c r="I548" s="26">
        <v>1874</v>
      </c>
      <c r="J548" s="27">
        <f t="shared" si="35"/>
        <v>1874</v>
      </c>
    </row>
    <row r="549" spans="1:10" x14ac:dyDescent="0.3">
      <c r="A549" s="23" t="str">
        <f t="shared" si="32"/>
        <v>01-05-2026</v>
      </c>
      <c r="B549" s="24" t="s">
        <v>34</v>
      </c>
      <c r="C549" s="4">
        <v>8909113063341</v>
      </c>
      <c r="D549" s="24" t="s">
        <v>51</v>
      </c>
      <c r="E549" s="24" t="s">
        <v>298</v>
      </c>
      <c r="F549" s="25" t="str">
        <f t="shared" si="33"/>
        <v>FLYING MACHINE</v>
      </c>
      <c r="G549" s="24">
        <v>1</v>
      </c>
      <c r="H549" s="25" t="str">
        <f t="shared" si="34"/>
        <v>Pcs.</v>
      </c>
      <c r="I549" s="26">
        <v>1874</v>
      </c>
      <c r="J549" s="27">
        <f t="shared" si="35"/>
        <v>1874</v>
      </c>
    </row>
    <row r="550" spans="1:10" x14ac:dyDescent="0.3">
      <c r="A550" s="23" t="str">
        <f t="shared" si="32"/>
        <v>01-05-2026</v>
      </c>
      <c r="B550" s="24" t="s">
        <v>34</v>
      </c>
      <c r="C550" s="4">
        <v>8909113063488</v>
      </c>
      <c r="D550" s="24" t="s">
        <v>39</v>
      </c>
      <c r="E550" s="24" t="s">
        <v>299</v>
      </c>
      <c r="F550" s="25" t="str">
        <f t="shared" si="33"/>
        <v>FLYING MACHINE</v>
      </c>
      <c r="G550" s="24">
        <v>1</v>
      </c>
      <c r="H550" s="25" t="str">
        <f t="shared" si="34"/>
        <v>Pcs.</v>
      </c>
      <c r="I550" s="26">
        <v>1874</v>
      </c>
      <c r="J550" s="27">
        <f t="shared" si="35"/>
        <v>1874</v>
      </c>
    </row>
    <row r="551" spans="1:10" x14ac:dyDescent="0.3">
      <c r="A551" s="23" t="str">
        <f t="shared" si="32"/>
        <v>01-05-2026</v>
      </c>
      <c r="B551" s="24" t="s">
        <v>34</v>
      </c>
      <c r="C551" s="4">
        <v>8909113063617</v>
      </c>
      <c r="D551" s="24" t="s">
        <v>51</v>
      </c>
      <c r="E551" s="24" t="s">
        <v>300</v>
      </c>
      <c r="F551" s="25" t="str">
        <f t="shared" si="33"/>
        <v>FLYING MACHINE</v>
      </c>
      <c r="G551" s="24">
        <v>1</v>
      </c>
      <c r="H551" s="25" t="str">
        <f t="shared" si="34"/>
        <v>Pcs.</v>
      </c>
      <c r="I551" s="26">
        <v>1874</v>
      </c>
      <c r="J551" s="27">
        <f t="shared" si="35"/>
        <v>1874</v>
      </c>
    </row>
    <row r="552" spans="1:10" x14ac:dyDescent="0.3">
      <c r="A552" s="23" t="str">
        <f t="shared" si="32"/>
        <v>01-05-2026</v>
      </c>
      <c r="B552" s="24" t="s">
        <v>34</v>
      </c>
      <c r="C552" s="4">
        <v>8909113063648</v>
      </c>
      <c r="D552" s="24" t="s">
        <v>57</v>
      </c>
      <c r="E552" s="24" t="s">
        <v>300</v>
      </c>
      <c r="F552" s="25" t="str">
        <f t="shared" si="33"/>
        <v>FLYING MACHINE</v>
      </c>
      <c r="G552" s="24">
        <v>1</v>
      </c>
      <c r="H552" s="25" t="str">
        <f t="shared" si="34"/>
        <v>Pcs.</v>
      </c>
      <c r="I552" s="26">
        <v>1874</v>
      </c>
      <c r="J552" s="27">
        <f t="shared" si="35"/>
        <v>1874</v>
      </c>
    </row>
    <row r="553" spans="1:10" x14ac:dyDescent="0.3">
      <c r="A553" s="23" t="str">
        <f t="shared" si="32"/>
        <v>01-05-2026</v>
      </c>
      <c r="B553" s="24" t="s">
        <v>34</v>
      </c>
      <c r="C553" s="4">
        <v>8909113063754</v>
      </c>
      <c r="D553" s="24" t="s">
        <v>39</v>
      </c>
      <c r="E553" s="24" t="s">
        <v>301</v>
      </c>
      <c r="F553" s="25" t="str">
        <f t="shared" si="33"/>
        <v>FLYING MACHINE</v>
      </c>
      <c r="G553" s="24">
        <v>1</v>
      </c>
      <c r="H553" s="25" t="str">
        <f t="shared" si="34"/>
        <v>Pcs.</v>
      </c>
      <c r="I553" s="26">
        <v>1874</v>
      </c>
      <c r="J553" s="27">
        <f t="shared" si="35"/>
        <v>1874</v>
      </c>
    </row>
    <row r="554" spans="1:10" x14ac:dyDescent="0.3">
      <c r="A554" s="23" t="str">
        <f t="shared" si="32"/>
        <v>01-05-2026</v>
      </c>
      <c r="B554" s="24" t="s">
        <v>34</v>
      </c>
      <c r="C554" s="4">
        <v>8909113063976</v>
      </c>
      <c r="D554" s="24" t="s">
        <v>51</v>
      </c>
      <c r="E554" s="24" t="s">
        <v>302</v>
      </c>
      <c r="F554" s="25" t="str">
        <f t="shared" si="33"/>
        <v>FLYING MACHINE</v>
      </c>
      <c r="G554" s="24">
        <v>1</v>
      </c>
      <c r="H554" s="25" t="str">
        <f t="shared" si="34"/>
        <v>Pcs.</v>
      </c>
      <c r="I554" s="26">
        <v>1874</v>
      </c>
      <c r="J554" s="27">
        <f t="shared" si="35"/>
        <v>1874</v>
      </c>
    </row>
    <row r="555" spans="1:10" x14ac:dyDescent="0.3">
      <c r="A555" s="23" t="str">
        <f t="shared" si="32"/>
        <v>01-05-2026</v>
      </c>
      <c r="B555" s="24" t="s">
        <v>34</v>
      </c>
      <c r="C555" s="4">
        <v>8909113064003</v>
      </c>
      <c r="D555" s="24" t="s">
        <v>57</v>
      </c>
      <c r="E555" s="24" t="s">
        <v>302</v>
      </c>
      <c r="F555" s="25" t="str">
        <f t="shared" si="33"/>
        <v>FLYING MACHINE</v>
      </c>
      <c r="G555" s="24">
        <v>1</v>
      </c>
      <c r="H555" s="25" t="str">
        <f t="shared" si="34"/>
        <v>Pcs.</v>
      </c>
      <c r="I555" s="26">
        <v>1874</v>
      </c>
      <c r="J555" s="27">
        <f t="shared" si="35"/>
        <v>1874</v>
      </c>
    </row>
    <row r="556" spans="1:10" x14ac:dyDescent="0.3">
      <c r="A556" s="23" t="str">
        <f t="shared" si="32"/>
        <v>01-05-2026</v>
      </c>
      <c r="B556" s="24" t="s">
        <v>34</v>
      </c>
      <c r="C556" s="4">
        <v>8909113064027</v>
      </c>
      <c r="D556" s="24" t="s">
        <v>39</v>
      </c>
      <c r="E556" s="24" t="s">
        <v>302</v>
      </c>
      <c r="F556" s="25" t="str">
        <f t="shared" si="33"/>
        <v>FLYING MACHINE</v>
      </c>
      <c r="G556" s="24">
        <v>1</v>
      </c>
      <c r="H556" s="25" t="str">
        <f t="shared" si="34"/>
        <v>Pcs.</v>
      </c>
      <c r="I556" s="26">
        <v>1874</v>
      </c>
      <c r="J556" s="27">
        <f t="shared" si="35"/>
        <v>1874</v>
      </c>
    </row>
    <row r="557" spans="1:10" x14ac:dyDescent="0.3">
      <c r="A557" s="23" t="str">
        <f t="shared" si="32"/>
        <v>01-05-2026</v>
      </c>
      <c r="B557" s="24" t="s">
        <v>34</v>
      </c>
      <c r="C557" s="4">
        <v>8909113064065</v>
      </c>
      <c r="D557" s="24" t="s">
        <v>51</v>
      </c>
      <c r="E557" s="24" t="s">
        <v>65</v>
      </c>
      <c r="F557" s="25" t="str">
        <f t="shared" si="33"/>
        <v>FLYING MACHINE</v>
      </c>
      <c r="G557" s="24">
        <v>1</v>
      </c>
      <c r="H557" s="25" t="str">
        <f t="shared" si="34"/>
        <v>Pcs.</v>
      </c>
      <c r="I557" s="26">
        <v>1874.06</v>
      </c>
      <c r="J557" s="27">
        <f t="shared" si="35"/>
        <v>1874.06</v>
      </c>
    </row>
    <row r="558" spans="1:10" x14ac:dyDescent="0.3">
      <c r="A558" s="23" t="str">
        <f t="shared" si="32"/>
        <v>01-05-2026</v>
      </c>
      <c r="B558" s="24" t="s">
        <v>34</v>
      </c>
      <c r="C558" s="4">
        <v>8909113064089</v>
      </c>
      <c r="D558" s="24" t="s">
        <v>37</v>
      </c>
      <c r="E558" s="24" t="s">
        <v>65</v>
      </c>
      <c r="F558" s="25" t="str">
        <f t="shared" si="33"/>
        <v>FLYING MACHINE</v>
      </c>
      <c r="G558" s="24">
        <v>1</v>
      </c>
      <c r="H558" s="25" t="str">
        <f t="shared" si="34"/>
        <v>Pcs.</v>
      </c>
      <c r="I558" s="26">
        <v>1874.06</v>
      </c>
      <c r="J558" s="27">
        <f t="shared" si="35"/>
        <v>1874.06</v>
      </c>
    </row>
    <row r="559" spans="1:10" x14ac:dyDescent="0.3">
      <c r="A559" s="23" t="str">
        <f t="shared" si="32"/>
        <v>01-05-2026</v>
      </c>
      <c r="B559" s="24" t="s">
        <v>34</v>
      </c>
      <c r="C559" s="4">
        <v>8909113064096</v>
      </c>
      <c r="D559" s="24" t="s">
        <v>57</v>
      </c>
      <c r="E559" s="24" t="s">
        <v>65</v>
      </c>
      <c r="F559" s="25" t="str">
        <f t="shared" si="33"/>
        <v>FLYING MACHINE</v>
      </c>
      <c r="G559" s="24">
        <v>1</v>
      </c>
      <c r="H559" s="25" t="str">
        <f t="shared" si="34"/>
        <v>Pcs.</v>
      </c>
      <c r="I559" s="26">
        <v>1874.06</v>
      </c>
      <c r="J559" s="27">
        <f t="shared" si="35"/>
        <v>1874.06</v>
      </c>
    </row>
    <row r="560" spans="1:10" x14ac:dyDescent="0.3">
      <c r="A560" s="23" t="str">
        <f t="shared" si="32"/>
        <v>01-05-2026</v>
      </c>
      <c r="B560" s="24" t="s">
        <v>34</v>
      </c>
      <c r="C560" s="4">
        <v>8909113064119</v>
      </c>
      <c r="D560" s="24" t="s">
        <v>39</v>
      </c>
      <c r="E560" s="24" t="s">
        <v>65</v>
      </c>
      <c r="F560" s="25" t="str">
        <f t="shared" si="33"/>
        <v>FLYING MACHINE</v>
      </c>
      <c r="G560" s="24">
        <v>1</v>
      </c>
      <c r="H560" s="25" t="str">
        <f t="shared" si="34"/>
        <v>Pcs.</v>
      </c>
      <c r="I560" s="26">
        <v>1874.06</v>
      </c>
      <c r="J560" s="27">
        <f t="shared" si="35"/>
        <v>1874.06</v>
      </c>
    </row>
    <row r="561" spans="1:10" x14ac:dyDescent="0.3">
      <c r="A561" s="23" t="str">
        <f t="shared" si="32"/>
        <v>01-05-2026</v>
      </c>
      <c r="B561" s="24" t="s">
        <v>34</v>
      </c>
      <c r="C561" s="4">
        <v>8909113064782</v>
      </c>
      <c r="D561" s="24" t="s">
        <v>51</v>
      </c>
      <c r="E561" s="24" t="s">
        <v>303</v>
      </c>
      <c r="F561" s="25" t="str">
        <f t="shared" si="33"/>
        <v>FLYING MACHINE</v>
      </c>
      <c r="G561" s="24">
        <v>2</v>
      </c>
      <c r="H561" s="25" t="str">
        <f t="shared" si="34"/>
        <v>Pcs.</v>
      </c>
      <c r="I561" s="26">
        <v>1874</v>
      </c>
      <c r="J561" s="27">
        <f t="shared" si="35"/>
        <v>3748</v>
      </c>
    </row>
    <row r="562" spans="1:10" x14ac:dyDescent="0.3">
      <c r="A562" s="23" t="str">
        <f t="shared" si="32"/>
        <v>01-05-2026</v>
      </c>
      <c r="B562" s="24" t="s">
        <v>34</v>
      </c>
      <c r="C562" s="4">
        <v>8909113064799</v>
      </c>
      <c r="D562" s="24" t="s">
        <v>46</v>
      </c>
      <c r="E562" s="24" t="s">
        <v>303</v>
      </c>
      <c r="F562" s="25" t="str">
        <f t="shared" si="33"/>
        <v>FLYING MACHINE</v>
      </c>
      <c r="G562" s="24">
        <v>1</v>
      </c>
      <c r="H562" s="25" t="str">
        <f t="shared" si="34"/>
        <v>Pcs.</v>
      </c>
      <c r="I562" s="26">
        <v>1874</v>
      </c>
      <c r="J562" s="27">
        <f t="shared" si="35"/>
        <v>1874</v>
      </c>
    </row>
    <row r="563" spans="1:10" x14ac:dyDescent="0.3">
      <c r="A563" s="23" t="str">
        <f t="shared" si="32"/>
        <v>01-05-2026</v>
      </c>
      <c r="B563" s="24" t="s">
        <v>34</v>
      </c>
      <c r="C563" s="4">
        <v>8909113064836</v>
      </c>
      <c r="D563" s="24" t="s">
        <v>39</v>
      </c>
      <c r="E563" s="24" t="s">
        <v>303</v>
      </c>
      <c r="F563" s="25" t="str">
        <f t="shared" si="33"/>
        <v>FLYING MACHINE</v>
      </c>
      <c r="G563" s="24">
        <v>1</v>
      </c>
      <c r="H563" s="25" t="str">
        <f t="shared" si="34"/>
        <v>Pcs.</v>
      </c>
      <c r="I563" s="26">
        <v>1874</v>
      </c>
      <c r="J563" s="27">
        <f t="shared" si="35"/>
        <v>1874</v>
      </c>
    </row>
    <row r="564" spans="1:10" x14ac:dyDescent="0.3">
      <c r="A564" s="23" t="str">
        <f t="shared" si="32"/>
        <v>01-05-2026</v>
      </c>
      <c r="B564" s="24" t="s">
        <v>34</v>
      </c>
      <c r="C564" s="4">
        <v>8909113064997</v>
      </c>
      <c r="D564" s="24" t="s">
        <v>57</v>
      </c>
      <c r="E564" s="24" t="s">
        <v>304</v>
      </c>
      <c r="F564" s="25" t="str">
        <f t="shared" si="33"/>
        <v>FLYING MACHINE</v>
      </c>
      <c r="G564" s="24">
        <v>1</v>
      </c>
      <c r="H564" s="25" t="str">
        <f t="shared" si="34"/>
        <v>Pcs.</v>
      </c>
      <c r="I564" s="26">
        <v>1874</v>
      </c>
      <c r="J564" s="27">
        <f t="shared" si="35"/>
        <v>1874</v>
      </c>
    </row>
    <row r="565" spans="1:10" x14ac:dyDescent="0.3">
      <c r="A565" s="23" t="str">
        <f t="shared" si="32"/>
        <v>01-05-2026</v>
      </c>
      <c r="B565" s="24" t="s">
        <v>34</v>
      </c>
      <c r="C565" s="4">
        <v>8909113065512</v>
      </c>
      <c r="D565" s="24" t="s">
        <v>46</v>
      </c>
      <c r="E565" s="24" t="s">
        <v>305</v>
      </c>
      <c r="F565" s="25" t="str">
        <f t="shared" si="33"/>
        <v>FLYING MACHINE</v>
      </c>
      <c r="G565" s="24">
        <v>1</v>
      </c>
      <c r="H565" s="25" t="str">
        <f t="shared" si="34"/>
        <v>Pcs.</v>
      </c>
      <c r="I565" s="26">
        <v>1874.06</v>
      </c>
      <c r="J565" s="27">
        <f t="shared" si="35"/>
        <v>1874.06</v>
      </c>
    </row>
    <row r="566" spans="1:10" x14ac:dyDescent="0.3">
      <c r="A566" s="23" t="str">
        <f t="shared" si="32"/>
        <v>01-05-2026</v>
      </c>
      <c r="B566" s="24" t="s">
        <v>34</v>
      </c>
      <c r="C566" s="4">
        <v>8909113065611</v>
      </c>
      <c r="D566" s="24" t="s">
        <v>37</v>
      </c>
      <c r="E566" s="24" t="s">
        <v>86</v>
      </c>
      <c r="F566" s="25" t="str">
        <f t="shared" si="33"/>
        <v>FLYING MACHINE</v>
      </c>
      <c r="G566" s="24">
        <v>1</v>
      </c>
      <c r="H566" s="25" t="str">
        <f t="shared" si="34"/>
        <v>Pcs.</v>
      </c>
      <c r="I566" s="26">
        <v>1874</v>
      </c>
      <c r="J566" s="27">
        <f t="shared" si="35"/>
        <v>1874</v>
      </c>
    </row>
    <row r="567" spans="1:10" x14ac:dyDescent="0.3">
      <c r="A567" s="23" t="str">
        <f t="shared" si="32"/>
        <v>01-05-2026</v>
      </c>
      <c r="B567" s="24" t="s">
        <v>34</v>
      </c>
      <c r="C567" s="4">
        <v>8909113065680</v>
      </c>
      <c r="D567" s="24" t="s">
        <v>51</v>
      </c>
      <c r="E567" s="24" t="s">
        <v>71</v>
      </c>
      <c r="F567" s="25" t="str">
        <f t="shared" si="33"/>
        <v>FLYING MACHINE</v>
      </c>
      <c r="G567" s="24">
        <v>1</v>
      </c>
      <c r="H567" s="25" t="str">
        <f t="shared" si="34"/>
        <v>Pcs.</v>
      </c>
      <c r="I567" s="26">
        <v>1874</v>
      </c>
      <c r="J567" s="27">
        <f t="shared" si="35"/>
        <v>1874</v>
      </c>
    </row>
    <row r="568" spans="1:10" x14ac:dyDescent="0.3">
      <c r="A568" s="23" t="str">
        <f t="shared" si="32"/>
        <v>01-05-2026</v>
      </c>
      <c r="B568" s="24" t="s">
        <v>34</v>
      </c>
      <c r="C568" s="4">
        <v>8909113065734</v>
      </c>
      <c r="D568" s="24" t="s">
        <v>39</v>
      </c>
      <c r="E568" s="24" t="s">
        <v>71</v>
      </c>
      <c r="F568" s="25" t="str">
        <f t="shared" si="33"/>
        <v>FLYING MACHINE</v>
      </c>
      <c r="G568" s="24">
        <v>1</v>
      </c>
      <c r="H568" s="25" t="str">
        <f t="shared" si="34"/>
        <v>Pcs.</v>
      </c>
      <c r="I568" s="26">
        <v>1874</v>
      </c>
      <c r="J568" s="27">
        <f t="shared" si="35"/>
        <v>1874</v>
      </c>
    </row>
    <row r="569" spans="1:10" x14ac:dyDescent="0.3">
      <c r="A569" s="23" t="str">
        <f t="shared" si="32"/>
        <v>01-05-2026</v>
      </c>
      <c r="B569" s="24" t="s">
        <v>34</v>
      </c>
      <c r="C569" s="4">
        <v>8909113065772</v>
      </c>
      <c r="D569" s="24" t="s">
        <v>51</v>
      </c>
      <c r="E569" s="24" t="s">
        <v>306</v>
      </c>
      <c r="F569" s="25" t="str">
        <f t="shared" si="33"/>
        <v>FLYING MACHINE</v>
      </c>
      <c r="G569" s="24">
        <v>1</v>
      </c>
      <c r="H569" s="25" t="str">
        <f t="shared" si="34"/>
        <v>Pcs.</v>
      </c>
      <c r="I569" s="26">
        <v>1874</v>
      </c>
      <c r="J569" s="27">
        <f t="shared" si="35"/>
        <v>1874</v>
      </c>
    </row>
    <row r="570" spans="1:10" x14ac:dyDescent="0.3">
      <c r="A570" s="23" t="str">
        <f t="shared" si="32"/>
        <v>01-05-2026</v>
      </c>
      <c r="B570" s="24" t="s">
        <v>34</v>
      </c>
      <c r="C570" s="4">
        <v>8909113066946</v>
      </c>
      <c r="D570" s="24" t="s">
        <v>51</v>
      </c>
      <c r="E570" s="24" t="s">
        <v>44</v>
      </c>
      <c r="F570" s="25" t="str">
        <f t="shared" si="33"/>
        <v>FLYING MACHINE</v>
      </c>
      <c r="G570" s="24">
        <v>2</v>
      </c>
      <c r="H570" s="25" t="str">
        <f t="shared" si="34"/>
        <v>Pcs.</v>
      </c>
      <c r="I570" s="26">
        <v>2155</v>
      </c>
      <c r="J570" s="27">
        <f t="shared" si="35"/>
        <v>4310</v>
      </c>
    </row>
    <row r="571" spans="1:10" x14ac:dyDescent="0.3">
      <c r="A571" s="23" t="str">
        <f t="shared" si="32"/>
        <v>01-05-2026</v>
      </c>
      <c r="B571" s="24" t="s">
        <v>34</v>
      </c>
      <c r="C571" s="4">
        <v>8909113066977</v>
      </c>
      <c r="D571" s="24" t="s">
        <v>57</v>
      </c>
      <c r="E571" s="24" t="s">
        <v>44</v>
      </c>
      <c r="F571" s="25" t="str">
        <f t="shared" si="33"/>
        <v>FLYING MACHINE</v>
      </c>
      <c r="G571" s="24">
        <v>1</v>
      </c>
      <c r="H571" s="25" t="str">
        <f t="shared" si="34"/>
        <v>Pcs.</v>
      </c>
      <c r="I571" s="26">
        <v>2155</v>
      </c>
      <c r="J571" s="27">
        <f t="shared" si="35"/>
        <v>2155</v>
      </c>
    </row>
    <row r="572" spans="1:10" x14ac:dyDescent="0.3">
      <c r="A572" s="23" t="str">
        <f t="shared" si="32"/>
        <v>01-05-2026</v>
      </c>
      <c r="B572" s="24" t="s">
        <v>34</v>
      </c>
      <c r="C572" s="4">
        <v>8909113066991</v>
      </c>
      <c r="D572" s="24" t="s">
        <v>39</v>
      </c>
      <c r="E572" s="24" t="s">
        <v>44</v>
      </c>
      <c r="F572" s="25" t="str">
        <f t="shared" si="33"/>
        <v>FLYING MACHINE</v>
      </c>
      <c r="G572" s="24">
        <v>1</v>
      </c>
      <c r="H572" s="25" t="str">
        <f t="shared" si="34"/>
        <v>Pcs.</v>
      </c>
      <c r="I572" s="26">
        <v>2155</v>
      </c>
      <c r="J572" s="27">
        <f t="shared" si="35"/>
        <v>2155</v>
      </c>
    </row>
    <row r="573" spans="1:10" x14ac:dyDescent="0.3">
      <c r="A573" s="23" t="str">
        <f t="shared" si="32"/>
        <v>01-05-2026</v>
      </c>
      <c r="B573" s="24" t="s">
        <v>34</v>
      </c>
      <c r="C573" s="4">
        <v>8909113069015</v>
      </c>
      <c r="D573" s="24" t="s">
        <v>51</v>
      </c>
      <c r="E573" s="24" t="s">
        <v>307</v>
      </c>
      <c r="F573" s="25" t="str">
        <f t="shared" si="33"/>
        <v>FLYING MACHINE</v>
      </c>
      <c r="G573" s="24">
        <v>1</v>
      </c>
      <c r="H573" s="25" t="str">
        <f t="shared" si="34"/>
        <v>Pcs.</v>
      </c>
      <c r="I573" s="26">
        <v>2343</v>
      </c>
      <c r="J573" s="27">
        <f t="shared" si="35"/>
        <v>2343</v>
      </c>
    </row>
    <row r="574" spans="1:10" x14ac:dyDescent="0.3">
      <c r="A574" s="23" t="str">
        <f t="shared" si="32"/>
        <v>01-05-2026</v>
      </c>
      <c r="B574" s="24" t="s">
        <v>34</v>
      </c>
      <c r="C574" s="4">
        <v>8909113069022</v>
      </c>
      <c r="D574" s="24" t="s">
        <v>46</v>
      </c>
      <c r="E574" s="24" t="s">
        <v>307</v>
      </c>
      <c r="F574" s="25" t="str">
        <f t="shared" si="33"/>
        <v>FLYING MACHINE</v>
      </c>
      <c r="G574" s="24">
        <v>1</v>
      </c>
      <c r="H574" s="25" t="str">
        <f t="shared" si="34"/>
        <v>Pcs.</v>
      </c>
      <c r="I574" s="26">
        <v>2343</v>
      </c>
      <c r="J574" s="27">
        <f t="shared" si="35"/>
        <v>2343</v>
      </c>
    </row>
    <row r="575" spans="1:10" x14ac:dyDescent="0.3">
      <c r="A575" s="23" t="str">
        <f t="shared" si="32"/>
        <v>01-05-2026</v>
      </c>
      <c r="B575" s="24" t="s">
        <v>34</v>
      </c>
      <c r="C575" s="4">
        <v>8909113072251</v>
      </c>
      <c r="D575" s="24" t="s">
        <v>51</v>
      </c>
      <c r="E575" s="24" t="s">
        <v>308</v>
      </c>
      <c r="F575" s="25" t="str">
        <f t="shared" si="33"/>
        <v>FLYING MACHINE</v>
      </c>
      <c r="G575" s="24">
        <v>2</v>
      </c>
      <c r="H575" s="25" t="str">
        <f t="shared" si="34"/>
        <v>Pcs.</v>
      </c>
      <c r="I575" s="26">
        <v>1687</v>
      </c>
      <c r="J575" s="27">
        <f t="shared" si="35"/>
        <v>3374</v>
      </c>
    </row>
    <row r="576" spans="1:10" x14ac:dyDescent="0.3">
      <c r="A576" s="23" t="str">
        <f t="shared" si="32"/>
        <v>01-05-2026</v>
      </c>
      <c r="B576" s="24" t="s">
        <v>34</v>
      </c>
      <c r="C576" s="4">
        <v>8909113072268</v>
      </c>
      <c r="D576" s="24" t="s">
        <v>46</v>
      </c>
      <c r="E576" s="24" t="s">
        <v>308</v>
      </c>
      <c r="F576" s="25" t="str">
        <f t="shared" si="33"/>
        <v>FLYING MACHINE</v>
      </c>
      <c r="G576" s="24">
        <v>2</v>
      </c>
      <c r="H576" s="25" t="str">
        <f t="shared" si="34"/>
        <v>Pcs.</v>
      </c>
      <c r="I576" s="26">
        <v>1687</v>
      </c>
      <c r="J576" s="27">
        <f t="shared" si="35"/>
        <v>3374</v>
      </c>
    </row>
    <row r="577" spans="1:10" x14ac:dyDescent="0.3">
      <c r="A577" s="23" t="str">
        <f t="shared" si="32"/>
        <v>01-05-2026</v>
      </c>
      <c r="B577" s="24" t="s">
        <v>34</v>
      </c>
      <c r="C577" s="4">
        <v>8909113072275</v>
      </c>
      <c r="D577" s="24" t="s">
        <v>37</v>
      </c>
      <c r="E577" s="24" t="s">
        <v>308</v>
      </c>
      <c r="F577" s="25" t="str">
        <f t="shared" si="33"/>
        <v>FLYING MACHINE</v>
      </c>
      <c r="G577" s="24">
        <v>1</v>
      </c>
      <c r="H577" s="25" t="str">
        <f t="shared" si="34"/>
        <v>Pcs.</v>
      </c>
      <c r="I577" s="26">
        <v>1687</v>
      </c>
      <c r="J577" s="27">
        <f t="shared" si="35"/>
        <v>1687</v>
      </c>
    </row>
    <row r="578" spans="1:10" x14ac:dyDescent="0.3">
      <c r="A578" s="23" t="str">
        <f t="shared" si="32"/>
        <v>01-05-2026</v>
      </c>
      <c r="B578" s="24" t="s">
        <v>34</v>
      </c>
      <c r="C578" s="4">
        <v>8909113072282</v>
      </c>
      <c r="D578" s="24" t="s">
        <v>57</v>
      </c>
      <c r="E578" s="24" t="s">
        <v>308</v>
      </c>
      <c r="F578" s="25" t="str">
        <f t="shared" si="33"/>
        <v>FLYING MACHINE</v>
      </c>
      <c r="G578" s="24">
        <v>1</v>
      </c>
      <c r="H578" s="25" t="str">
        <f t="shared" si="34"/>
        <v>Pcs.</v>
      </c>
      <c r="I578" s="26">
        <v>1687</v>
      </c>
      <c r="J578" s="27">
        <f t="shared" si="35"/>
        <v>1687</v>
      </c>
    </row>
    <row r="579" spans="1:10" x14ac:dyDescent="0.3">
      <c r="A579" s="23" t="str">
        <f t="shared" si="32"/>
        <v>01-05-2026</v>
      </c>
      <c r="B579" s="24" t="s">
        <v>34</v>
      </c>
      <c r="C579" s="4">
        <v>8909113072305</v>
      </c>
      <c r="D579" s="24" t="s">
        <v>39</v>
      </c>
      <c r="E579" s="24" t="s">
        <v>308</v>
      </c>
      <c r="F579" s="25" t="str">
        <f t="shared" si="33"/>
        <v>FLYING MACHINE</v>
      </c>
      <c r="G579" s="24">
        <v>1</v>
      </c>
      <c r="H579" s="25" t="str">
        <f t="shared" si="34"/>
        <v>Pcs.</v>
      </c>
      <c r="I579" s="26">
        <v>1687</v>
      </c>
      <c r="J579" s="27">
        <f t="shared" si="35"/>
        <v>1687</v>
      </c>
    </row>
    <row r="580" spans="1:10" x14ac:dyDescent="0.3">
      <c r="A580" s="23" t="str">
        <f t="shared" si="32"/>
        <v>01-05-2026</v>
      </c>
      <c r="B580" s="24" t="s">
        <v>34</v>
      </c>
      <c r="C580" s="4">
        <v>8909113073333</v>
      </c>
      <c r="D580" s="24" t="s">
        <v>51</v>
      </c>
      <c r="E580" s="24" t="s">
        <v>309</v>
      </c>
      <c r="F580" s="25" t="str">
        <f t="shared" si="33"/>
        <v>FLYING MACHINE</v>
      </c>
      <c r="G580" s="24">
        <v>2</v>
      </c>
      <c r="H580" s="25" t="str">
        <f t="shared" si="34"/>
        <v>Pcs.</v>
      </c>
      <c r="I580" s="26">
        <v>1687</v>
      </c>
      <c r="J580" s="27">
        <f t="shared" si="35"/>
        <v>3374</v>
      </c>
    </row>
    <row r="581" spans="1:10" x14ac:dyDescent="0.3">
      <c r="A581" s="23" t="str">
        <f t="shared" ref="A581:A644" si="36">IF(C581&gt;0,RIGHT($D$3,10)," ")</f>
        <v>01-05-2026</v>
      </c>
      <c r="B581" s="24" t="s">
        <v>34</v>
      </c>
      <c r="C581" s="4">
        <v>8909113073357</v>
      </c>
      <c r="D581" s="24" t="s">
        <v>37</v>
      </c>
      <c r="E581" s="24" t="s">
        <v>309</v>
      </c>
      <c r="F581" s="25" t="str">
        <f t="shared" ref="F581:F644" si="37">IF(C581&gt;0,$C$3," ")</f>
        <v>FLYING MACHINE</v>
      </c>
      <c r="G581" s="24">
        <v>1</v>
      </c>
      <c r="H581" s="25" t="str">
        <f t="shared" ref="H581:H644" si="38">IF(G581&gt;0,"Pcs."," ")</f>
        <v>Pcs.</v>
      </c>
      <c r="I581" s="26">
        <v>1687</v>
      </c>
      <c r="J581" s="27">
        <f t="shared" ref="J581:J644" si="39">IF(I581*G581=0," ",I581*G581)</f>
        <v>1687</v>
      </c>
    </row>
    <row r="582" spans="1:10" x14ac:dyDescent="0.3">
      <c r="A582" s="23" t="str">
        <f t="shared" si="36"/>
        <v>01-05-2026</v>
      </c>
      <c r="B582" s="24" t="s">
        <v>34</v>
      </c>
      <c r="C582" s="4">
        <v>8909113073364</v>
      </c>
      <c r="D582" s="24" t="s">
        <v>57</v>
      </c>
      <c r="E582" s="24" t="s">
        <v>309</v>
      </c>
      <c r="F582" s="25" t="str">
        <f t="shared" si="37"/>
        <v>FLYING MACHINE</v>
      </c>
      <c r="G582" s="24">
        <v>1</v>
      </c>
      <c r="H582" s="25" t="str">
        <f t="shared" si="38"/>
        <v>Pcs.</v>
      </c>
      <c r="I582" s="26">
        <v>1687</v>
      </c>
      <c r="J582" s="27">
        <f t="shared" si="39"/>
        <v>1687</v>
      </c>
    </row>
    <row r="583" spans="1:10" x14ac:dyDescent="0.3">
      <c r="A583" s="23" t="str">
        <f t="shared" si="36"/>
        <v>01-05-2026</v>
      </c>
      <c r="B583" s="24" t="s">
        <v>34</v>
      </c>
      <c r="C583" s="4">
        <v>8909113073388</v>
      </c>
      <c r="D583" s="24" t="s">
        <v>39</v>
      </c>
      <c r="E583" s="24" t="s">
        <v>309</v>
      </c>
      <c r="F583" s="25" t="str">
        <f t="shared" si="37"/>
        <v>FLYING MACHINE</v>
      </c>
      <c r="G583" s="24">
        <v>1</v>
      </c>
      <c r="H583" s="25" t="str">
        <f t="shared" si="38"/>
        <v>Pcs.</v>
      </c>
      <c r="I583" s="26">
        <v>1687</v>
      </c>
      <c r="J583" s="27">
        <f t="shared" si="39"/>
        <v>1687</v>
      </c>
    </row>
    <row r="584" spans="1:10" x14ac:dyDescent="0.3">
      <c r="A584" s="23" t="str">
        <f t="shared" si="36"/>
        <v>01-05-2026</v>
      </c>
      <c r="B584" s="24" t="s">
        <v>34</v>
      </c>
      <c r="C584" s="4">
        <v>8909113075184</v>
      </c>
      <c r="D584" s="24" t="s">
        <v>39</v>
      </c>
      <c r="E584" s="24" t="s">
        <v>310</v>
      </c>
      <c r="F584" s="25" t="str">
        <f t="shared" si="37"/>
        <v>FLYING MACHINE</v>
      </c>
      <c r="G584" s="24">
        <v>1</v>
      </c>
      <c r="H584" s="25" t="str">
        <f t="shared" si="38"/>
        <v>Pcs.</v>
      </c>
      <c r="I584" s="26">
        <v>1874</v>
      </c>
      <c r="J584" s="27">
        <f t="shared" si="39"/>
        <v>1874</v>
      </c>
    </row>
    <row r="585" spans="1:10" x14ac:dyDescent="0.3">
      <c r="A585" s="23" t="str">
        <f t="shared" si="36"/>
        <v>01-05-2026</v>
      </c>
      <c r="B585" s="24" t="s">
        <v>34</v>
      </c>
      <c r="C585" s="4">
        <v>8909285493540</v>
      </c>
      <c r="D585" s="24" t="s">
        <v>51</v>
      </c>
      <c r="E585" s="24" t="s">
        <v>311</v>
      </c>
      <c r="F585" s="25" t="str">
        <f t="shared" si="37"/>
        <v>FLYING MACHINE</v>
      </c>
      <c r="G585" s="24">
        <v>1</v>
      </c>
      <c r="H585" s="25" t="str">
        <f t="shared" si="38"/>
        <v>Pcs.</v>
      </c>
      <c r="I585" s="26">
        <v>1874</v>
      </c>
      <c r="J585" s="27">
        <f t="shared" si="39"/>
        <v>1874</v>
      </c>
    </row>
    <row r="586" spans="1:10" x14ac:dyDescent="0.3">
      <c r="A586" s="23" t="str">
        <f t="shared" si="36"/>
        <v>01-05-2026</v>
      </c>
      <c r="B586" s="24" t="s">
        <v>34</v>
      </c>
      <c r="C586" s="4">
        <v>8909285494066</v>
      </c>
      <c r="D586" s="24" t="s">
        <v>39</v>
      </c>
      <c r="E586" s="24" t="s">
        <v>312</v>
      </c>
      <c r="F586" s="25" t="str">
        <f t="shared" si="37"/>
        <v>FLYING MACHINE</v>
      </c>
      <c r="G586" s="24">
        <v>1</v>
      </c>
      <c r="H586" s="25" t="str">
        <f t="shared" si="38"/>
        <v>Pcs.</v>
      </c>
      <c r="I586" s="26">
        <v>1874</v>
      </c>
      <c r="J586" s="27">
        <f t="shared" si="39"/>
        <v>1874</v>
      </c>
    </row>
    <row r="587" spans="1:10" x14ac:dyDescent="0.3">
      <c r="A587" s="23" t="str">
        <f t="shared" si="36"/>
        <v>01-05-2026</v>
      </c>
      <c r="B587" s="24" t="s">
        <v>34</v>
      </c>
      <c r="C587" s="4">
        <v>8909285495353</v>
      </c>
      <c r="D587" s="24" t="s">
        <v>57</v>
      </c>
      <c r="E587" s="24" t="s">
        <v>133</v>
      </c>
      <c r="F587" s="25" t="str">
        <f t="shared" si="37"/>
        <v>FLYING MACHINE</v>
      </c>
      <c r="G587" s="24">
        <v>1</v>
      </c>
      <c r="H587" s="25" t="str">
        <f t="shared" si="38"/>
        <v>Pcs.</v>
      </c>
      <c r="I587" s="26">
        <v>2155</v>
      </c>
      <c r="J587" s="27">
        <f t="shared" si="39"/>
        <v>2155</v>
      </c>
    </row>
    <row r="588" spans="1:10" x14ac:dyDescent="0.3">
      <c r="A588" s="23" t="str">
        <f t="shared" si="36"/>
        <v>01-05-2026</v>
      </c>
      <c r="B588" s="24" t="s">
        <v>34</v>
      </c>
      <c r="C588" s="4">
        <v>8909285596036</v>
      </c>
      <c r="D588" s="24" t="s">
        <v>51</v>
      </c>
      <c r="E588" s="24" t="s">
        <v>313</v>
      </c>
      <c r="F588" s="25" t="str">
        <f t="shared" si="37"/>
        <v>FLYING MACHINE</v>
      </c>
      <c r="G588" s="24">
        <v>1</v>
      </c>
      <c r="H588" s="25" t="str">
        <f t="shared" si="38"/>
        <v>Pcs.</v>
      </c>
      <c r="I588" s="26">
        <v>1874</v>
      </c>
      <c r="J588" s="27">
        <f t="shared" si="39"/>
        <v>1874</v>
      </c>
    </row>
    <row r="589" spans="1:10" x14ac:dyDescent="0.3">
      <c r="A589" s="23" t="str">
        <f t="shared" si="36"/>
        <v>01-05-2026</v>
      </c>
      <c r="B589" s="24" t="s">
        <v>34</v>
      </c>
      <c r="C589" s="4">
        <v>8909285596067</v>
      </c>
      <c r="D589" s="24" t="s">
        <v>57</v>
      </c>
      <c r="E589" s="24" t="s">
        <v>313</v>
      </c>
      <c r="F589" s="25" t="str">
        <f t="shared" si="37"/>
        <v>FLYING MACHINE</v>
      </c>
      <c r="G589" s="24">
        <v>1</v>
      </c>
      <c r="H589" s="25" t="str">
        <f t="shared" si="38"/>
        <v>Pcs.</v>
      </c>
      <c r="I589" s="26">
        <v>1874</v>
      </c>
      <c r="J589" s="27">
        <f t="shared" si="39"/>
        <v>1874</v>
      </c>
    </row>
    <row r="590" spans="1:10" x14ac:dyDescent="0.3">
      <c r="A590" s="23" t="str">
        <f t="shared" si="36"/>
        <v>01-05-2026</v>
      </c>
      <c r="B590" s="24" t="s">
        <v>34</v>
      </c>
      <c r="C590" s="4">
        <v>8909285596081</v>
      </c>
      <c r="D590" s="24" t="s">
        <v>39</v>
      </c>
      <c r="E590" s="24" t="s">
        <v>313</v>
      </c>
      <c r="F590" s="25" t="str">
        <f t="shared" si="37"/>
        <v>FLYING MACHINE</v>
      </c>
      <c r="G590" s="24">
        <v>1</v>
      </c>
      <c r="H590" s="25" t="str">
        <f t="shared" si="38"/>
        <v>Pcs.</v>
      </c>
      <c r="I590" s="26">
        <v>1874</v>
      </c>
      <c r="J590" s="27">
        <f t="shared" si="39"/>
        <v>1874</v>
      </c>
    </row>
    <row r="591" spans="1:10" x14ac:dyDescent="0.3">
      <c r="A591" s="23" t="str">
        <f t="shared" si="36"/>
        <v>01-05-2026</v>
      </c>
      <c r="B591" s="24" t="s">
        <v>34</v>
      </c>
      <c r="C591" s="4">
        <v>8909285597590</v>
      </c>
      <c r="D591" s="24" t="s">
        <v>57</v>
      </c>
      <c r="E591" s="24" t="s">
        <v>314</v>
      </c>
      <c r="F591" s="25" t="str">
        <f t="shared" si="37"/>
        <v>FLYING MACHINE</v>
      </c>
      <c r="G591" s="24">
        <v>1</v>
      </c>
      <c r="H591" s="25" t="str">
        <f t="shared" si="38"/>
        <v>Pcs.</v>
      </c>
      <c r="I591" s="26">
        <v>2155</v>
      </c>
      <c r="J591" s="27">
        <f t="shared" si="39"/>
        <v>2155</v>
      </c>
    </row>
    <row r="592" spans="1:10" x14ac:dyDescent="0.3">
      <c r="A592" s="23" t="str">
        <f t="shared" si="36"/>
        <v>01-05-2026</v>
      </c>
      <c r="B592" s="24" t="s">
        <v>34</v>
      </c>
      <c r="C592" s="4">
        <v>8909285597613</v>
      </c>
      <c r="D592" s="24" t="s">
        <v>39</v>
      </c>
      <c r="E592" s="24" t="s">
        <v>314</v>
      </c>
      <c r="F592" s="25" t="str">
        <f t="shared" si="37"/>
        <v>FLYING MACHINE</v>
      </c>
      <c r="G592" s="24">
        <v>1</v>
      </c>
      <c r="H592" s="25" t="str">
        <f t="shared" si="38"/>
        <v>Pcs.</v>
      </c>
      <c r="I592" s="26">
        <v>2155</v>
      </c>
      <c r="J592" s="27">
        <f t="shared" si="39"/>
        <v>2155</v>
      </c>
    </row>
    <row r="593" spans="1:10" x14ac:dyDescent="0.3">
      <c r="A593" s="23" t="str">
        <f t="shared" si="36"/>
        <v>01-05-2026</v>
      </c>
      <c r="B593" s="24" t="s">
        <v>34</v>
      </c>
      <c r="C593" s="4">
        <v>8909285597651</v>
      </c>
      <c r="D593" s="24" t="s">
        <v>51</v>
      </c>
      <c r="E593" s="24" t="s">
        <v>315</v>
      </c>
      <c r="F593" s="25" t="str">
        <f t="shared" si="37"/>
        <v>FLYING MACHINE</v>
      </c>
      <c r="G593" s="24">
        <v>1</v>
      </c>
      <c r="H593" s="25" t="str">
        <f t="shared" si="38"/>
        <v>Pcs.</v>
      </c>
      <c r="I593" s="26">
        <v>2155</v>
      </c>
      <c r="J593" s="27">
        <f t="shared" si="39"/>
        <v>2155</v>
      </c>
    </row>
    <row r="594" spans="1:10" x14ac:dyDescent="0.3">
      <c r="A594" s="23" t="str">
        <f t="shared" si="36"/>
        <v>01-05-2026</v>
      </c>
      <c r="B594" s="24" t="s">
        <v>34</v>
      </c>
      <c r="C594" s="4">
        <v>8909285597675</v>
      </c>
      <c r="D594" s="24" t="s">
        <v>37</v>
      </c>
      <c r="E594" s="24" t="s">
        <v>315</v>
      </c>
      <c r="F594" s="25" t="str">
        <f t="shared" si="37"/>
        <v>FLYING MACHINE</v>
      </c>
      <c r="G594" s="24">
        <v>1</v>
      </c>
      <c r="H594" s="25" t="str">
        <f t="shared" si="38"/>
        <v>Pcs.</v>
      </c>
      <c r="I594" s="26">
        <v>2155</v>
      </c>
      <c r="J594" s="27">
        <f t="shared" si="39"/>
        <v>2155</v>
      </c>
    </row>
    <row r="595" spans="1:10" x14ac:dyDescent="0.3">
      <c r="A595" s="23" t="str">
        <f t="shared" si="36"/>
        <v>01-05-2026</v>
      </c>
      <c r="B595" s="24" t="s">
        <v>34</v>
      </c>
      <c r="C595" s="4">
        <v>8909285597682</v>
      </c>
      <c r="D595" s="24" t="s">
        <v>57</v>
      </c>
      <c r="E595" s="24" t="s">
        <v>315</v>
      </c>
      <c r="F595" s="25" t="str">
        <f t="shared" si="37"/>
        <v>FLYING MACHINE</v>
      </c>
      <c r="G595" s="24">
        <v>1</v>
      </c>
      <c r="H595" s="25" t="str">
        <f t="shared" si="38"/>
        <v>Pcs.</v>
      </c>
      <c r="I595" s="26">
        <v>2155</v>
      </c>
      <c r="J595" s="27">
        <f t="shared" si="39"/>
        <v>2155</v>
      </c>
    </row>
    <row r="596" spans="1:10" x14ac:dyDescent="0.3">
      <c r="A596" s="23" t="str">
        <f t="shared" si="36"/>
        <v>01-05-2026</v>
      </c>
      <c r="B596" s="24" t="s">
        <v>34</v>
      </c>
      <c r="C596" s="4">
        <v>8909285599938</v>
      </c>
      <c r="D596" s="24" t="s">
        <v>57</v>
      </c>
      <c r="E596" s="24" t="s">
        <v>316</v>
      </c>
      <c r="F596" s="25" t="str">
        <f t="shared" si="37"/>
        <v>FLYING MACHINE</v>
      </c>
      <c r="G596" s="24">
        <v>1</v>
      </c>
      <c r="H596" s="25" t="str">
        <f t="shared" si="38"/>
        <v>Pcs.</v>
      </c>
      <c r="I596" s="26">
        <v>2155</v>
      </c>
      <c r="J596" s="27">
        <f t="shared" si="39"/>
        <v>2155</v>
      </c>
    </row>
    <row r="597" spans="1:10" x14ac:dyDescent="0.3">
      <c r="A597" s="23" t="str">
        <f t="shared" si="36"/>
        <v>01-05-2026</v>
      </c>
      <c r="B597" s="24" t="s">
        <v>34</v>
      </c>
      <c r="C597" s="4">
        <v>8909285599952</v>
      </c>
      <c r="D597" s="24" t="s">
        <v>39</v>
      </c>
      <c r="E597" s="24" t="s">
        <v>316</v>
      </c>
      <c r="F597" s="25" t="str">
        <f t="shared" si="37"/>
        <v>FLYING MACHINE</v>
      </c>
      <c r="G597" s="24">
        <v>1</v>
      </c>
      <c r="H597" s="25" t="str">
        <f t="shared" si="38"/>
        <v>Pcs.</v>
      </c>
      <c r="I597" s="26">
        <v>2155</v>
      </c>
      <c r="J597" s="27">
        <f t="shared" si="39"/>
        <v>2155</v>
      </c>
    </row>
    <row r="598" spans="1:10" x14ac:dyDescent="0.3">
      <c r="A598" s="23" t="str">
        <f t="shared" si="36"/>
        <v>01-05-2026</v>
      </c>
      <c r="B598" s="24" t="s">
        <v>34</v>
      </c>
      <c r="C598" s="4">
        <v>8909285600269</v>
      </c>
      <c r="D598" s="24" t="s">
        <v>51</v>
      </c>
      <c r="E598" s="24" t="s">
        <v>317</v>
      </c>
      <c r="F598" s="25" t="str">
        <f t="shared" si="37"/>
        <v>FLYING MACHINE</v>
      </c>
      <c r="G598" s="24">
        <v>1</v>
      </c>
      <c r="H598" s="25" t="str">
        <f t="shared" si="38"/>
        <v>Pcs.</v>
      </c>
      <c r="I598" s="26">
        <v>2155</v>
      </c>
      <c r="J598" s="27">
        <f t="shared" si="39"/>
        <v>2155</v>
      </c>
    </row>
    <row r="599" spans="1:10" x14ac:dyDescent="0.3">
      <c r="A599" s="23" t="str">
        <f t="shared" si="36"/>
        <v>01-05-2026</v>
      </c>
      <c r="B599" s="24" t="s">
        <v>34</v>
      </c>
      <c r="C599" s="4">
        <v>8909285600405</v>
      </c>
      <c r="D599" s="24" t="s">
        <v>39</v>
      </c>
      <c r="E599" s="24" t="s">
        <v>318</v>
      </c>
      <c r="F599" s="25" t="str">
        <f t="shared" si="37"/>
        <v>FLYING MACHINE</v>
      </c>
      <c r="G599" s="24">
        <v>1</v>
      </c>
      <c r="H599" s="25" t="str">
        <f t="shared" si="38"/>
        <v>Pcs.</v>
      </c>
      <c r="I599" s="26">
        <v>2155</v>
      </c>
      <c r="J599" s="27">
        <f t="shared" si="39"/>
        <v>2155</v>
      </c>
    </row>
    <row r="600" spans="1:10" x14ac:dyDescent="0.3">
      <c r="A600" s="23" t="str">
        <f t="shared" si="36"/>
        <v>01-05-2026</v>
      </c>
      <c r="B600" s="24" t="s">
        <v>34</v>
      </c>
      <c r="C600" s="4">
        <v>8909285600535</v>
      </c>
      <c r="D600" s="24" t="s">
        <v>51</v>
      </c>
      <c r="E600" s="24" t="s">
        <v>117</v>
      </c>
      <c r="F600" s="25" t="str">
        <f t="shared" si="37"/>
        <v>FLYING MACHINE</v>
      </c>
      <c r="G600" s="24">
        <v>1</v>
      </c>
      <c r="H600" s="25" t="str">
        <f t="shared" si="38"/>
        <v>Pcs.</v>
      </c>
      <c r="I600" s="26">
        <v>2155</v>
      </c>
      <c r="J600" s="27">
        <f t="shared" si="39"/>
        <v>2155</v>
      </c>
    </row>
    <row r="601" spans="1:10" x14ac:dyDescent="0.3">
      <c r="A601" s="23" t="str">
        <f t="shared" si="36"/>
        <v>01-05-2026</v>
      </c>
      <c r="B601" s="24" t="s">
        <v>34</v>
      </c>
      <c r="C601" s="4">
        <v>8909285600542</v>
      </c>
      <c r="D601" s="24" t="s">
        <v>46</v>
      </c>
      <c r="E601" s="24" t="s">
        <v>117</v>
      </c>
      <c r="F601" s="25" t="str">
        <f t="shared" si="37"/>
        <v>FLYING MACHINE</v>
      </c>
      <c r="G601" s="24">
        <v>1</v>
      </c>
      <c r="H601" s="25" t="str">
        <f t="shared" si="38"/>
        <v>Pcs.</v>
      </c>
      <c r="I601" s="26">
        <v>2155</v>
      </c>
      <c r="J601" s="27">
        <f t="shared" si="39"/>
        <v>2155</v>
      </c>
    </row>
    <row r="602" spans="1:10" x14ac:dyDescent="0.3">
      <c r="A602" s="23" t="str">
        <f t="shared" si="36"/>
        <v>01-05-2026</v>
      </c>
      <c r="B602" s="24" t="s">
        <v>34</v>
      </c>
      <c r="C602" s="4">
        <v>8909285601259</v>
      </c>
      <c r="D602" s="24" t="s">
        <v>51</v>
      </c>
      <c r="E602" s="24" t="s">
        <v>52</v>
      </c>
      <c r="F602" s="25" t="str">
        <f t="shared" si="37"/>
        <v>FLYING MACHINE</v>
      </c>
      <c r="G602" s="24">
        <v>1</v>
      </c>
      <c r="H602" s="25" t="str">
        <f t="shared" si="38"/>
        <v>Pcs.</v>
      </c>
      <c r="I602" s="26">
        <v>2155</v>
      </c>
      <c r="J602" s="27">
        <f t="shared" si="39"/>
        <v>2155</v>
      </c>
    </row>
    <row r="603" spans="1:10" x14ac:dyDescent="0.3">
      <c r="A603" s="23" t="str">
        <f t="shared" si="36"/>
        <v>01-05-2026</v>
      </c>
      <c r="B603" s="24" t="s">
        <v>34</v>
      </c>
      <c r="C603" s="4">
        <v>8909285601266</v>
      </c>
      <c r="D603" s="24" t="s">
        <v>46</v>
      </c>
      <c r="E603" s="24" t="s">
        <v>52</v>
      </c>
      <c r="F603" s="25" t="str">
        <f t="shared" si="37"/>
        <v>FLYING MACHINE</v>
      </c>
      <c r="G603" s="24">
        <v>1</v>
      </c>
      <c r="H603" s="25" t="str">
        <f t="shared" si="38"/>
        <v>Pcs.</v>
      </c>
      <c r="I603" s="26">
        <v>2155</v>
      </c>
      <c r="J603" s="27">
        <f t="shared" si="39"/>
        <v>2155</v>
      </c>
    </row>
    <row r="604" spans="1:10" x14ac:dyDescent="0.3">
      <c r="A604" s="23" t="str">
        <f t="shared" si="36"/>
        <v>01-05-2026</v>
      </c>
      <c r="B604" s="24" t="s">
        <v>34</v>
      </c>
      <c r="C604" s="4">
        <v>8909285601273</v>
      </c>
      <c r="D604" s="24" t="s">
        <v>37</v>
      </c>
      <c r="E604" s="24" t="s">
        <v>52</v>
      </c>
      <c r="F604" s="25" t="str">
        <f t="shared" si="37"/>
        <v>FLYING MACHINE</v>
      </c>
      <c r="G604" s="24">
        <v>1</v>
      </c>
      <c r="H604" s="25" t="str">
        <f t="shared" si="38"/>
        <v>Pcs.</v>
      </c>
      <c r="I604" s="26">
        <v>2155</v>
      </c>
      <c r="J604" s="27">
        <f t="shared" si="39"/>
        <v>2155</v>
      </c>
    </row>
    <row r="605" spans="1:10" x14ac:dyDescent="0.3">
      <c r="A605" s="23" t="str">
        <f t="shared" si="36"/>
        <v>01-05-2026</v>
      </c>
      <c r="B605" s="24" t="s">
        <v>34</v>
      </c>
      <c r="C605" s="4">
        <v>8909285601280</v>
      </c>
      <c r="D605" s="24" t="s">
        <v>57</v>
      </c>
      <c r="E605" s="24" t="s">
        <v>52</v>
      </c>
      <c r="F605" s="25" t="str">
        <f t="shared" si="37"/>
        <v>FLYING MACHINE</v>
      </c>
      <c r="G605" s="24">
        <v>1</v>
      </c>
      <c r="H605" s="25" t="str">
        <f t="shared" si="38"/>
        <v>Pcs.</v>
      </c>
      <c r="I605" s="26">
        <v>2155</v>
      </c>
      <c r="J605" s="27">
        <f t="shared" si="39"/>
        <v>2155</v>
      </c>
    </row>
    <row r="606" spans="1:10" x14ac:dyDescent="0.3">
      <c r="A606" s="23" t="str">
        <f t="shared" si="36"/>
        <v>01-05-2026</v>
      </c>
      <c r="B606" s="24" t="s">
        <v>34</v>
      </c>
      <c r="C606" s="4">
        <v>8909285601303</v>
      </c>
      <c r="D606" s="24" t="s">
        <v>39</v>
      </c>
      <c r="E606" s="24" t="s">
        <v>52</v>
      </c>
      <c r="F606" s="25" t="str">
        <f t="shared" si="37"/>
        <v>FLYING MACHINE</v>
      </c>
      <c r="G606" s="24">
        <v>1</v>
      </c>
      <c r="H606" s="25" t="str">
        <f t="shared" si="38"/>
        <v>Pcs.</v>
      </c>
      <c r="I606" s="26">
        <v>2155</v>
      </c>
      <c r="J606" s="27">
        <f t="shared" si="39"/>
        <v>2155</v>
      </c>
    </row>
    <row r="607" spans="1:10" x14ac:dyDescent="0.3">
      <c r="A607" s="23" t="str">
        <f t="shared" si="36"/>
        <v>01-05-2026</v>
      </c>
      <c r="B607" s="24" t="s">
        <v>34</v>
      </c>
      <c r="C607" s="4">
        <v>8909285601358</v>
      </c>
      <c r="D607" s="24" t="s">
        <v>46</v>
      </c>
      <c r="E607" s="24" t="s">
        <v>319</v>
      </c>
      <c r="F607" s="25" t="str">
        <f t="shared" si="37"/>
        <v>FLYING MACHINE</v>
      </c>
      <c r="G607" s="24">
        <v>2</v>
      </c>
      <c r="H607" s="25" t="str">
        <f t="shared" si="38"/>
        <v>Pcs.</v>
      </c>
      <c r="I607" s="26">
        <v>2155</v>
      </c>
      <c r="J607" s="27">
        <f t="shared" si="39"/>
        <v>4310</v>
      </c>
    </row>
    <row r="608" spans="1:10" x14ac:dyDescent="0.3">
      <c r="A608" s="23" t="str">
        <f t="shared" si="36"/>
        <v>01-05-2026</v>
      </c>
      <c r="B608" s="24" t="s">
        <v>34</v>
      </c>
      <c r="C608" s="4">
        <v>8909285601365</v>
      </c>
      <c r="D608" s="24" t="s">
        <v>37</v>
      </c>
      <c r="E608" s="24" t="s">
        <v>319</v>
      </c>
      <c r="F608" s="25" t="str">
        <f t="shared" si="37"/>
        <v>FLYING MACHINE</v>
      </c>
      <c r="G608" s="24">
        <v>1</v>
      </c>
      <c r="H608" s="25" t="str">
        <f t="shared" si="38"/>
        <v>Pcs.</v>
      </c>
      <c r="I608" s="26">
        <v>2155</v>
      </c>
      <c r="J608" s="27">
        <f t="shared" si="39"/>
        <v>2155</v>
      </c>
    </row>
    <row r="609" spans="1:10" x14ac:dyDescent="0.3">
      <c r="A609" s="23" t="str">
        <f t="shared" si="36"/>
        <v>01-05-2026</v>
      </c>
      <c r="B609" s="24" t="s">
        <v>34</v>
      </c>
      <c r="C609" s="4">
        <v>8909285601372</v>
      </c>
      <c r="D609" s="24" t="s">
        <v>57</v>
      </c>
      <c r="E609" s="24" t="s">
        <v>319</v>
      </c>
      <c r="F609" s="25" t="str">
        <f t="shared" si="37"/>
        <v>FLYING MACHINE</v>
      </c>
      <c r="G609" s="24">
        <v>1</v>
      </c>
      <c r="H609" s="25" t="str">
        <f t="shared" si="38"/>
        <v>Pcs.</v>
      </c>
      <c r="I609" s="26">
        <v>2155</v>
      </c>
      <c r="J609" s="27">
        <f t="shared" si="39"/>
        <v>2155</v>
      </c>
    </row>
    <row r="610" spans="1:10" x14ac:dyDescent="0.3">
      <c r="A610" s="23" t="str">
        <f t="shared" si="36"/>
        <v>01-05-2026</v>
      </c>
      <c r="B610" s="24" t="s">
        <v>34</v>
      </c>
      <c r="C610" s="4">
        <v>8909285601396</v>
      </c>
      <c r="D610" s="24" t="s">
        <v>39</v>
      </c>
      <c r="E610" s="24" t="s">
        <v>319</v>
      </c>
      <c r="F610" s="25" t="str">
        <f t="shared" si="37"/>
        <v>FLYING MACHINE</v>
      </c>
      <c r="G610" s="24">
        <v>1</v>
      </c>
      <c r="H610" s="25" t="str">
        <f t="shared" si="38"/>
        <v>Pcs.</v>
      </c>
      <c r="I610" s="26">
        <v>2155</v>
      </c>
      <c r="J610" s="27">
        <f t="shared" si="39"/>
        <v>2155</v>
      </c>
    </row>
    <row r="611" spans="1:10" x14ac:dyDescent="0.3">
      <c r="A611" s="23" t="str">
        <f t="shared" si="36"/>
        <v>01-05-2026</v>
      </c>
      <c r="B611" s="24" t="s">
        <v>34</v>
      </c>
      <c r="C611" s="4">
        <v>8909285601440</v>
      </c>
      <c r="D611" s="24" t="s">
        <v>46</v>
      </c>
      <c r="E611" s="24" t="s">
        <v>320</v>
      </c>
      <c r="F611" s="25" t="str">
        <f t="shared" si="37"/>
        <v>FLYING MACHINE</v>
      </c>
      <c r="G611" s="24">
        <v>1</v>
      </c>
      <c r="H611" s="25" t="str">
        <f t="shared" si="38"/>
        <v>Pcs.</v>
      </c>
      <c r="I611" s="26">
        <v>2155</v>
      </c>
      <c r="J611" s="27">
        <f t="shared" si="39"/>
        <v>2155</v>
      </c>
    </row>
    <row r="612" spans="1:10" x14ac:dyDescent="0.3">
      <c r="A612" s="23" t="str">
        <f t="shared" si="36"/>
        <v>01-05-2026</v>
      </c>
      <c r="B612" s="24" t="s">
        <v>34</v>
      </c>
      <c r="C612" s="4">
        <v>8909285601525</v>
      </c>
      <c r="D612" s="24" t="s">
        <v>51</v>
      </c>
      <c r="E612" s="24" t="s">
        <v>321</v>
      </c>
      <c r="F612" s="25" t="str">
        <f t="shared" si="37"/>
        <v>FLYING MACHINE</v>
      </c>
      <c r="G612" s="24">
        <v>2</v>
      </c>
      <c r="H612" s="25" t="str">
        <f t="shared" si="38"/>
        <v>Pcs.</v>
      </c>
      <c r="I612" s="26">
        <v>2155</v>
      </c>
      <c r="J612" s="27">
        <f t="shared" si="39"/>
        <v>4310</v>
      </c>
    </row>
    <row r="613" spans="1:10" x14ac:dyDescent="0.3">
      <c r="A613" s="23" t="str">
        <f t="shared" si="36"/>
        <v>01-05-2026</v>
      </c>
      <c r="B613" s="24" t="s">
        <v>34</v>
      </c>
      <c r="C613" s="4">
        <v>8909285601556</v>
      </c>
      <c r="D613" s="24" t="s">
        <v>57</v>
      </c>
      <c r="E613" s="24" t="s">
        <v>321</v>
      </c>
      <c r="F613" s="25" t="str">
        <f t="shared" si="37"/>
        <v>FLYING MACHINE</v>
      </c>
      <c r="G613" s="24">
        <v>1</v>
      </c>
      <c r="H613" s="25" t="str">
        <f t="shared" si="38"/>
        <v>Pcs.</v>
      </c>
      <c r="I613" s="26">
        <v>2155</v>
      </c>
      <c r="J613" s="27">
        <f t="shared" si="39"/>
        <v>2155</v>
      </c>
    </row>
    <row r="614" spans="1:10" x14ac:dyDescent="0.3">
      <c r="A614" s="23" t="str">
        <f t="shared" si="36"/>
        <v>01-05-2026</v>
      </c>
      <c r="B614" s="24" t="s">
        <v>34</v>
      </c>
      <c r="C614" s="4">
        <v>8909285601570</v>
      </c>
      <c r="D614" s="24" t="s">
        <v>39</v>
      </c>
      <c r="E614" s="24" t="s">
        <v>321</v>
      </c>
      <c r="F614" s="25" t="str">
        <f t="shared" si="37"/>
        <v>FLYING MACHINE</v>
      </c>
      <c r="G614" s="24">
        <v>1</v>
      </c>
      <c r="H614" s="25" t="str">
        <f t="shared" si="38"/>
        <v>Pcs.</v>
      </c>
      <c r="I614" s="26">
        <v>2155</v>
      </c>
      <c r="J614" s="27">
        <f t="shared" si="39"/>
        <v>2155</v>
      </c>
    </row>
    <row r="615" spans="1:10" x14ac:dyDescent="0.3">
      <c r="A615" s="23" t="str">
        <f t="shared" si="36"/>
        <v>01-05-2026</v>
      </c>
      <c r="B615" s="24" t="s">
        <v>34</v>
      </c>
      <c r="C615" s="4">
        <v>8909285604045</v>
      </c>
      <c r="D615" s="24" t="s">
        <v>51</v>
      </c>
      <c r="E615" s="24" t="s">
        <v>322</v>
      </c>
      <c r="F615" s="25" t="str">
        <f t="shared" si="37"/>
        <v>FLYING MACHINE</v>
      </c>
      <c r="G615" s="24">
        <v>2</v>
      </c>
      <c r="H615" s="25" t="str">
        <f t="shared" si="38"/>
        <v>Pcs.</v>
      </c>
      <c r="I615" s="26">
        <v>2624</v>
      </c>
      <c r="J615" s="27">
        <f t="shared" si="39"/>
        <v>5248</v>
      </c>
    </row>
    <row r="616" spans="1:10" x14ac:dyDescent="0.3">
      <c r="A616" s="23" t="str">
        <f t="shared" si="36"/>
        <v>01-05-2026</v>
      </c>
      <c r="B616" s="24" t="s">
        <v>34</v>
      </c>
      <c r="C616" s="4">
        <v>8909285604052</v>
      </c>
      <c r="D616" s="24" t="s">
        <v>46</v>
      </c>
      <c r="E616" s="24" t="s">
        <v>322</v>
      </c>
      <c r="F616" s="25" t="str">
        <f t="shared" si="37"/>
        <v>FLYING MACHINE</v>
      </c>
      <c r="G616" s="24">
        <v>2</v>
      </c>
      <c r="H616" s="25" t="str">
        <f t="shared" si="38"/>
        <v>Pcs.</v>
      </c>
      <c r="I616" s="26">
        <v>2624</v>
      </c>
      <c r="J616" s="27">
        <f t="shared" si="39"/>
        <v>5248</v>
      </c>
    </row>
    <row r="617" spans="1:10" x14ac:dyDescent="0.3">
      <c r="A617" s="23" t="str">
        <f t="shared" si="36"/>
        <v>01-05-2026</v>
      </c>
      <c r="B617" s="24" t="s">
        <v>34</v>
      </c>
      <c r="C617" s="4">
        <v>8909285604076</v>
      </c>
      <c r="D617" s="24" t="s">
        <v>57</v>
      </c>
      <c r="E617" s="24" t="s">
        <v>322</v>
      </c>
      <c r="F617" s="25" t="str">
        <f t="shared" si="37"/>
        <v>FLYING MACHINE</v>
      </c>
      <c r="G617" s="24">
        <v>1</v>
      </c>
      <c r="H617" s="25" t="str">
        <f t="shared" si="38"/>
        <v>Pcs.</v>
      </c>
      <c r="I617" s="26">
        <v>2624</v>
      </c>
      <c r="J617" s="27">
        <f t="shared" si="39"/>
        <v>2624</v>
      </c>
    </row>
    <row r="618" spans="1:10" x14ac:dyDescent="0.3">
      <c r="A618" s="23" t="str">
        <f t="shared" si="36"/>
        <v>01-05-2026</v>
      </c>
      <c r="B618" s="24" t="s">
        <v>34</v>
      </c>
      <c r="C618" s="4">
        <v>8909285604090</v>
      </c>
      <c r="D618" s="24" t="s">
        <v>39</v>
      </c>
      <c r="E618" s="24" t="s">
        <v>322</v>
      </c>
      <c r="F618" s="25" t="str">
        <f t="shared" si="37"/>
        <v>FLYING MACHINE</v>
      </c>
      <c r="G618" s="24">
        <v>1</v>
      </c>
      <c r="H618" s="25" t="str">
        <f t="shared" si="38"/>
        <v>Pcs.</v>
      </c>
      <c r="I618" s="26">
        <v>2624</v>
      </c>
      <c r="J618" s="27">
        <f t="shared" si="39"/>
        <v>2624</v>
      </c>
    </row>
    <row r="619" spans="1:10" x14ac:dyDescent="0.3">
      <c r="A619" s="23" t="str">
        <f t="shared" si="36"/>
        <v>01-05-2026</v>
      </c>
      <c r="B619" s="24" t="s">
        <v>34</v>
      </c>
      <c r="C619" s="4">
        <v>8909286791812</v>
      </c>
      <c r="D619" s="24" t="s">
        <v>51</v>
      </c>
      <c r="E619" s="24" t="s">
        <v>76</v>
      </c>
      <c r="F619" s="25" t="str">
        <f t="shared" si="37"/>
        <v>FLYING MACHINE</v>
      </c>
      <c r="G619" s="24">
        <v>1</v>
      </c>
      <c r="H619" s="25" t="str">
        <f t="shared" si="38"/>
        <v>Pcs.</v>
      </c>
      <c r="I619" s="26">
        <v>1405.31</v>
      </c>
      <c r="J619" s="27">
        <f t="shared" si="39"/>
        <v>1405.31</v>
      </c>
    </row>
    <row r="620" spans="1:10" x14ac:dyDescent="0.3">
      <c r="A620" s="23" t="str">
        <f t="shared" si="36"/>
        <v>01-05-2026</v>
      </c>
      <c r="B620" s="24" t="s">
        <v>34</v>
      </c>
      <c r="C620" s="4">
        <v>8909286792055</v>
      </c>
      <c r="D620" s="24" t="s">
        <v>51</v>
      </c>
      <c r="E620" s="24" t="s">
        <v>323</v>
      </c>
      <c r="F620" s="25" t="str">
        <f t="shared" si="37"/>
        <v>FLYING MACHINE</v>
      </c>
      <c r="G620" s="24">
        <v>1</v>
      </c>
      <c r="H620" s="25" t="str">
        <f t="shared" si="38"/>
        <v>Pcs.</v>
      </c>
      <c r="I620" s="26">
        <v>1405.31</v>
      </c>
      <c r="J620" s="27">
        <f t="shared" si="39"/>
        <v>1405.31</v>
      </c>
    </row>
    <row r="621" spans="1:10" x14ac:dyDescent="0.3">
      <c r="A621" s="23" t="str">
        <f t="shared" si="36"/>
        <v>01-05-2026</v>
      </c>
      <c r="B621" s="24" t="s">
        <v>34</v>
      </c>
      <c r="C621" s="4">
        <v>8909286792079</v>
      </c>
      <c r="D621" s="24" t="s">
        <v>37</v>
      </c>
      <c r="E621" s="24" t="s">
        <v>323</v>
      </c>
      <c r="F621" s="25" t="str">
        <f t="shared" si="37"/>
        <v>FLYING MACHINE</v>
      </c>
      <c r="G621" s="24">
        <v>1</v>
      </c>
      <c r="H621" s="25" t="str">
        <f t="shared" si="38"/>
        <v>Pcs.</v>
      </c>
      <c r="I621" s="26">
        <v>1405.31</v>
      </c>
      <c r="J621" s="27">
        <f t="shared" si="39"/>
        <v>1405.31</v>
      </c>
    </row>
    <row r="622" spans="1:10" x14ac:dyDescent="0.3">
      <c r="A622" s="23" t="str">
        <f t="shared" si="36"/>
        <v>01-05-2026</v>
      </c>
      <c r="B622" s="24" t="s">
        <v>34</v>
      </c>
      <c r="C622" s="4">
        <v>8909286792772</v>
      </c>
      <c r="D622" s="24" t="s">
        <v>51</v>
      </c>
      <c r="E622" s="24" t="s">
        <v>82</v>
      </c>
      <c r="F622" s="25" t="str">
        <f t="shared" si="37"/>
        <v>FLYING MACHINE</v>
      </c>
      <c r="G622" s="24">
        <v>1</v>
      </c>
      <c r="H622" s="25" t="str">
        <f t="shared" si="38"/>
        <v>Pcs.</v>
      </c>
      <c r="I622" s="26">
        <v>1499.06</v>
      </c>
      <c r="J622" s="27">
        <f t="shared" si="39"/>
        <v>1499.06</v>
      </c>
    </row>
    <row r="623" spans="1:10" x14ac:dyDescent="0.3">
      <c r="A623" s="23" t="str">
        <f t="shared" si="36"/>
        <v>01-05-2026</v>
      </c>
      <c r="B623" s="24" t="s">
        <v>34</v>
      </c>
      <c r="C623" s="4">
        <v>8909286792802</v>
      </c>
      <c r="D623" s="24" t="s">
        <v>57</v>
      </c>
      <c r="E623" s="24" t="s">
        <v>82</v>
      </c>
      <c r="F623" s="25" t="str">
        <f t="shared" si="37"/>
        <v>FLYING MACHINE</v>
      </c>
      <c r="G623" s="24">
        <v>1</v>
      </c>
      <c r="H623" s="25" t="str">
        <f t="shared" si="38"/>
        <v>Pcs.</v>
      </c>
      <c r="I623" s="26">
        <v>1499.06</v>
      </c>
      <c r="J623" s="27">
        <f t="shared" si="39"/>
        <v>1499.06</v>
      </c>
    </row>
    <row r="624" spans="1:10" x14ac:dyDescent="0.3">
      <c r="A624" s="23" t="str">
        <f t="shared" si="36"/>
        <v>01-05-2026</v>
      </c>
      <c r="B624" s="24" t="s">
        <v>34</v>
      </c>
      <c r="C624" s="4">
        <v>8909286793618</v>
      </c>
      <c r="D624" s="24" t="s">
        <v>51</v>
      </c>
      <c r="E624" s="24" t="s">
        <v>324</v>
      </c>
      <c r="F624" s="25" t="str">
        <f t="shared" si="37"/>
        <v>FLYING MACHINE</v>
      </c>
      <c r="G624" s="24">
        <v>2</v>
      </c>
      <c r="H624" s="25" t="str">
        <f t="shared" si="38"/>
        <v>Pcs.</v>
      </c>
      <c r="I624" s="26">
        <v>1686.56</v>
      </c>
      <c r="J624" s="27">
        <f t="shared" si="39"/>
        <v>3373.12</v>
      </c>
    </row>
    <row r="625" spans="1:10" x14ac:dyDescent="0.3">
      <c r="A625" s="23" t="str">
        <f t="shared" si="36"/>
        <v>01-05-2026</v>
      </c>
      <c r="B625" s="24" t="s">
        <v>34</v>
      </c>
      <c r="C625" s="4">
        <v>8909286793625</v>
      </c>
      <c r="D625" s="24" t="s">
        <v>46</v>
      </c>
      <c r="E625" s="24" t="s">
        <v>324</v>
      </c>
      <c r="F625" s="25" t="str">
        <f t="shared" si="37"/>
        <v>FLYING MACHINE</v>
      </c>
      <c r="G625" s="24">
        <v>2</v>
      </c>
      <c r="H625" s="25" t="str">
        <f t="shared" si="38"/>
        <v>Pcs.</v>
      </c>
      <c r="I625" s="26">
        <v>1686.56</v>
      </c>
      <c r="J625" s="27">
        <f t="shared" si="39"/>
        <v>3373.12</v>
      </c>
    </row>
    <row r="626" spans="1:10" x14ac:dyDescent="0.3">
      <c r="A626" s="23" t="str">
        <f t="shared" si="36"/>
        <v>01-05-2026</v>
      </c>
      <c r="B626" s="24" t="s">
        <v>34</v>
      </c>
      <c r="C626" s="4">
        <v>8909286793632</v>
      </c>
      <c r="D626" s="24" t="s">
        <v>37</v>
      </c>
      <c r="E626" s="24" t="s">
        <v>324</v>
      </c>
      <c r="F626" s="25" t="str">
        <f t="shared" si="37"/>
        <v>FLYING MACHINE</v>
      </c>
      <c r="G626" s="24">
        <v>1</v>
      </c>
      <c r="H626" s="25" t="str">
        <f t="shared" si="38"/>
        <v>Pcs.</v>
      </c>
      <c r="I626" s="26">
        <v>1686.56</v>
      </c>
      <c r="J626" s="27">
        <f t="shared" si="39"/>
        <v>1686.56</v>
      </c>
    </row>
    <row r="627" spans="1:10" x14ac:dyDescent="0.3">
      <c r="A627" s="23" t="str">
        <f t="shared" si="36"/>
        <v>01-05-2026</v>
      </c>
      <c r="B627" s="24" t="s">
        <v>34</v>
      </c>
      <c r="C627" s="4">
        <v>8909286793649</v>
      </c>
      <c r="D627" s="24" t="s">
        <v>57</v>
      </c>
      <c r="E627" s="24" t="s">
        <v>324</v>
      </c>
      <c r="F627" s="25" t="str">
        <f t="shared" si="37"/>
        <v>FLYING MACHINE</v>
      </c>
      <c r="G627" s="24">
        <v>1</v>
      </c>
      <c r="H627" s="25" t="str">
        <f t="shared" si="38"/>
        <v>Pcs.</v>
      </c>
      <c r="I627" s="26">
        <v>1686.56</v>
      </c>
      <c r="J627" s="27">
        <f t="shared" si="39"/>
        <v>1686.56</v>
      </c>
    </row>
    <row r="628" spans="1:10" x14ac:dyDescent="0.3">
      <c r="A628" s="23" t="str">
        <f t="shared" si="36"/>
        <v>01-05-2026</v>
      </c>
      <c r="B628" s="24" t="s">
        <v>34</v>
      </c>
      <c r="C628" s="4">
        <v>8909286793854</v>
      </c>
      <c r="D628" s="24" t="s">
        <v>51</v>
      </c>
      <c r="E628" s="24" t="s">
        <v>325</v>
      </c>
      <c r="F628" s="25" t="str">
        <f t="shared" si="37"/>
        <v>FLYING MACHINE</v>
      </c>
      <c r="G628" s="24">
        <v>2</v>
      </c>
      <c r="H628" s="25" t="str">
        <f t="shared" si="38"/>
        <v>Pcs.</v>
      </c>
      <c r="I628" s="26">
        <v>1874.06</v>
      </c>
      <c r="J628" s="27">
        <f t="shared" si="39"/>
        <v>3748.12</v>
      </c>
    </row>
    <row r="629" spans="1:10" x14ac:dyDescent="0.3">
      <c r="A629" s="23" t="str">
        <f t="shared" si="36"/>
        <v>01-05-2026</v>
      </c>
      <c r="B629" s="24" t="s">
        <v>34</v>
      </c>
      <c r="C629" s="4">
        <v>8909286793861</v>
      </c>
      <c r="D629" s="24" t="s">
        <v>46</v>
      </c>
      <c r="E629" s="24" t="s">
        <v>325</v>
      </c>
      <c r="F629" s="25" t="str">
        <f t="shared" si="37"/>
        <v>FLYING MACHINE</v>
      </c>
      <c r="G629" s="24">
        <v>2</v>
      </c>
      <c r="H629" s="25" t="str">
        <f t="shared" si="38"/>
        <v>Pcs.</v>
      </c>
      <c r="I629" s="26">
        <v>1874.06</v>
      </c>
      <c r="J629" s="27">
        <f t="shared" si="39"/>
        <v>3748.12</v>
      </c>
    </row>
    <row r="630" spans="1:10" x14ac:dyDescent="0.3">
      <c r="A630" s="23" t="str">
        <f t="shared" si="36"/>
        <v>01-05-2026</v>
      </c>
      <c r="B630" s="24" t="s">
        <v>34</v>
      </c>
      <c r="C630" s="4">
        <v>8909286793885</v>
      </c>
      <c r="D630" s="24" t="s">
        <v>57</v>
      </c>
      <c r="E630" s="24" t="s">
        <v>325</v>
      </c>
      <c r="F630" s="25" t="str">
        <f t="shared" si="37"/>
        <v>FLYING MACHINE</v>
      </c>
      <c r="G630" s="24">
        <v>1</v>
      </c>
      <c r="H630" s="25" t="str">
        <f t="shared" si="38"/>
        <v>Pcs.</v>
      </c>
      <c r="I630" s="26">
        <v>1874.06</v>
      </c>
      <c r="J630" s="27">
        <f t="shared" si="39"/>
        <v>1874.06</v>
      </c>
    </row>
    <row r="631" spans="1:10" x14ac:dyDescent="0.3">
      <c r="A631" s="23" t="str">
        <f t="shared" si="36"/>
        <v>01-05-2026</v>
      </c>
      <c r="B631" s="24" t="s">
        <v>34</v>
      </c>
      <c r="C631" s="4">
        <v>8909286793977</v>
      </c>
      <c r="D631" s="24" t="s">
        <v>51</v>
      </c>
      <c r="E631" s="24" t="s">
        <v>89</v>
      </c>
      <c r="F631" s="25" t="str">
        <f t="shared" si="37"/>
        <v>FLYING MACHINE</v>
      </c>
      <c r="G631" s="24">
        <v>2</v>
      </c>
      <c r="H631" s="25" t="str">
        <f t="shared" si="38"/>
        <v>Pcs.</v>
      </c>
      <c r="I631" s="26">
        <v>1874.06</v>
      </c>
      <c r="J631" s="27">
        <f t="shared" si="39"/>
        <v>3748.12</v>
      </c>
    </row>
    <row r="632" spans="1:10" x14ac:dyDescent="0.3">
      <c r="A632" s="23" t="str">
        <f t="shared" si="36"/>
        <v>01-05-2026</v>
      </c>
      <c r="B632" s="24" t="s">
        <v>34</v>
      </c>
      <c r="C632" s="4">
        <v>8909286794004</v>
      </c>
      <c r="D632" s="24" t="s">
        <v>57</v>
      </c>
      <c r="E632" s="24" t="s">
        <v>89</v>
      </c>
      <c r="F632" s="25" t="str">
        <f t="shared" si="37"/>
        <v>FLYING MACHINE</v>
      </c>
      <c r="G632" s="24">
        <v>1</v>
      </c>
      <c r="H632" s="25" t="str">
        <f t="shared" si="38"/>
        <v>Pcs.</v>
      </c>
      <c r="I632" s="26">
        <v>1874.06</v>
      </c>
      <c r="J632" s="27">
        <f t="shared" si="39"/>
        <v>1874.06</v>
      </c>
    </row>
    <row r="633" spans="1:10" x14ac:dyDescent="0.3">
      <c r="A633" s="23" t="str">
        <f t="shared" si="36"/>
        <v>01-05-2026</v>
      </c>
      <c r="B633" s="24" t="s">
        <v>34</v>
      </c>
      <c r="C633" s="4">
        <v>8909286794219</v>
      </c>
      <c r="D633" s="24" t="s">
        <v>51</v>
      </c>
      <c r="E633" s="24" t="s">
        <v>326</v>
      </c>
      <c r="F633" s="25" t="str">
        <f t="shared" si="37"/>
        <v>FLYING MACHINE</v>
      </c>
      <c r="G633" s="24">
        <v>2</v>
      </c>
      <c r="H633" s="25" t="str">
        <f t="shared" si="38"/>
        <v>Pcs.</v>
      </c>
      <c r="I633" s="26">
        <v>1874.06</v>
      </c>
      <c r="J633" s="27">
        <f t="shared" si="39"/>
        <v>3748.12</v>
      </c>
    </row>
    <row r="634" spans="1:10" x14ac:dyDescent="0.3">
      <c r="A634" s="23" t="str">
        <f t="shared" si="36"/>
        <v>01-05-2026</v>
      </c>
      <c r="B634" s="24" t="s">
        <v>34</v>
      </c>
      <c r="C634" s="4">
        <v>8909286794226</v>
      </c>
      <c r="D634" s="24" t="s">
        <v>46</v>
      </c>
      <c r="E634" s="24" t="s">
        <v>326</v>
      </c>
      <c r="F634" s="25" t="str">
        <f t="shared" si="37"/>
        <v>FLYING MACHINE</v>
      </c>
      <c r="G634" s="24">
        <v>2</v>
      </c>
      <c r="H634" s="25" t="str">
        <f t="shared" si="38"/>
        <v>Pcs.</v>
      </c>
      <c r="I634" s="26">
        <v>1874.06</v>
      </c>
      <c r="J634" s="27">
        <f t="shared" si="39"/>
        <v>3748.12</v>
      </c>
    </row>
    <row r="635" spans="1:10" x14ac:dyDescent="0.3">
      <c r="A635" s="23" t="str">
        <f t="shared" si="36"/>
        <v>01-05-2026</v>
      </c>
      <c r="B635" s="24" t="s">
        <v>34</v>
      </c>
      <c r="C635" s="4">
        <v>8909286794240</v>
      </c>
      <c r="D635" s="24" t="s">
        <v>57</v>
      </c>
      <c r="E635" s="24" t="s">
        <v>326</v>
      </c>
      <c r="F635" s="25" t="str">
        <f t="shared" si="37"/>
        <v>FLYING MACHINE</v>
      </c>
      <c r="G635" s="24">
        <v>1</v>
      </c>
      <c r="H635" s="25" t="str">
        <f t="shared" si="38"/>
        <v>Pcs.</v>
      </c>
      <c r="I635" s="26">
        <v>1874.06</v>
      </c>
      <c r="J635" s="27">
        <f t="shared" si="39"/>
        <v>1874.06</v>
      </c>
    </row>
    <row r="636" spans="1:10" x14ac:dyDescent="0.3">
      <c r="A636" s="23" t="str">
        <f t="shared" si="36"/>
        <v>01-05-2026</v>
      </c>
      <c r="B636" s="24" t="s">
        <v>34</v>
      </c>
      <c r="C636" s="4">
        <v>8909286866589</v>
      </c>
      <c r="D636" s="24" t="s">
        <v>51</v>
      </c>
      <c r="E636" s="24" t="s">
        <v>108</v>
      </c>
      <c r="F636" s="25" t="str">
        <f t="shared" si="37"/>
        <v>FLYING MACHINE</v>
      </c>
      <c r="G636" s="24">
        <v>2</v>
      </c>
      <c r="H636" s="25" t="str">
        <f t="shared" si="38"/>
        <v>Pcs.</v>
      </c>
      <c r="I636" s="26">
        <v>1499</v>
      </c>
      <c r="J636" s="27">
        <f t="shared" si="39"/>
        <v>2998</v>
      </c>
    </row>
    <row r="637" spans="1:10" x14ac:dyDescent="0.3">
      <c r="A637" s="23" t="str">
        <f t="shared" si="36"/>
        <v>01-05-2026</v>
      </c>
      <c r="B637" s="24" t="s">
        <v>34</v>
      </c>
      <c r="C637" s="4">
        <v>8909286866596</v>
      </c>
      <c r="D637" s="24" t="s">
        <v>46</v>
      </c>
      <c r="E637" s="24" t="s">
        <v>108</v>
      </c>
      <c r="F637" s="25" t="str">
        <f t="shared" si="37"/>
        <v>FLYING MACHINE</v>
      </c>
      <c r="G637" s="24">
        <v>1</v>
      </c>
      <c r="H637" s="25" t="str">
        <f t="shared" si="38"/>
        <v>Pcs.</v>
      </c>
      <c r="I637" s="26">
        <v>1499</v>
      </c>
      <c r="J637" s="27">
        <f t="shared" si="39"/>
        <v>1499</v>
      </c>
    </row>
    <row r="638" spans="1:10" x14ac:dyDescent="0.3">
      <c r="A638" s="23" t="str">
        <f t="shared" si="36"/>
        <v>01-05-2026</v>
      </c>
      <c r="B638" s="24" t="s">
        <v>34</v>
      </c>
      <c r="C638" s="4">
        <v>8909286870708</v>
      </c>
      <c r="D638" s="24" t="s">
        <v>37</v>
      </c>
      <c r="E638" s="24" t="s">
        <v>108</v>
      </c>
      <c r="F638" s="25" t="str">
        <f t="shared" si="37"/>
        <v>FLYING MACHINE</v>
      </c>
      <c r="G638" s="24">
        <v>1</v>
      </c>
      <c r="H638" s="25" t="str">
        <f t="shared" si="38"/>
        <v>Pcs.</v>
      </c>
      <c r="I638" s="26">
        <v>1499</v>
      </c>
      <c r="J638" s="27">
        <f t="shared" si="39"/>
        <v>1499</v>
      </c>
    </row>
    <row r="639" spans="1:10" x14ac:dyDescent="0.3">
      <c r="A639" s="23" t="str">
        <f t="shared" si="36"/>
        <v>01-05-2026</v>
      </c>
      <c r="B639" s="24" t="s">
        <v>34</v>
      </c>
      <c r="C639" s="4">
        <v>8909286871804</v>
      </c>
      <c r="D639" s="24" t="s">
        <v>51</v>
      </c>
      <c r="E639" s="24" t="s">
        <v>327</v>
      </c>
      <c r="F639" s="25" t="str">
        <f t="shared" si="37"/>
        <v>FLYING MACHINE</v>
      </c>
      <c r="G639" s="24">
        <v>2</v>
      </c>
      <c r="H639" s="25" t="str">
        <f t="shared" si="38"/>
        <v>Pcs.</v>
      </c>
      <c r="I639" s="26">
        <v>1686.56</v>
      </c>
      <c r="J639" s="27">
        <f t="shared" si="39"/>
        <v>3373.12</v>
      </c>
    </row>
    <row r="640" spans="1:10" x14ac:dyDescent="0.3">
      <c r="A640" s="23" t="str">
        <f t="shared" si="36"/>
        <v>01-05-2026</v>
      </c>
      <c r="B640" s="24" t="s">
        <v>34</v>
      </c>
      <c r="C640" s="4">
        <v>8909286871811</v>
      </c>
      <c r="D640" s="24" t="s">
        <v>46</v>
      </c>
      <c r="E640" s="24" t="s">
        <v>327</v>
      </c>
      <c r="F640" s="25" t="str">
        <f t="shared" si="37"/>
        <v>FLYING MACHINE</v>
      </c>
      <c r="G640" s="24">
        <v>2</v>
      </c>
      <c r="H640" s="25" t="str">
        <f t="shared" si="38"/>
        <v>Pcs.</v>
      </c>
      <c r="I640" s="26">
        <v>1686.56</v>
      </c>
      <c r="J640" s="27">
        <f t="shared" si="39"/>
        <v>3373.12</v>
      </c>
    </row>
    <row r="641" spans="1:10" x14ac:dyDescent="0.3">
      <c r="A641" s="23" t="str">
        <f t="shared" si="36"/>
        <v>01-05-2026</v>
      </c>
      <c r="B641" s="24" t="s">
        <v>34</v>
      </c>
      <c r="C641" s="4">
        <v>8909286871828</v>
      </c>
      <c r="D641" s="24" t="s">
        <v>37</v>
      </c>
      <c r="E641" s="24" t="s">
        <v>327</v>
      </c>
      <c r="F641" s="25" t="str">
        <f t="shared" si="37"/>
        <v>FLYING MACHINE</v>
      </c>
      <c r="G641" s="24">
        <v>1</v>
      </c>
      <c r="H641" s="25" t="str">
        <f t="shared" si="38"/>
        <v>Pcs.</v>
      </c>
      <c r="I641" s="26">
        <v>1686.56</v>
      </c>
      <c r="J641" s="27">
        <f t="shared" si="39"/>
        <v>1686.56</v>
      </c>
    </row>
    <row r="642" spans="1:10" x14ac:dyDescent="0.3">
      <c r="A642" s="23" t="str">
        <f t="shared" si="36"/>
        <v>01-05-2026</v>
      </c>
      <c r="B642" s="24" t="s">
        <v>34</v>
      </c>
      <c r="C642" s="4">
        <v>8909286872283</v>
      </c>
      <c r="D642" s="24" t="s">
        <v>51</v>
      </c>
      <c r="E642" s="24" t="s">
        <v>75</v>
      </c>
      <c r="F642" s="25" t="str">
        <f t="shared" si="37"/>
        <v>FLYING MACHINE</v>
      </c>
      <c r="G642" s="24">
        <v>1</v>
      </c>
      <c r="H642" s="25" t="str">
        <f t="shared" si="38"/>
        <v>Pcs.</v>
      </c>
      <c r="I642" s="26">
        <v>1686.56</v>
      </c>
      <c r="J642" s="27">
        <f t="shared" si="39"/>
        <v>1686.56</v>
      </c>
    </row>
    <row r="643" spans="1:10" x14ac:dyDescent="0.3">
      <c r="A643" s="23" t="str">
        <f t="shared" si="36"/>
        <v>01-05-2026</v>
      </c>
      <c r="B643" s="24" t="s">
        <v>34</v>
      </c>
      <c r="C643" s="4">
        <v>8909286872290</v>
      </c>
      <c r="D643" s="24" t="s">
        <v>46</v>
      </c>
      <c r="E643" s="24" t="s">
        <v>75</v>
      </c>
      <c r="F643" s="25" t="str">
        <f t="shared" si="37"/>
        <v>FLYING MACHINE</v>
      </c>
      <c r="G643" s="24">
        <v>1</v>
      </c>
      <c r="H643" s="25" t="str">
        <f t="shared" si="38"/>
        <v>Pcs.</v>
      </c>
      <c r="I643" s="26">
        <v>1686.56</v>
      </c>
      <c r="J643" s="27">
        <f t="shared" si="39"/>
        <v>1686.56</v>
      </c>
    </row>
    <row r="644" spans="1:10" x14ac:dyDescent="0.3">
      <c r="A644" s="23" t="str">
        <f t="shared" si="36"/>
        <v>01-05-2026</v>
      </c>
      <c r="B644" s="24" t="s">
        <v>34</v>
      </c>
      <c r="C644" s="4">
        <v>8909286872368</v>
      </c>
      <c r="D644" s="24" t="s">
        <v>51</v>
      </c>
      <c r="E644" s="24" t="s">
        <v>127</v>
      </c>
      <c r="F644" s="25" t="str">
        <f t="shared" si="37"/>
        <v>FLYING MACHINE</v>
      </c>
      <c r="G644" s="24">
        <v>2</v>
      </c>
      <c r="H644" s="25" t="str">
        <f t="shared" si="38"/>
        <v>Pcs.</v>
      </c>
      <c r="I644" s="26">
        <v>1686.56</v>
      </c>
      <c r="J644" s="27">
        <f t="shared" si="39"/>
        <v>3373.12</v>
      </c>
    </row>
    <row r="645" spans="1:10" x14ac:dyDescent="0.3">
      <c r="A645" s="23" t="str">
        <f t="shared" ref="A645:A708" si="40">IF(C645&gt;0,RIGHT($D$3,10)," ")</f>
        <v>01-05-2026</v>
      </c>
      <c r="B645" s="24" t="s">
        <v>34</v>
      </c>
      <c r="C645" s="4">
        <v>8909286872375</v>
      </c>
      <c r="D645" s="24" t="s">
        <v>46</v>
      </c>
      <c r="E645" s="24" t="s">
        <v>127</v>
      </c>
      <c r="F645" s="25" t="str">
        <f t="shared" ref="F645:F708" si="41">IF(C645&gt;0,$C$3," ")</f>
        <v>FLYING MACHINE</v>
      </c>
      <c r="G645" s="24">
        <v>1</v>
      </c>
      <c r="H645" s="25" t="str">
        <f t="shared" ref="H645:H708" si="42">IF(G645&gt;0,"Pcs."," ")</f>
        <v>Pcs.</v>
      </c>
      <c r="I645" s="26">
        <v>1686.56</v>
      </c>
      <c r="J645" s="27">
        <f t="shared" ref="J645:J708" si="43">IF(I645*G645=0," ",I645*G645)</f>
        <v>1686.56</v>
      </c>
    </row>
    <row r="646" spans="1:10" x14ac:dyDescent="0.3">
      <c r="A646" s="23" t="str">
        <f t="shared" si="40"/>
        <v>01-05-2026</v>
      </c>
      <c r="B646" s="24" t="s">
        <v>34</v>
      </c>
      <c r="C646" s="4">
        <v>8909286872443</v>
      </c>
      <c r="D646" s="24" t="s">
        <v>51</v>
      </c>
      <c r="E646" s="24" t="s">
        <v>111</v>
      </c>
      <c r="F646" s="25" t="str">
        <f t="shared" si="41"/>
        <v>FLYING MACHINE</v>
      </c>
      <c r="G646" s="24">
        <v>1</v>
      </c>
      <c r="H646" s="25" t="str">
        <f t="shared" si="42"/>
        <v>Pcs.</v>
      </c>
      <c r="I646" s="26">
        <v>1686.56</v>
      </c>
      <c r="J646" s="27">
        <f t="shared" si="43"/>
        <v>1686.56</v>
      </c>
    </row>
    <row r="647" spans="1:10" x14ac:dyDescent="0.3">
      <c r="A647" s="23" t="str">
        <f t="shared" si="40"/>
        <v>01-05-2026</v>
      </c>
      <c r="B647" s="24" t="s">
        <v>34</v>
      </c>
      <c r="C647" s="4">
        <v>8909286872450</v>
      </c>
      <c r="D647" s="24" t="s">
        <v>46</v>
      </c>
      <c r="E647" s="24" t="s">
        <v>111</v>
      </c>
      <c r="F647" s="25" t="str">
        <f t="shared" si="41"/>
        <v>FLYING MACHINE</v>
      </c>
      <c r="G647" s="24">
        <v>2</v>
      </c>
      <c r="H647" s="25" t="str">
        <f t="shared" si="42"/>
        <v>Pcs.</v>
      </c>
      <c r="I647" s="26">
        <v>1686.56</v>
      </c>
      <c r="J647" s="27">
        <f t="shared" si="43"/>
        <v>3373.12</v>
      </c>
    </row>
    <row r="648" spans="1:10" x14ac:dyDescent="0.3">
      <c r="A648" s="23" t="str">
        <f t="shared" si="40"/>
        <v>01-05-2026</v>
      </c>
      <c r="B648" s="24" t="s">
        <v>34</v>
      </c>
      <c r="C648" s="4">
        <v>8909286872603</v>
      </c>
      <c r="D648" s="24" t="s">
        <v>51</v>
      </c>
      <c r="E648" s="24" t="s">
        <v>328</v>
      </c>
      <c r="F648" s="25" t="str">
        <f t="shared" si="41"/>
        <v>FLYING MACHINE</v>
      </c>
      <c r="G648" s="24">
        <v>2</v>
      </c>
      <c r="H648" s="25" t="str">
        <f t="shared" si="42"/>
        <v>Pcs.</v>
      </c>
      <c r="I648" s="26">
        <v>1686.56</v>
      </c>
      <c r="J648" s="27">
        <f t="shared" si="43"/>
        <v>3373.12</v>
      </c>
    </row>
    <row r="649" spans="1:10" x14ac:dyDescent="0.3">
      <c r="A649" s="23" t="str">
        <f t="shared" si="40"/>
        <v>01-05-2026</v>
      </c>
      <c r="B649" s="24" t="s">
        <v>34</v>
      </c>
      <c r="C649" s="4">
        <v>8909286872610</v>
      </c>
      <c r="D649" s="24" t="s">
        <v>46</v>
      </c>
      <c r="E649" s="24" t="s">
        <v>328</v>
      </c>
      <c r="F649" s="25" t="str">
        <f t="shared" si="41"/>
        <v>FLYING MACHINE</v>
      </c>
      <c r="G649" s="24">
        <v>1</v>
      </c>
      <c r="H649" s="25" t="str">
        <f t="shared" si="42"/>
        <v>Pcs.</v>
      </c>
      <c r="I649" s="26">
        <v>1686.56</v>
      </c>
      <c r="J649" s="27">
        <f t="shared" si="43"/>
        <v>1686.56</v>
      </c>
    </row>
    <row r="650" spans="1:10" x14ac:dyDescent="0.3">
      <c r="A650" s="23" t="str">
        <f t="shared" si="40"/>
        <v>01-05-2026</v>
      </c>
      <c r="B650" s="24" t="s">
        <v>34</v>
      </c>
      <c r="C650" s="4">
        <v>8909286872849</v>
      </c>
      <c r="D650" s="24" t="s">
        <v>51</v>
      </c>
      <c r="E650" s="24" t="s">
        <v>329</v>
      </c>
      <c r="F650" s="25" t="str">
        <f t="shared" si="41"/>
        <v>FLYING MACHINE</v>
      </c>
      <c r="G650" s="24">
        <v>2</v>
      </c>
      <c r="H650" s="25" t="str">
        <f t="shared" si="42"/>
        <v>Pcs.</v>
      </c>
      <c r="I650" s="26">
        <v>1874.06</v>
      </c>
      <c r="J650" s="27">
        <f t="shared" si="43"/>
        <v>3748.12</v>
      </c>
    </row>
    <row r="651" spans="1:10" x14ac:dyDescent="0.3">
      <c r="A651" s="23" t="str">
        <f t="shared" si="40"/>
        <v>01-05-2026</v>
      </c>
      <c r="B651" s="24" t="s">
        <v>34</v>
      </c>
      <c r="C651" s="4">
        <v>8909286872856</v>
      </c>
      <c r="D651" s="24" t="s">
        <v>46</v>
      </c>
      <c r="E651" s="24" t="s">
        <v>329</v>
      </c>
      <c r="F651" s="25" t="str">
        <f t="shared" si="41"/>
        <v>FLYING MACHINE</v>
      </c>
      <c r="G651" s="24">
        <v>1</v>
      </c>
      <c r="H651" s="25" t="str">
        <f t="shared" si="42"/>
        <v>Pcs.</v>
      </c>
      <c r="I651" s="26">
        <v>1999</v>
      </c>
      <c r="J651" s="27">
        <f t="shared" si="43"/>
        <v>1999</v>
      </c>
    </row>
    <row r="652" spans="1:10" x14ac:dyDescent="0.3">
      <c r="A652" s="23" t="str">
        <f t="shared" si="40"/>
        <v>01-05-2026</v>
      </c>
      <c r="B652" s="24" t="s">
        <v>34</v>
      </c>
      <c r="C652" s="4">
        <v>8909286872863</v>
      </c>
      <c r="D652" s="24" t="s">
        <v>37</v>
      </c>
      <c r="E652" s="24" t="s">
        <v>329</v>
      </c>
      <c r="F652" s="25" t="str">
        <f t="shared" si="41"/>
        <v>FLYING MACHINE</v>
      </c>
      <c r="G652" s="24">
        <v>1</v>
      </c>
      <c r="H652" s="25" t="str">
        <f t="shared" si="42"/>
        <v>Pcs.</v>
      </c>
      <c r="I652" s="26">
        <v>1874.06</v>
      </c>
      <c r="J652" s="27">
        <f t="shared" si="43"/>
        <v>1874.06</v>
      </c>
    </row>
    <row r="653" spans="1:10" x14ac:dyDescent="0.3">
      <c r="A653" s="23" t="str">
        <f t="shared" si="40"/>
        <v>01-05-2026</v>
      </c>
      <c r="B653" s="24" t="s">
        <v>34</v>
      </c>
      <c r="C653" s="4">
        <v>8909286873648</v>
      </c>
      <c r="D653" s="24" t="s">
        <v>51</v>
      </c>
      <c r="E653" s="24" t="s">
        <v>330</v>
      </c>
      <c r="F653" s="25" t="str">
        <f t="shared" si="41"/>
        <v>FLYING MACHINE</v>
      </c>
      <c r="G653" s="24">
        <v>2</v>
      </c>
      <c r="H653" s="25" t="str">
        <f t="shared" si="42"/>
        <v>Pcs.</v>
      </c>
      <c r="I653" s="26">
        <v>1999</v>
      </c>
      <c r="J653" s="27">
        <f t="shared" si="43"/>
        <v>3998</v>
      </c>
    </row>
    <row r="654" spans="1:10" x14ac:dyDescent="0.3">
      <c r="A654" s="23" t="str">
        <f t="shared" si="40"/>
        <v>01-05-2026</v>
      </c>
      <c r="B654" s="24" t="s">
        <v>34</v>
      </c>
      <c r="C654" s="4">
        <v>8909286873655</v>
      </c>
      <c r="D654" s="24" t="s">
        <v>46</v>
      </c>
      <c r="E654" s="24" t="s">
        <v>330</v>
      </c>
      <c r="F654" s="25" t="str">
        <f t="shared" si="41"/>
        <v>FLYING MACHINE</v>
      </c>
      <c r="G654" s="24">
        <v>2</v>
      </c>
      <c r="H654" s="25" t="str">
        <f t="shared" si="42"/>
        <v>Pcs.</v>
      </c>
      <c r="I654" s="26">
        <v>1999</v>
      </c>
      <c r="J654" s="27">
        <f t="shared" si="43"/>
        <v>3998</v>
      </c>
    </row>
    <row r="655" spans="1:10" x14ac:dyDescent="0.3">
      <c r="A655" s="23" t="str">
        <f t="shared" si="40"/>
        <v>01-05-2026</v>
      </c>
      <c r="B655" s="24" t="s">
        <v>34</v>
      </c>
      <c r="C655" s="4">
        <v>8909286873662</v>
      </c>
      <c r="D655" s="24" t="s">
        <v>37</v>
      </c>
      <c r="E655" s="24" t="s">
        <v>330</v>
      </c>
      <c r="F655" s="25" t="str">
        <f t="shared" si="41"/>
        <v>FLYING MACHINE</v>
      </c>
      <c r="G655" s="24">
        <v>1</v>
      </c>
      <c r="H655" s="25" t="str">
        <f t="shared" si="42"/>
        <v>Pcs.</v>
      </c>
      <c r="I655" s="26">
        <v>1999</v>
      </c>
      <c r="J655" s="27">
        <f t="shared" si="43"/>
        <v>1999</v>
      </c>
    </row>
    <row r="656" spans="1:10" x14ac:dyDescent="0.3">
      <c r="A656" s="23" t="str">
        <f t="shared" si="40"/>
        <v>01-05-2026</v>
      </c>
      <c r="B656" s="24" t="s">
        <v>34</v>
      </c>
      <c r="C656" s="4">
        <v>8909286873723</v>
      </c>
      <c r="D656" s="24" t="s">
        <v>51</v>
      </c>
      <c r="E656" s="24" t="s">
        <v>331</v>
      </c>
      <c r="F656" s="25" t="str">
        <f t="shared" si="41"/>
        <v>FLYING MACHINE</v>
      </c>
      <c r="G656" s="24">
        <v>2</v>
      </c>
      <c r="H656" s="25" t="str">
        <f t="shared" si="42"/>
        <v>Pcs.</v>
      </c>
      <c r="I656" s="26">
        <v>1874.06</v>
      </c>
      <c r="J656" s="27">
        <f t="shared" si="43"/>
        <v>3748.12</v>
      </c>
    </row>
    <row r="657" spans="1:10" x14ac:dyDescent="0.3">
      <c r="A657" s="23" t="str">
        <f t="shared" si="40"/>
        <v>01-05-2026</v>
      </c>
      <c r="B657" s="24" t="s">
        <v>34</v>
      </c>
      <c r="C657" s="4">
        <v>8909286873730</v>
      </c>
      <c r="D657" s="24" t="s">
        <v>46</v>
      </c>
      <c r="E657" s="24" t="s">
        <v>331</v>
      </c>
      <c r="F657" s="25" t="str">
        <f t="shared" si="41"/>
        <v>FLYING MACHINE</v>
      </c>
      <c r="G657" s="24">
        <v>2</v>
      </c>
      <c r="H657" s="25" t="str">
        <f t="shared" si="42"/>
        <v>Pcs.</v>
      </c>
      <c r="I657" s="26">
        <v>1874.06</v>
      </c>
      <c r="J657" s="27">
        <f t="shared" si="43"/>
        <v>3748.12</v>
      </c>
    </row>
    <row r="658" spans="1:10" x14ac:dyDescent="0.3">
      <c r="A658" s="23" t="str">
        <f t="shared" si="40"/>
        <v>01-05-2026</v>
      </c>
      <c r="B658" s="24" t="s">
        <v>34</v>
      </c>
      <c r="C658" s="4">
        <v>8909286873747</v>
      </c>
      <c r="D658" s="24" t="s">
        <v>37</v>
      </c>
      <c r="E658" s="24" t="s">
        <v>331</v>
      </c>
      <c r="F658" s="25" t="str">
        <f t="shared" si="41"/>
        <v>FLYING MACHINE</v>
      </c>
      <c r="G658" s="24">
        <v>1</v>
      </c>
      <c r="H658" s="25" t="str">
        <f t="shared" si="42"/>
        <v>Pcs.</v>
      </c>
      <c r="I658" s="26">
        <v>1874.06</v>
      </c>
      <c r="J658" s="27">
        <f t="shared" si="43"/>
        <v>1874.06</v>
      </c>
    </row>
    <row r="659" spans="1:10" x14ac:dyDescent="0.3">
      <c r="A659" s="23" t="str">
        <f t="shared" si="40"/>
        <v>01-05-2026</v>
      </c>
      <c r="B659" s="24" t="s">
        <v>34</v>
      </c>
      <c r="C659" s="4">
        <v>8909286874041</v>
      </c>
      <c r="D659" s="24" t="s">
        <v>51</v>
      </c>
      <c r="E659" s="24" t="s">
        <v>104</v>
      </c>
      <c r="F659" s="25" t="str">
        <f t="shared" si="41"/>
        <v>FLYING MACHINE</v>
      </c>
      <c r="G659" s="24">
        <v>1</v>
      </c>
      <c r="H659" s="25" t="str">
        <f t="shared" si="42"/>
        <v>Pcs.</v>
      </c>
      <c r="I659" s="26">
        <v>1874.06</v>
      </c>
      <c r="J659" s="27">
        <f t="shared" si="43"/>
        <v>1874.06</v>
      </c>
    </row>
    <row r="660" spans="1:10" x14ac:dyDescent="0.3">
      <c r="A660" s="23" t="str">
        <f t="shared" si="40"/>
        <v>01-05-2026</v>
      </c>
      <c r="B660" s="24" t="s">
        <v>34</v>
      </c>
      <c r="C660" s="4">
        <v>8909286874058</v>
      </c>
      <c r="D660" s="24" t="s">
        <v>46</v>
      </c>
      <c r="E660" s="24" t="s">
        <v>104</v>
      </c>
      <c r="F660" s="25" t="str">
        <f t="shared" si="41"/>
        <v>FLYING MACHINE</v>
      </c>
      <c r="G660" s="24">
        <v>2</v>
      </c>
      <c r="H660" s="25" t="str">
        <f t="shared" si="42"/>
        <v>Pcs.</v>
      </c>
      <c r="I660" s="26">
        <v>1874.06</v>
      </c>
      <c r="J660" s="27">
        <f t="shared" si="43"/>
        <v>3748.12</v>
      </c>
    </row>
    <row r="661" spans="1:10" x14ac:dyDescent="0.3">
      <c r="A661" s="23" t="str">
        <f t="shared" si="40"/>
        <v>01-05-2026</v>
      </c>
      <c r="B661" s="24" t="s">
        <v>34</v>
      </c>
      <c r="C661" s="4">
        <v>8909286874065</v>
      </c>
      <c r="D661" s="24" t="s">
        <v>37</v>
      </c>
      <c r="E661" s="24" t="s">
        <v>104</v>
      </c>
      <c r="F661" s="25" t="str">
        <f t="shared" si="41"/>
        <v>FLYING MACHINE</v>
      </c>
      <c r="G661" s="24">
        <v>1</v>
      </c>
      <c r="H661" s="25" t="str">
        <f t="shared" si="42"/>
        <v>Pcs.</v>
      </c>
      <c r="I661" s="26">
        <v>1874.06</v>
      </c>
      <c r="J661" s="27">
        <f t="shared" si="43"/>
        <v>1874.06</v>
      </c>
    </row>
    <row r="662" spans="1:10" x14ac:dyDescent="0.3">
      <c r="A662" s="23" t="str">
        <f t="shared" si="40"/>
        <v>01-05-2026</v>
      </c>
      <c r="B662" s="24" t="s">
        <v>34</v>
      </c>
      <c r="C662" s="4">
        <v>8909286874928</v>
      </c>
      <c r="D662" s="24" t="s">
        <v>51</v>
      </c>
      <c r="E662" s="24" t="s">
        <v>43</v>
      </c>
      <c r="F662" s="25" t="str">
        <f t="shared" si="41"/>
        <v>FLYING MACHINE</v>
      </c>
      <c r="G662" s="24">
        <v>2</v>
      </c>
      <c r="H662" s="25" t="str">
        <f t="shared" si="42"/>
        <v>Pcs.</v>
      </c>
      <c r="I662" s="26">
        <v>1874.06</v>
      </c>
      <c r="J662" s="27">
        <f t="shared" si="43"/>
        <v>3748.12</v>
      </c>
    </row>
    <row r="663" spans="1:10" x14ac:dyDescent="0.3">
      <c r="A663" s="23" t="str">
        <f t="shared" si="40"/>
        <v>01-05-2026</v>
      </c>
      <c r="B663" s="24" t="s">
        <v>34</v>
      </c>
      <c r="C663" s="4">
        <v>8909286874935</v>
      </c>
      <c r="D663" s="24" t="s">
        <v>46</v>
      </c>
      <c r="E663" s="24" t="s">
        <v>43</v>
      </c>
      <c r="F663" s="25" t="str">
        <f t="shared" si="41"/>
        <v>FLYING MACHINE</v>
      </c>
      <c r="G663" s="24">
        <v>2</v>
      </c>
      <c r="H663" s="25" t="str">
        <f t="shared" si="42"/>
        <v>Pcs.</v>
      </c>
      <c r="I663" s="26">
        <v>1874.06</v>
      </c>
      <c r="J663" s="27">
        <f t="shared" si="43"/>
        <v>3748.12</v>
      </c>
    </row>
    <row r="664" spans="1:10" x14ac:dyDescent="0.3">
      <c r="A664" s="23" t="str">
        <f t="shared" si="40"/>
        <v>01-05-2026</v>
      </c>
      <c r="B664" s="24" t="s">
        <v>34</v>
      </c>
      <c r="C664" s="4">
        <v>8909286875000</v>
      </c>
      <c r="D664" s="24" t="s">
        <v>51</v>
      </c>
      <c r="E664" s="24" t="s">
        <v>54</v>
      </c>
      <c r="F664" s="25" t="str">
        <f t="shared" si="41"/>
        <v>FLYING MACHINE</v>
      </c>
      <c r="G664" s="24">
        <v>1</v>
      </c>
      <c r="H664" s="25" t="str">
        <f t="shared" si="42"/>
        <v>Pcs.</v>
      </c>
      <c r="I664" s="26">
        <v>1874.06</v>
      </c>
      <c r="J664" s="27">
        <f t="shared" si="43"/>
        <v>1874.06</v>
      </c>
    </row>
    <row r="665" spans="1:10" x14ac:dyDescent="0.3">
      <c r="A665" s="23" t="str">
        <f t="shared" si="40"/>
        <v>01-05-2026</v>
      </c>
      <c r="B665" s="24" t="s">
        <v>34</v>
      </c>
      <c r="C665" s="4">
        <v>8909286875017</v>
      </c>
      <c r="D665" s="24" t="s">
        <v>46</v>
      </c>
      <c r="E665" s="24" t="s">
        <v>54</v>
      </c>
      <c r="F665" s="25" t="str">
        <f t="shared" si="41"/>
        <v>FLYING MACHINE</v>
      </c>
      <c r="G665" s="24">
        <v>1</v>
      </c>
      <c r="H665" s="25" t="str">
        <f t="shared" si="42"/>
        <v>Pcs.</v>
      </c>
      <c r="I665" s="26">
        <v>1874.06</v>
      </c>
      <c r="J665" s="27">
        <f t="shared" si="43"/>
        <v>1874.06</v>
      </c>
    </row>
    <row r="666" spans="1:10" x14ac:dyDescent="0.3">
      <c r="A666" s="23" t="str">
        <f t="shared" si="40"/>
        <v>01-05-2026</v>
      </c>
      <c r="B666" s="24" t="s">
        <v>34</v>
      </c>
      <c r="C666" s="4">
        <v>8909286875024</v>
      </c>
      <c r="D666" s="24" t="s">
        <v>37</v>
      </c>
      <c r="E666" s="24" t="s">
        <v>54</v>
      </c>
      <c r="F666" s="25" t="str">
        <f t="shared" si="41"/>
        <v>FLYING MACHINE</v>
      </c>
      <c r="G666" s="24">
        <v>1</v>
      </c>
      <c r="H666" s="25" t="str">
        <f t="shared" si="42"/>
        <v>Pcs.</v>
      </c>
      <c r="I666" s="26">
        <v>1874.06</v>
      </c>
      <c r="J666" s="27">
        <f t="shared" si="43"/>
        <v>1874.06</v>
      </c>
    </row>
    <row r="667" spans="1:10" x14ac:dyDescent="0.3">
      <c r="A667" s="23" t="str">
        <f t="shared" si="40"/>
        <v>01-05-2026</v>
      </c>
      <c r="B667" s="24" t="s">
        <v>34</v>
      </c>
      <c r="C667" s="4">
        <v>8909286876922</v>
      </c>
      <c r="D667" s="24" t="s">
        <v>51</v>
      </c>
      <c r="E667" s="24" t="s">
        <v>113</v>
      </c>
      <c r="F667" s="25" t="str">
        <f t="shared" si="41"/>
        <v>FLYING MACHINE</v>
      </c>
      <c r="G667" s="24">
        <v>1</v>
      </c>
      <c r="H667" s="25" t="str">
        <f t="shared" si="42"/>
        <v>Pcs.</v>
      </c>
      <c r="I667" s="26">
        <v>2342.81</v>
      </c>
      <c r="J667" s="27">
        <f t="shared" si="43"/>
        <v>2342.81</v>
      </c>
    </row>
    <row r="668" spans="1:10" x14ac:dyDescent="0.3">
      <c r="A668" s="23" t="str">
        <f t="shared" si="40"/>
        <v>01-05-2026</v>
      </c>
      <c r="B668" s="24" t="s">
        <v>34</v>
      </c>
      <c r="C668" s="4">
        <v>8909286877004</v>
      </c>
      <c r="D668" s="24" t="s">
        <v>51</v>
      </c>
      <c r="E668" s="24" t="s">
        <v>332</v>
      </c>
      <c r="F668" s="25" t="str">
        <f t="shared" si="41"/>
        <v>FLYING MACHINE</v>
      </c>
      <c r="G668" s="24">
        <v>1</v>
      </c>
      <c r="H668" s="25" t="str">
        <f t="shared" si="42"/>
        <v>Pcs.</v>
      </c>
      <c r="I668" s="26">
        <v>2342.81</v>
      </c>
      <c r="J668" s="27">
        <f t="shared" si="43"/>
        <v>2342.81</v>
      </c>
    </row>
    <row r="669" spans="1:10" x14ac:dyDescent="0.3">
      <c r="A669" s="23" t="str">
        <f t="shared" si="40"/>
        <v>01-05-2026</v>
      </c>
      <c r="B669" s="24" t="s">
        <v>34</v>
      </c>
      <c r="C669" s="4">
        <v>8909286877400</v>
      </c>
      <c r="D669" s="24" t="s">
        <v>51</v>
      </c>
      <c r="E669" s="24" t="s">
        <v>106</v>
      </c>
      <c r="F669" s="25" t="str">
        <f t="shared" si="41"/>
        <v>FLYING MACHINE</v>
      </c>
      <c r="G669" s="24">
        <v>1</v>
      </c>
      <c r="H669" s="25" t="str">
        <f t="shared" si="42"/>
        <v>Pcs.</v>
      </c>
      <c r="I669" s="26">
        <v>2342.81</v>
      </c>
      <c r="J669" s="27">
        <f t="shared" si="43"/>
        <v>2342.81</v>
      </c>
    </row>
    <row r="670" spans="1:10" x14ac:dyDescent="0.3">
      <c r="A670" s="23" t="str">
        <f t="shared" si="40"/>
        <v>01-05-2026</v>
      </c>
      <c r="B670" s="24" t="s">
        <v>34</v>
      </c>
      <c r="C670" s="4">
        <v>8909286877400</v>
      </c>
      <c r="D670" s="24" t="s">
        <v>51</v>
      </c>
      <c r="E670" s="24" t="s">
        <v>106</v>
      </c>
      <c r="F670" s="25" t="str">
        <f t="shared" si="41"/>
        <v>FLYING MACHINE</v>
      </c>
      <c r="G670" s="24">
        <v>2</v>
      </c>
      <c r="H670" s="25" t="str">
        <f t="shared" si="42"/>
        <v>Pcs.</v>
      </c>
      <c r="I670" s="26">
        <v>2499</v>
      </c>
      <c r="J670" s="27">
        <f t="shared" si="43"/>
        <v>4998</v>
      </c>
    </row>
    <row r="671" spans="1:10" x14ac:dyDescent="0.3">
      <c r="A671" s="23" t="str">
        <f t="shared" si="40"/>
        <v>01-05-2026</v>
      </c>
      <c r="B671" s="24" t="s">
        <v>34</v>
      </c>
      <c r="C671" s="4">
        <v>8909286877417</v>
      </c>
      <c r="D671" s="24" t="s">
        <v>46</v>
      </c>
      <c r="E671" s="24" t="s">
        <v>106</v>
      </c>
      <c r="F671" s="25" t="str">
        <f t="shared" si="41"/>
        <v>FLYING MACHINE</v>
      </c>
      <c r="G671" s="24">
        <v>2</v>
      </c>
      <c r="H671" s="25" t="str">
        <f t="shared" si="42"/>
        <v>Pcs.</v>
      </c>
      <c r="I671" s="26">
        <v>2499</v>
      </c>
      <c r="J671" s="27">
        <f t="shared" si="43"/>
        <v>4998</v>
      </c>
    </row>
    <row r="672" spans="1:10" x14ac:dyDescent="0.3">
      <c r="A672" s="23" t="str">
        <f t="shared" si="40"/>
        <v>01-05-2026</v>
      </c>
      <c r="B672" s="24" t="s">
        <v>34</v>
      </c>
      <c r="C672" s="4">
        <v>8909286879268</v>
      </c>
      <c r="D672" s="24" t="s">
        <v>51</v>
      </c>
      <c r="E672" s="24" t="s">
        <v>38</v>
      </c>
      <c r="F672" s="25" t="str">
        <f t="shared" si="41"/>
        <v>FLYING MACHINE</v>
      </c>
      <c r="G672" s="24">
        <v>2</v>
      </c>
      <c r="H672" s="25" t="str">
        <f t="shared" si="42"/>
        <v>Pcs.</v>
      </c>
      <c r="I672" s="26">
        <v>1874.06</v>
      </c>
      <c r="J672" s="27">
        <f t="shared" si="43"/>
        <v>3748.12</v>
      </c>
    </row>
    <row r="673" spans="1:10" x14ac:dyDescent="0.3">
      <c r="A673" s="23" t="str">
        <f t="shared" si="40"/>
        <v>01-05-2026</v>
      </c>
      <c r="B673" s="24" t="s">
        <v>34</v>
      </c>
      <c r="C673" s="4">
        <v>8909286879275</v>
      </c>
      <c r="D673" s="24" t="s">
        <v>46</v>
      </c>
      <c r="E673" s="24" t="s">
        <v>38</v>
      </c>
      <c r="F673" s="25" t="str">
        <f t="shared" si="41"/>
        <v>FLYING MACHINE</v>
      </c>
      <c r="G673" s="24">
        <v>2</v>
      </c>
      <c r="H673" s="25" t="str">
        <f t="shared" si="42"/>
        <v>Pcs.</v>
      </c>
      <c r="I673" s="26">
        <v>1874.06</v>
      </c>
      <c r="J673" s="27">
        <f t="shared" si="43"/>
        <v>3748.12</v>
      </c>
    </row>
    <row r="674" spans="1:10" x14ac:dyDescent="0.3">
      <c r="A674" s="23" t="str">
        <f t="shared" si="40"/>
        <v>01-05-2026</v>
      </c>
      <c r="B674" s="24" t="s">
        <v>34</v>
      </c>
      <c r="C674" s="4">
        <v>8909286879985</v>
      </c>
      <c r="D674" s="24" t="s">
        <v>51</v>
      </c>
      <c r="E674" s="24" t="s">
        <v>333</v>
      </c>
      <c r="F674" s="25" t="str">
        <f t="shared" si="41"/>
        <v>FLYING MACHINE</v>
      </c>
      <c r="G674" s="24">
        <v>2</v>
      </c>
      <c r="H674" s="25" t="str">
        <f t="shared" si="42"/>
        <v>Pcs.</v>
      </c>
      <c r="I674" s="26">
        <v>1874.06</v>
      </c>
      <c r="J674" s="27">
        <f t="shared" si="43"/>
        <v>3748.12</v>
      </c>
    </row>
    <row r="675" spans="1:10" x14ac:dyDescent="0.3">
      <c r="A675" s="23" t="str">
        <f t="shared" si="40"/>
        <v>01-05-2026</v>
      </c>
      <c r="B675" s="24" t="s">
        <v>34</v>
      </c>
      <c r="C675" s="4">
        <v>8909286879992</v>
      </c>
      <c r="D675" s="24" t="s">
        <v>46</v>
      </c>
      <c r="E675" s="24" t="s">
        <v>333</v>
      </c>
      <c r="F675" s="25" t="str">
        <f t="shared" si="41"/>
        <v>FLYING MACHINE</v>
      </c>
      <c r="G675" s="24">
        <v>2</v>
      </c>
      <c r="H675" s="25" t="str">
        <f t="shared" si="42"/>
        <v>Pcs.</v>
      </c>
      <c r="I675" s="26">
        <v>1874.06</v>
      </c>
      <c r="J675" s="27">
        <f t="shared" si="43"/>
        <v>3748.12</v>
      </c>
    </row>
    <row r="676" spans="1:10" x14ac:dyDescent="0.3">
      <c r="A676" s="23" t="str">
        <f t="shared" si="40"/>
        <v>01-05-2026</v>
      </c>
      <c r="B676" s="24" t="s">
        <v>34</v>
      </c>
      <c r="C676" s="4">
        <v>8909432017179</v>
      </c>
      <c r="D676" s="24" t="s">
        <v>51</v>
      </c>
      <c r="E676" s="24" t="s">
        <v>77</v>
      </c>
      <c r="F676" s="25" t="str">
        <f t="shared" si="41"/>
        <v>FLYING MACHINE</v>
      </c>
      <c r="G676" s="24">
        <v>2</v>
      </c>
      <c r="H676" s="25" t="str">
        <f t="shared" si="42"/>
        <v>Pcs.</v>
      </c>
      <c r="I676" s="26">
        <v>1874.06</v>
      </c>
      <c r="J676" s="27">
        <f t="shared" si="43"/>
        <v>3748.12</v>
      </c>
    </row>
    <row r="677" spans="1:10" x14ac:dyDescent="0.3">
      <c r="A677" s="23" t="str">
        <f t="shared" si="40"/>
        <v>01-05-2026</v>
      </c>
      <c r="B677" s="24" t="s">
        <v>34</v>
      </c>
      <c r="C677" s="4">
        <v>8909432017179</v>
      </c>
      <c r="D677" s="24" t="s">
        <v>51</v>
      </c>
      <c r="E677" s="24" t="s">
        <v>77</v>
      </c>
      <c r="F677" s="25" t="str">
        <f t="shared" si="41"/>
        <v>FLYING MACHINE</v>
      </c>
      <c r="G677" s="24">
        <v>2</v>
      </c>
      <c r="H677" s="25" t="str">
        <f t="shared" si="42"/>
        <v>Pcs.</v>
      </c>
      <c r="I677" s="26">
        <v>1999</v>
      </c>
      <c r="J677" s="27">
        <f t="shared" si="43"/>
        <v>3998</v>
      </c>
    </row>
    <row r="678" spans="1:10" x14ac:dyDescent="0.3">
      <c r="A678" s="23" t="str">
        <f t="shared" si="40"/>
        <v>01-05-2026</v>
      </c>
      <c r="B678" s="24" t="s">
        <v>34</v>
      </c>
      <c r="C678" s="4">
        <v>8909432017186</v>
      </c>
      <c r="D678" s="24" t="s">
        <v>46</v>
      </c>
      <c r="E678" s="24" t="s">
        <v>77</v>
      </c>
      <c r="F678" s="25" t="str">
        <f t="shared" si="41"/>
        <v>FLYING MACHINE</v>
      </c>
      <c r="G678" s="24">
        <v>2</v>
      </c>
      <c r="H678" s="25" t="str">
        <f t="shared" si="42"/>
        <v>Pcs.</v>
      </c>
      <c r="I678" s="26">
        <v>1874.06</v>
      </c>
      <c r="J678" s="27">
        <f t="shared" si="43"/>
        <v>3748.12</v>
      </c>
    </row>
    <row r="679" spans="1:10" x14ac:dyDescent="0.3">
      <c r="A679" s="23" t="str">
        <f t="shared" si="40"/>
        <v>01-05-2026</v>
      </c>
      <c r="B679" s="24" t="s">
        <v>34</v>
      </c>
      <c r="C679" s="4">
        <v>8909432017186</v>
      </c>
      <c r="D679" s="24" t="s">
        <v>46</v>
      </c>
      <c r="E679" s="24" t="s">
        <v>77</v>
      </c>
      <c r="F679" s="25" t="str">
        <f t="shared" si="41"/>
        <v>FLYING MACHINE</v>
      </c>
      <c r="G679" s="24">
        <v>2</v>
      </c>
      <c r="H679" s="25" t="str">
        <f t="shared" si="42"/>
        <v>Pcs.</v>
      </c>
      <c r="I679" s="26">
        <v>1999</v>
      </c>
      <c r="J679" s="27">
        <f t="shared" si="43"/>
        <v>3998</v>
      </c>
    </row>
    <row r="680" spans="1:10" x14ac:dyDescent="0.3">
      <c r="A680" s="23" t="str">
        <f t="shared" si="40"/>
        <v>01-05-2026</v>
      </c>
      <c r="B680" s="24" t="s">
        <v>34</v>
      </c>
      <c r="C680" s="4">
        <v>8909432017711</v>
      </c>
      <c r="D680" s="24" t="s">
        <v>51</v>
      </c>
      <c r="E680" s="24" t="s">
        <v>132</v>
      </c>
      <c r="F680" s="25" t="str">
        <f t="shared" si="41"/>
        <v>FLYING MACHINE</v>
      </c>
      <c r="G680" s="24">
        <v>2</v>
      </c>
      <c r="H680" s="25" t="str">
        <f t="shared" si="42"/>
        <v>Pcs.</v>
      </c>
      <c r="I680" s="26">
        <v>2249.06</v>
      </c>
      <c r="J680" s="27">
        <f t="shared" si="43"/>
        <v>4498.12</v>
      </c>
    </row>
    <row r="681" spans="1:10" x14ac:dyDescent="0.3">
      <c r="A681" s="23" t="str">
        <f t="shared" si="40"/>
        <v>01-05-2026</v>
      </c>
      <c r="B681" s="24" t="s">
        <v>34</v>
      </c>
      <c r="C681" s="4">
        <v>8909432017728</v>
      </c>
      <c r="D681" s="24" t="s">
        <v>46</v>
      </c>
      <c r="E681" s="24" t="s">
        <v>132</v>
      </c>
      <c r="F681" s="25" t="str">
        <f t="shared" si="41"/>
        <v>FLYING MACHINE</v>
      </c>
      <c r="G681" s="24">
        <v>1</v>
      </c>
      <c r="H681" s="25" t="str">
        <f t="shared" si="42"/>
        <v>Pcs.</v>
      </c>
      <c r="I681" s="26">
        <v>2249.06</v>
      </c>
      <c r="J681" s="27">
        <f t="shared" si="43"/>
        <v>2249.06</v>
      </c>
    </row>
    <row r="682" spans="1:10" x14ac:dyDescent="0.3">
      <c r="A682" s="23" t="str">
        <f t="shared" si="40"/>
        <v>01-05-2026</v>
      </c>
      <c r="B682" s="24" t="s">
        <v>34</v>
      </c>
      <c r="C682" s="4">
        <v>8909432017735</v>
      </c>
      <c r="D682" s="24" t="s">
        <v>37</v>
      </c>
      <c r="E682" s="24" t="s">
        <v>132</v>
      </c>
      <c r="F682" s="25" t="str">
        <f t="shared" si="41"/>
        <v>FLYING MACHINE</v>
      </c>
      <c r="G682" s="24">
        <v>1</v>
      </c>
      <c r="H682" s="25" t="str">
        <f t="shared" si="42"/>
        <v>Pcs.</v>
      </c>
      <c r="I682" s="26">
        <v>2249.06</v>
      </c>
      <c r="J682" s="27">
        <f t="shared" si="43"/>
        <v>2249.06</v>
      </c>
    </row>
    <row r="683" spans="1:10" x14ac:dyDescent="0.3">
      <c r="A683" s="23" t="str">
        <f t="shared" si="40"/>
        <v>01-05-2026</v>
      </c>
      <c r="B683" s="24" t="s">
        <v>34</v>
      </c>
      <c r="C683" s="4">
        <v>8909432017742</v>
      </c>
      <c r="D683" s="24" t="s">
        <v>57</v>
      </c>
      <c r="E683" s="24" t="s">
        <v>132</v>
      </c>
      <c r="F683" s="25" t="str">
        <f t="shared" si="41"/>
        <v>FLYING MACHINE</v>
      </c>
      <c r="G683" s="24">
        <v>2</v>
      </c>
      <c r="H683" s="25" t="str">
        <f t="shared" si="42"/>
        <v>Pcs.</v>
      </c>
      <c r="I683" s="26">
        <v>2249.06</v>
      </c>
      <c r="J683" s="27">
        <f t="shared" si="43"/>
        <v>4498.12</v>
      </c>
    </row>
    <row r="684" spans="1:10" x14ac:dyDescent="0.3">
      <c r="A684" s="23" t="str">
        <f t="shared" si="40"/>
        <v>01-05-2026</v>
      </c>
      <c r="B684" s="24" t="s">
        <v>34</v>
      </c>
      <c r="C684" s="4">
        <v>8909432017766</v>
      </c>
      <c r="D684" s="24" t="s">
        <v>39</v>
      </c>
      <c r="E684" s="24" t="s">
        <v>132</v>
      </c>
      <c r="F684" s="25" t="str">
        <f t="shared" si="41"/>
        <v>FLYING MACHINE</v>
      </c>
      <c r="G684" s="24">
        <v>1</v>
      </c>
      <c r="H684" s="25" t="str">
        <f t="shared" si="42"/>
        <v>Pcs.</v>
      </c>
      <c r="I684" s="26">
        <v>2249.06</v>
      </c>
      <c r="J684" s="27">
        <f t="shared" si="43"/>
        <v>2249.06</v>
      </c>
    </row>
    <row r="685" spans="1:10" x14ac:dyDescent="0.3">
      <c r="A685" s="23" t="str">
        <f t="shared" si="40"/>
        <v>01-05-2026</v>
      </c>
      <c r="B685" s="24" t="s">
        <v>34</v>
      </c>
      <c r="C685" s="4">
        <v>8909432019968</v>
      </c>
      <c r="D685" s="24" t="s">
        <v>51</v>
      </c>
      <c r="E685" s="24" t="s">
        <v>121</v>
      </c>
      <c r="F685" s="25" t="str">
        <f t="shared" si="41"/>
        <v>FLYING MACHINE</v>
      </c>
      <c r="G685" s="24">
        <v>2</v>
      </c>
      <c r="H685" s="25" t="str">
        <f t="shared" si="42"/>
        <v>Pcs.</v>
      </c>
      <c r="I685" s="26">
        <v>2399</v>
      </c>
      <c r="J685" s="27">
        <f t="shared" si="43"/>
        <v>4798</v>
      </c>
    </row>
    <row r="686" spans="1:10" x14ac:dyDescent="0.3">
      <c r="A686" s="23" t="str">
        <f t="shared" si="40"/>
        <v>01-05-2026</v>
      </c>
      <c r="B686" s="24" t="s">
        <v>34</v>
      </c>
      <c r="C686" s="4">
        <v>8909432019975</v>
      </c>
      <c r="D686" s="24" t="s">
        <v>46</v>
      </c>
      <c r="E686" s="24" t="s">
        <v>121</v>
      </c>
      <c r="F686" s="25" t="str">
        <f t="shared" si="41"/>
        <v>FLYING MACHINE</v>
      </c>
      <c r="G686" s="24">
        <v>2</v>
      </c>
      <c r="H686" s="25" t="str">
        <f t="shared" si="42"/>
        <v>Pcs.</v>
      </c>
      <c r="I686" s="26">
        <v>2399</v>
      </c>
      <c r="J686" s="27">
        <f t="shared" si="43"/>
        <v>4798</v>
      </c>
    </row>
    <row r="687" spans="1:10" x14ac:dyDescent="0.3">
      <c r="A687" s="23" t="str">
        <f t="shared" si="40"/>
        <v>01-05-2026</v>
      </c>
      <c r="B687" s="24" t="s">
        <v>34</v>
      </c>
      <c r="C687" s="4">
        <v>8909432019982</v>
      </c>
      <c r="D687" s="24" t="s">
        <v>37</v>
      </c>
      <c r="E687" s="24" t="s">
        <v>121</v>
      </c>
      <c r="F687" s="25" t="str">
        <f t="shared" si="41"/>
        <v>FLYING MACHINE</v>
      </c>
      <c r="G687" s="24">
        <v>1</v>
      </c>
      <c r="H687" s="25" t="str">
        <f t="shared" si="42"/>
        <v>Pcs.</v>
      </c>
      <c r="I687" s="26">
        <v>2399</v>
      </c>
      <c r="J687" s="27">
        <f t="shared" si="43"/>
        <v>2399</v>
      </c>
    </row>
    <row r="688" spans="1:10" x14ac:dyDescent="0.3">
      <c r="A688" s="23" t="str">
        <f t="shared" si="40"/>
        <v>01-05-2026</v>
      </c>
      <c r="B688" s="24" t="s">
        <v>34</v>
      </c>
      <c r="C688" s="4">
        <v>8909432019999</v>
      </c>
      <c r="D688" s="24" t="s">
        <v>57</v>
      </c>
      <c r="E688" s="24" t="s">
        <v>121</v>
      </c>
      <c r="F688" s="25" t="str">
        <f t="shared" si="41"/>
        <v>FLYING MACHINE</v>
      </c>
      <c r="G688" s="24">
        <v>1</v>
      </c>
      <c r="H688" s="25" t="str">
        <f t="shared" si="42"/>
        <v>Pcs.</v>
      </c>
      <c r="I688" s="26">
        <v>2399</v>
      </c>
      <c r="J688" s="27">
        <f t="shared" si="43"/>
        <v>2399</v>
      </c>
    </row>
    <row r="689" spans="1:10" x14ac:dyDescent="0.3">
      <c r="A689" s="23" t="str">
        <f t="shared" si="40"/>
        <v>01-05-2026</v>
      </c>
      <c r="B689" s="24" t="s">
        <v>34</v>
      </c>
      <c r="C689" s="4">
        <v>8909432020018</v>
      </c>
      <c r="D689" s="24" t="s">
        <v>39</v>
      </c>
      <c r="E689" s="24" t="s">
        <v>121</v>
      </c>
      <c r="F689" s="25" t="str">
        <f t="shared" si="41"/>
        <v>FLYING MACHINE</v>
      </c>
      <c r="G689" s="24">
        <v>1</v>
      </c>
      <c r="H689" s="25" t="str">
        <f t="shared" si="42"/>
        <v>Pcs.</v>
      </c>
      <c r="I689" s="26">
        <v>2399</v>
      </c>
      <c r="J689" s="27">
        <f t="shared" si="43"/>
        <v>2399</v>
      </c>
    </row>
    <row r="690" spans="1:10" x14ac:dyDescent="0.3">
      <c r="A690" s="23" t="str">
        <f t="shared" si="40"/>
        <v>01-05-2026</v>
      </c>
      <c r="B690" s="24" t="s">
        <v>34</v>
      </c>
      <c r="C690" s="4">
        <v>8909432020230</v>
      </c>
      <c r="D690" s="24" t="s">
        <v>51</v>
      </c>
      <c r="E690" s="24" t="s">
        <v>334</v>
      </c>
      <c r="F690" s="25" t="str">
        <f t="shared" si="41"/>
        <v>FLYING MACHINE</v>
      </c>
      <c r="G690" s="24">
        <v>2</v>
      </c>
      <c r="H690" s="25" t="str">
        <f t="shared" si="42"/>
        <v>Pcs.</v>
      </c>
      <c r="I690" s="26">
        <v>2249.06</v>
      </c>
      <c r="J690" s="27">
        <f t="shared" si="43"/>
        <v>4498.12</v>
      </c>
    </row>
    <row r="691" spans="1:10" x14ac:dyDescent="0.3">
      <c r="A691" s="23" t="str">
        <f t="shared" si="40"/>
        <v>01-05-2026</v>
      </c>
      <c r="B691" s="24" t="s">
        <v>34</v>
      </c>
      <c r="C691" s="4">
        <v>8909432020247</v>
      </c>
      <c r="D691" s="24" t="s">
        <v>46</v>
      </c>
      <c r="E691" s="24" t="s">
        <v>334</v>
      </c>
      <c r="F691" s="25" t="str">
        <f t="shared" si="41"/>
        <v>FLYING MACHINE</v>
      </c>
      <c r="G691" s="24">
        <v>2</v>
      </c>
      <c r="H691" s="25" t="str">
        <f t="shared" si="42"/>
        <v>Pcs.</v>
      </c>
      <c r="I691" s="26">
        <v>2249.06</v>
      </c>
      <c r="J691" s="27">
        <f t="shared" si="43"/>
        <v>4498.12</v>
      </c>
    </row>
    <row r="692" spans="1:10" x14ac:dyDescent="0.3">
      <c r="A692" s="23" t="str">
        <f t="shared" si="40"/>
        <v>01-05-2026</v>
      </c>
      <c r="B692" s="24" t="s">
        <v>34</v>
      </c>
      <c r="C692" s="4">
        <v>8909432020254</v>
      </c>
      <c r="D692" s="24" t="s">
        <v>37</v>
      </c>
      <c r="E692" s="24" t="s">
        <v>334</v>
      </c>
      <c r="F692" s="25" t="str">
        <f t="shared" si="41"/>
        <v>FLYING MACHINE</v>
      </c>
      <c r="G692" s="24">
        <v>1</v>
      </c>
      <c r="H692" s="25" t="str">
        <f t="shared" si="42"/>
        <v>Pcs.</v>
      </c>
      <c r="I692" s="26">
        <v>2249.06</v>
      </c>
      <c r="J692" s="27">
        <f t="shared" si="43"/>
        <v>2249.06</v>
      </c>
    </row>
    <row r="693" spans="1:10" x14ac:dyDescent="0.3">
      <c r="A693" s="23" t="str">
        <f t="shared" si="40"/>
        <v>01-05-2026</v>
      </c>
      <c r="B693" s="24" t="s">
        <v>34</v>
      </c>
      <c r="C693" s="4">
        <v>8909432020261</v>
      </c>
      <c r="D693" s="24" t="s">
        <v>57</v>
      </c>
      <c r="E693" s="24" t="s">
        <v>334</v>
      </c>
      <c r="F693" s="25" t="str">
        <f t="shared" si="41"/>
        <v>FLYING MACHINE</v>
      </c>
      <c r="G693" s="24">
        <v>1</v>
      </c>
      <c r="H693" s="25" t="str">
        <f t="shared" si="42"/>
        <v>Pcs.</v>
      </c>
      <c r="I693" s="26">
        <v>2249.06</v>
      </c>
      <c r="J693" s="27">
        <f t="shared" si="43"/>
        <v>2249.06</v>
      </c>
    </row>
    <row r="694" spans="1:10" x14ac:dyDescent="0.3">
      <c r="A694" s="23" t="str">
        <f t="shared" si="40"/>
        <v>01-05-2026</v>
      </c>
      <c r="B694" s="24" t="s">
        <v>34</v>
      </c>
      <c r="C694" s="4">
        <v>8909432020285</v>
      </c>
      <c r="D694" s="24" t="s">
        <v>39</v>
      </c>
      <c r="E694" s="24" t="s">
        <v>334</v>
      </c>
      <c r="F694" s="25" t="str">
        <f t="shared" si="41"/>
        <v>FLYING MACHINE</v>
      </c>
      <c r="G694" s="24">
        <v>1</v>
      </c>
      <c r="H694" s="25" t="str">
        <f t="shared" si="42"/>
        <v>Pcs.</v>
      </c>
      <c r="I694" s="26">
        <v>2249.06</v>
      </c>
      <c r="J694" s="27">
        <f t="shared" si="43"/>
        <v>2249.06</v>
      </c>
    </row>
    <row r="695" spans="1:10" x14ac:dyDescent="0.3">
      <c r="A695" s="23" t="str">
        <f t="shared" si="40"/>
        <v>01-05-2026</v>
      </c>
      <c r="B695" s="24" t="s">
        <v>34</v>
      </c>
      <c r="C695" s="4">
        <v>8909432093197</v>
      </c>
      <c r="D695" s="24" t="s">
        <v>57</v>
      </c>
      <c r="E695" s="24" t="s">
        <v>108</v>
      </c>
      <c r="F695" s="25" t="str">
        <f t="shared" si="41"/>
        <v>FLYING MACHINE</v>
      </c>
      <c r="G695" s="24">
        <v>1</v>
      </c>
      <c r="H695" s="25" t="str">
        <f t="shared" si="42"/>
        <v>Pcs.</v>
      </c>
      <c r="I695" s="26">
        <v>1405.31</v>
      </c>
      <c r="J695" s="27">
        <f t="shared" si="43"/>
        <v>1405.31</v>
      </c>
    </row>
    <row r="696" spans="1:10" x14ac:dyDescent="0.3">
      <c r="A696" s="23" t="str">
        <f t="shared" si="40"/>
        <v>01-05-2026</v>
      </c>
      <c r="B696" s="24" t="s">
        <v>34</v>
      </c>
      <c r="C696" s="4">
        <v>8909432093197</v>
      </c>
      <c r="D696" s="24" t="s">
        <v>57</v>
      </c>
      <c r="E696" s="24" t="s">
        <v>108</v>
      </c>
      <c r="F696" s="25" t="str">
        <f t="shared" si="41"/>
        <v>FLYING MACHINE</v>
      </c>
      <c r="G696" s="24">
        <v>1</v>
      </c>
      <c r="H696" s="25" t="str">
        <f t="shared" si="42"/>
        <v>Pcs.</v>
      </c>
      <c r="I696" s="26">
        <v>1499</v>
      </c>
      <c r="J696" s="27">
        <f t="shared" si="43"/>
        <v>1499</v>
      </c>
    </row>
    <row r="697" spans="1:10" x14ac:dyDescent="0.3">
      <c r="A697" s="23" t="str">
        <f t="shared" si="40"/>
        <v>01-05-2026</v>
      </c>
      <c r="B697" s="24" t="s">
        <v>34</v>
      </c>
      <c r="C697" s="4">
        <v>8909432099984</v>
      </c>
      <c r="D697" s="24" t="s">
        <v>57</v>
      </c>
      <c r="E697" s="24" t="s">
        <v>327</v>
      </c>
      <c r="F697" s="25" t="str">
        <f t="shared" si="41"/>
        <v>FLYING MACHINE</v>
      </c>
      <c r="G697" s="24">
        <v>1</v>
      </c>
      <c r="H697" s="25" t="str">
        <f t="shared" si="42"/>
        <v>Pcs.</v>
      </c>
      <c r="I697" s="26">
        <v>1686.56</v>
      </c>
      <c r="J697" s="27">
        <f t="shared" si="43"/>
        <v>1686.56</v>
      </c>
    </row>
    <row r="698" spans="1:10" x14ac:dyDescent="0.3">
      <c r="A698" s="23" t="str">
        <f t="shared" si="40"/>
        <v>01-05-2026</v>
      </c>
      <c r="B698" s="24" t="s">
        <v>34</v>
      </c>
      <c r="C698" s="4">
        <v>8909432101212</v>
      </c>
      <c r="D698" s="24" t="s">
        <v>57</v>
      </c>
      <c r="E698" s="24" t="s">
        <v>329</v>
      </c>
      <c r="F698" s="25" t="str">
        <f t="shared" si="41"/>
        <v>FLYING MACHINE</v>
      </c>
      <c r="G698" s="24">
        <v>1</v>
      </c>
      <c r="H698" s="25" t="str">
        <f t="shared" si="42"/>
        <v>Pcs.</v>
      </c>
      <c r="I698" s="26">
        <v>1874.06</v>
      </c>
      <c r="J698" s="27">
        <f t="shared" si="43"/>
        <v>1874.06</v>
      </c>
    </row>
    <row r="699" spans="1:10" x14ac:dyDescent="0.3">
      <c r="A699" s="23" t="str">
        <f t="shared" si="40"/>
        <v>01-05-2026</v>
      </c>
      <c r="B699" s="24" t="s">
        <v>34</v>
      </c>
      <c r="C699" s="4">
        <v>8909432101342</v>
      </c>
      <c r="D699" s="24" t="s">
        <v>57</v>
      </c>
      <c r="E699" s="24" t="s">
        <v>330</v>
      </c>
      <c r="F699" s="25" t="str">
        <f t="shared" si="41"/>
        <v>FLYING MACHINE</v>
      </c>
      <c r="G699" s="24">
        <v>1</v>
      </c>
      <c r="H699" s="25" t="str">
        <f t="shared" si="42"/>
        <v>Pcs.</v>
      </c>
      <c r="I699" s="26">
        <v>1999</v>
      </c>
      <c r="J699" s="27">
        <f t="shared" si="43"/>
        <v>1999</v>
      </c>
    </row>
    <row r="700" spans="1:10" x14ac:dyDescent="0.3">
      <c r="A700" s="23" t="str">
        <f t="shared" si="40"/>
        <v>01-05-2026</v>
      </c>
      <c r="B700" s="24" t="s">
        <v>34</v>
      </c>
      <c r="C700" s="4">
        <v>8909432101359</v>
      </c>
      <c r="D700" s="24" t="s">
        <v>57</v>
      </c>
      <c r="E700" s="24" t="s">
        <v>331</v>
      </c>
      <c r="F700" s="25" t="str">
        <f t="shared" si="41"/>
        <v>FLYING MACHINE</v>
      </c>
      <c r="G700" s="24">
        <v>1</v>
      </c>
      <c r="H700" s="25" t="str">
        <f t="shared" si="42"/>
        <v>Pcs.</v>
      </c>
      <c r="I700" s="26">
        <v>1874.06</v>
      </c>
      <c r="J700" s="27">
        <f t="shared" si="43"/>
        <v>1874.06</v>
      </c>
    </row>
    <row r="701" spans="1:10" x14ac:dyDescent="0.3">
      <c r="A701" s="23" t="str">
        <f t="shared" si="40"/>
        <v>01-05-2026</v>
      </c>
      <c r="B701" s="24" t="s">
        <v>34</v>
      </c>
      <c r="C701" s="4">
        <v>8909432101502</v>
      </c>
      <c r="D701" s="24" t="s">
        <v>57</v>
      </c>
      <c r="E701" s="24" t="s">
        <v>43</v>
      </c>
      <c r="F701" s="25" t="str">
        <f t="shared" si="41"/>
        <v>FLYING MACHINE</v>
      </c>
      <c r="G701" s="24">
        <v>1</v>
      </c>
      <c r="H701" s="25" t="str">
        <f t="shared" si="42"/>
        <v>Pcs.</v>
      </c>
      <c r="I701" s="26">
        <v>1874.06</v>
      </c>
      <c r="J701" s="27">
        <f t="shared" si="43"/>
        <v>1874.06</v>
      </c>
    </row>
    <row r="702" spans="1:10" x14ac:dyDescent="0.3">
      <c r="A702" s="23" t="str">
        <f t="shared" si="40"/>
        <v>01-05-2026</v>
      </c>
      <c r="B702" s="24" t="s">
        <v>34</v>
      </c>
      <c r="C702" s="4">
        <v>8909432101519</v>
      </c>
      <c r="D702" s="24" t="s">
        <v>57</v>
      </c>
      <c r="E702" s="24" t="s">
        <v>54</v>
      </c>
      <c r="F702" s="25" t="str">
        <f t="shared" si="41"/>
        <v>FLYING MACHINE</v>
      </c>
      <c r="G702" s="24">
        <v>1</v>
      </c>
      <c r="H702" s="25" t="str">
        <f t="shared" si="42"/>
        <v>Pcs.</v>
      </c>
      <c r="I702" s="26">
        <v>1874.06</v>
      </c>
      <c r="J702" s="27">
        <f t="shared" si="43"/>
        <v>1874.06</v>
      </c>
    </row>
    <row r="703" spans="1:10" x14ac:dyDescent="0.3">
      <c r="A703" s="23" t="str">
        <f t="shared" si="40"/>
        <v>01-05-2026</v>
      </c>
      <c r="B703" s="24" t="s">
        <v>34</v>
      </c>
      <c r="C703" s="4">
        <v>8909432101779</v>
      </c>
      <c r="D703" s="24" t="s">
        <v>57</v>
      </c>
      <c r="E703" s="24" t="s">
        <v>113</v>
      </c>
      <c r="F703" s="25" t="str">
        <f t="shared" si="41"/>
        <v>FLYING MACHINE</v>
      </c>
      <c r="G703" s="24">
        <v>1</v>
      </c>
      <c r="H703" s="25" t="str">
        <f t="shared" si="42"/>
        <v>Pcs.</v>
      </c>
      <c r="I703" s="26">
        <v>2342.81</v>
      </c>
      <c r="J703" s="27">
        <f t="shared" si="43"/>
        <v>2342.81</v>
      </c>
    </row>
    <row r="704" spans="1:10" x14ac:dyDescent="0.3">
      <c r="A704" s="23" t="str">
        <f t="shared" si="40"/>
        <v>01-05-2026</v>
      </c>
      <c r="B704" s="24" t="s">
        <v>34</v>
      </c>
      <c r="C704" s="4">
        <v>8909432101786</v>
      </c>
      <c r="D704" s="24" t="s">
        <v>57</v>
      </c>
      <c r="E704" s="24" t="s">
        <v>332</v>
      </c>
      <c r="F704" s="25" t="str">
        <f t="shared" si="41"/>
        <v>FLYING MACHINE</v>
      </c>
      <c r="G704" s="24">
        <v>1</v>
      </c>
      <c r="H704" s="25" t="str">
        <f t="shared" si="42"/>
        <v>Pcs.</v>
      </c>
      <c r="I704" s="26">
        <v>2342.81</v>
      </c>
      <c r="J704" s="27">
        <f t="shared" si="43"/>
        <v>2342.81</v>
      </c>
    </row>
    <row r="705" spans="1:10" x14ac:dyDescent="0.3">
      <c r="A705" s="23" t="str">
        <f t="shared" si="40"/>
        <v>01-05-2026</v>
      </c>
      <c r="B705" s="24" t="s">
        <v>34</v>
      </c>
      <c r="C705" s="4">
        <v>8909432101830</v>
      </c>
      <c r="D705" s="24" t="s">
        <v>57</v>
      </c>
      <c r="E705" s="24" t="s">
        <v>106</v>
      </c>
      <c r="F705" s="25" t="str">
        <f t="shared" si="41"/>
        <v>FLYING MACHINE</v>
      </c>
      <c r="G705" s="24">
        <v>1</v>
      </c>
      <c r="H705" s="25" t="str">
        <f t="shared" si="42"/>
        <v>Pcs.</v>
      </c>
      <c r="I705" s="26">
        <v>2342.81</v>
      </c>
      <c r="J705" s="27">
        <f t="shared" si="43"/>
        <v>2342.81</v>
      </c>
    </row>
    <row r="706" spans="1:10" x14ac:dyDescent="0.3">
      <c r="A706" s="23" t="str">
        <f t="shared" si="40"/>
        <v>01-05-2026</v>
      </c>
      <c r="B706" s="24" t="s">
        <v>34</v>
      </c>
      <c r="C706" s="4">
        <v>8909432101830</v>
      </c>
      <c r="D706" s="24" t="s">
        <v>57</v>
      </c>
      <c r="E706" s="24" t="s">
        <v>106</v>
      </c>
      <c r="F706" s="25" t="str">
        <f t="shared" si="41"/>
        <v>FLYING MACHINE</v>
      </c>
      <c r="G706" s="24">
        <v>1</v>
      </c>
      <c r="H706" s="25" t="str">
        <f t="shared" si="42"/>
        <v>Pcs.</v>
      </c>
      <c r="I706" s="26">
        <v>2499</v>
      </c>
      <c r="J706" s="27">
        <f t="shared" si="43"/>
        <v>2499</v>
      </c>
    </row>
    <row r="707" spans="1:10" x14ac:dyDescent="0.3">
      <c r="A707" s="23" t="str">
        <f t="shared" si="40"/>
        <v>01-05-2026</v>
      </c>
      <c r="B707" s="24" t="s">
        <v>34</v>
      </c>
      <c r="C707" s="4">
        <v>8909432102059</v>
      </c>
      <c r="D707" s="24" t="s">
        <v>57</v>
      </c>
      <c r="E707" s="24" t="s">
        <v>38</v>
      </c>
      <c r="F707" s="25" t="str">
        <f t="shared" si="41"/>
        <v>FLYING MACHINE</v>
      </c>
      <c r="G707" s="24">
        <v>1</v>
      </c>
      <c r="H707" s="25" t="str">
        <f t="shared" si="42"/>
        <v>Pcs.</v>
      </c>
      <c r="I707" s="26">
        <v>1874.06</v>
      </c>
      <c r="J707" s="27">
        <f t="shared" si="43"/>
        <v>1874.06</v>
      </c>
    </row>
    <row r="708" spans="1:10" x14ac:dyDescent="0.3">
      <c r="A708" s="23" t="str">
        <f t="shared" si="40"/>
        <v>01-05-2026</v>
      </c>
      <c r="B708" s="24" t="s">
        <v>34</v>
      </c>
      <c r="C708" s="4">
        <v>8909432102097</v>
      </c>
      <c r="D708" s="24" t="s">
        <v>57</v>
      </c>
      <c r="E708" s="24" t="s">
        <v>333</v>
      </c>
      <c r="F708" s="25" t="str">
        <f t="shared" si="41"/>
        <v>FLYING MACHINE</v>
      </c>
      <c r="G708" s="24">
        <v>1</v>
      </c>
      <c r="H708" s="25" t="str">
        <f t="shared" si="42"/>
        <v>Pcs.</v>
      </c>
      <c r="I708" s="26">
        <v>1874.06</v>
      </c>
      <c r="J708" s="27">
        <f t="shared" si="43"/>
        <v>1874.06</v>
      </c>
    </row>
    <row r="709" spans="1:10" x14ac:dyDescent="0.3">
      <c r="A709" s="23" t="str">
        <f t="shared" ref="A709:A772" si="44">IF(C709&gt;0,RIGHT($D$3,10)," ")</f>
        <v>01-05-2026</v>
      </c>
      <c r="B709" s="24" t="s">
        <v>335</v>
      </c>
      <c r="C709" s="4">
        <v>8905952909758</v>
      </c>
      <c r="D709" s="24" t="s">
        <v>39</v>
      </c>
      <c r="E709" s="24" t="s">
        <v>336</v>
      </c>
      <c r="F709" s="25" t="str">
        <f t="shared" ref="F709:F772" si="45">IF(C709&gt;0,$C$3," ")</f>
        <v>FLYING MACHINE</v>
      </c>
      <c r="G709" s="24">
        <v>1</v>
      </c>
      <c r="H709" s="25" t="str">
        <f t="shared" ref="H709:H772" si="46">IF(G709&gt;0,"Pcs."," ")</f>
        <v>Pcs.</v>
      </c>
      <c r="I709" s="26">
        <v>2343</v>
      </c>
      <c r="J709" s="27">
        <f t="shared" ref="J709:J772" si="47">IF(I709*G709=0," ",I709*G709)</f>
        <v>2343</v>
      </c>
    </row>
    <row r="710" spans="1:10" x14ac:dyDescent="0.3">
      <c r="A710" s="23" t="str">
        <f t="shared" si="44"/>
        <v>01-05-2026</v>
      </c>
      <c r="B710" s="24" t="s">
        <v>335</v>
      </c>
      <c r="C710" s="4">
        <v>8909285517574</v>
      </c>
      <c r="D710" s="24" t="s">
        <v>39</v>
      </c>
      <c r="E710" s="24" t="s">
        <v>337</v>
      </c>
      <c r="F710" s="25" t="str">
        <f t="shared" si="45"/>
        <v>FLYING MACHINE</v>
      </c>
      <c r="G710" s="24">
        <v>1</v>
      </c>
      <c r="H710" s="25" t="str">
        <f t="shared" si="46"/>
        <v>Pcs.</v>
      </c>
      <c r="I710" s="26">
        <v>1874</v>
      </c>
      <c r="J710" s="27">
        <f t="shared" si="47"/>
        <v>1874</v>
      </c>
    </row>
    <row r="711" spans="1:10" x14ac:dyDescent="0.3">
      <c r="A711" s="23" t="str">
        <f t="shared" si="44"/>
        <v>01-05-2026</v>
      </c>
      <c r="B711" s="24" t="s">
        <v>335</v>
      </c>
      <c r="C711" s="4">
        <v>8909285517666</v>
      </c>
      <c r="D711" s="24" t="s">
        <v>39</v>
      </c>
      <c r="E711" s="24" t="s">
        <v>338</v>
      </c>
      <c r="F711" s="25" t="str">
        <f t="shared" si="45"/>
        <v>FLYING MACHINE</v>
      </c>
      <c r="G711" s="24">
        <v>1</v>
      </c>
      <c r="H711" s="25" t="str">
        <f t="shared" si="46"/>
        <v>Pcs.</v>
      </c>
      <c r="I711" s="26">
        <v>1874</v>
      </c>
      <c r="J711" s="27">
        <f t="shared" si="47"/>
        <v>1874</v>
      </c>
    </row>
    <row r="712" spans="1:10" x14ac:dyDescent="0.3">
      <c r="A712" s="23" t="str">
        <f t="shared" si="44"/>
        <v>01-05-2026</v>
      </c>
      <c r="B712" s="24" t="s">
        <v>335</v>
      </c>
      <c r="C712" s="4">
        <v>8909285517703</v>
      </c>
      <c r="D712" s="24" t="s">
        <v>51</v>
      </c>
      <c r="E712" s="24" t="s">
        <v>339</v>
      </c>
      <c r="F712" s="25" t="str">
        <f t="shared" si="45"/>
        <v>FLYING MACHINE</v>
      </c>
      <c r="G712" s="24">
        <v>1</v>
      </c>
      <c r="H712" s="25" t="str">
        <f t="shared" si="46"/>
        <v>Pcs.</v>
      </c>
      <c r="I712" s="26">
        <v>1874</v>
      </c>
      <c r="J712" s="27">
        <f t="shared" si="47"/>
        <v>1874</v>
      </c>
    </row>
    <row r="713" spans="1:10" x14ac:dyDescent="0.3">
      <c r="A713" s="23" t="str">
        <f t="shared" si="44"/>
        <v>01-05-2026</v>
      </c>
      <c r="B713" s="24" t="s">
        <v>335</v>
      </c>
      <c r="C713" s="4">
        <v>8909285517710</v>
      </c>
      <c r="D713" s="24" t="s">
        <v>46</v>
      </c>
      <c r="E713" s="24" t="s">
        <v>339</v>
      </c>
      <c r="F713" s="25" t="str">
        <f t="shared" si="45"/>
        <v>FLYING MACHINE</v>
      </c>
      <c r="G713" s="24">
        <v>1</v>
      </c>
      <c r="H713" s="25" t="str">
        <f t="shared" si="46"/>
        <v>Pcs.</v>
      </c>
      <c r="I713" s="26">
        <v>1874</v>
      </c>
      <c r="J713" s="27">
        <f t="shared" si="47"/>
        <v>1874</v>
      </c>
    </row>
    <row r="714" spans="1:10" x14ac:dyDescent="0.3">
      <c r="A714" s="23" t="str">
        <f t="shared" si="44"/>
        <v>01-05-2026</v>
      </c>
      <c r="B714" s="24" t="s">
        <v>335</v>
      </c>
      <c r="C714" s="4">
        <v>8909285517758</v>
      </c>
      <c r="D714" s="24" t="s">
        <v>39</v>
      </c>
      <c r="E714" s="24" t="s">
        <v>339</v>
      </c>
      <c r="F714" s="25" t="str">
        <f t="shared" si="45"/>
        <v>FLYING MACHINE</v>
      </c>
      <c r="G714" s="24">
        <v>1</v>
      </c>
      <c r="H714" s="25" t="str">
        <f t="shared" si="46"/>
        <v>Pcs.</v>
      </c>
      <c r="I714" s="26">
        <v>1874</v>
      </c>
      <c r="J714" s="27">
        <f t="shared" si="47"/>
        <v>1874</v>
      </c>
    </row>
    <row r="715" spans="1:10" x14ac:dyDescent="0.3">
      <c r="A715" s="23" t="str">
        <f t="shared" si="44"/>
        <v>01-05-2026</v>
      </c>
      <c r="B715" s="24" t="s">
        <v>335</v>
      </c>
      <c r="C715" s="4">
        <v>8909285518069</v>
      </c>
      <c r="D715" s="24" t="s">
        <v>51</v>
      </c>
      <c r="E715" s="24" t="s">
        <v>340</v>
      </c>
      <c r="F715" s="25" t="str">
        <f t="shared" si="45"/>
        <v>FLYING MACHINE</v>
      </c>
      <c r="G715" s="24">
        <v>1</v>
      </c>
      <c r="H715" s="25" t="str">
        <f t="shared" si="46"/>
        <v>Pcs.</v>
      </c>
      <c r="I715" s="26">
        <v>2155</v>
      </c>
      <c r="J715" s="27">
        <f t="shared" si="47"/>
        <v>2155</v>
      </c>
    </row>
    <row r="716" spans="1:10" x14ac:dyDescent="0.3">
      <c r="A716" s="23" t="str">
        <f t="shared" si="44"/>
        <v>01-05-2026</v>
      </c>
      <c r="B716" s="24" t="s">
        <v>335</v>
      </c>
      <c r="C716" s="4">
        <v>8909285518113</v>
      </c>
      <c r="D716" s="24" t="s">
        <v>39</v>
      </c>
      <c r="E716" s="24" t="s">
        <v>340</v>
      </c>
      <c r="F716" s="25" t="str">
        <f t="shared" si="45"/>
        <v>FLYING MACHINE</v>
      </c>
      <c r="G716" s="24">
        <v>1</v>
      </c>
      <c r="H716" s="25" t="str">
        <f t="shared" si="46"/>
        <v>Pcs.</v>
      </c>
      <c r="I716" s="26">
        <v>2155</v>
      </c>
      <c r="J716" s="27">
        <f t="shared" si="47"/>
        <v>2155</v>
      </c>
    </row>
    <row r="717" spans="1:10" x14ac:dyDescent="0.3">
      <c r="A717" s="23" t="str">
        <f t="shared" si="44"/>
        <v>01-05-2026</v>
      </c>
      <c r="B717" s="24" t="s">
        <v>335</v>
      </c>
      <c r="C717" s="4">
        <v>8909285518151</v>
      </c>
      <c r="D717" s="24" t="s">
        <v>51</v>
      </c>
      <c r="E717" s="24" t="s">
        <v>341</v>
      </c>
      <c r="F717" s="25" t="str">
        <f t="shared" si="45"/>
        <v>FLYING MACHINE</v>
      </c>
      <c r="G717" s="24">
        <v>1</v>
      </c>
      <c r="H717" s="25" t="str">
        <f t="shared" si="46"/>
        <v>Pcs.</v>
      </c>
      <c r="I717" s="26">
        <v>2155</v>
      </c>
      <c r="J717" s="27">
        <f t="shared" si="47"/>
        <v>2155</v>
      </c>
    </row>
    <row r="718" spans="1:10" x14ac:dyDescent="0.3">
      <c r="A718" s="23" t="str">
        <f t="shared" si="44"/>
        <v>01-05-2026</v>
      </c>
      <c r="B718" s="24" t="s">
        <v>335</v>
      </c>
      <c r="C718" s="4">
        <v>8909285518205</v>
      </c>
      <c r="D718" s="24" t="s">
        <v>39</v>
      </c>
      <c r="E718" s="24" t="s">
        <v>341</v>
      </c>
      <c r="F718" s="25" t="str">
        <f t="shared" si="45"/>
        <v>FLYING MACHINE</v>
      </c>
      <c r="G718" s="24">
        <v>1</v>
      </c>
      <c r="H718" s="25" t="str">
        <f t="shared" si="46"/>
        <v>Pcs.</v>
      </c>
      <c r="I718" s="26">
        <v>2155</v>
      </c>
      <c r="J718" s="27">
        <f t="shared" si="47"/>
        <v>2155</v>
      </c>
    </row>
    <row r="719" spans="1:10" x14ac:dyDescent="0.3">
      <c r="A719" s="23" t="str">
        <f t="shared" si="44"/>
        <v>01-05-2026</v>
      </c>
      <c r="B719" s="24" t="s">
        <v>335</v>
      </c>
      <c r="C719" s="4">
        <v>8909285518366</v>
      </c>
      <c r="D719" s="24" t="s">
        <v>57</v>
      </c>
      <c r="E719" s="24" t="s">
        <v>342</v>
      </c>
      <c r="F719" s="25" t="str">
        <f t="shared" si="45"/>
        <v>FLYING MACHINE</v>
      </c>
      <c r="G719" s="24">
        <v>1</v>
      </c>
      <c r="H719" s="25" t="str">
        <f t="shared" si="46"/>
        <v>Pcs.</v>
      </c>
      <c r="I719" s="26">
        <v>2155</v>
      </c>
      <c r="J719" s="27">
        <f t="shared" si="47"/>
        <v>2155</v>
      </c>
    </row>
    <row r="720" spans="1:10" x14ac:dyDescent="0.3">
      <c r="A720" s="23" t="str">
        <f t="shared" si="44"/>
        <v>01-05-2026</v>
      </c>
      <c r="B720" s="24" t="s">
        <v>335</v>
      </c>
      <c r="C720" s="4">
        <v>8909285518380</v>
      </c>
      <c r="D720" s="24" t="s">
        <v>39</v>
      </c>
      <c r="E720" s="24" t="s">
        <v>342</v>
      </c>
      <c r="F720" s="25" t="str">
        <f t="shared" si="45"/>
        <v>FLYING MACHINE</v>
      </c>
      <c r="G720" s="24">
        <v>1</v>
      </c>
      <c r="H720" s="25" t="str">
        <f t="shared" si="46"/>
        <v>Pcs.</v>
      </c>
      <c r="I720" s="26">
        <v>2155</v>
      </c>
      <c r="J720" s="27">
        <f t="shared" si="47"/>
        <v>2155</v>
      </c>
    </row>
    <row r="721" spans="1:10" x14ac:dyDescent="0.3">
      <c r="A721" s="23" t="str">
        <f t="shared" si="44"/>
        <v>01-05-2026</v>
      </c>
      <c r="B721" s="24" t="s">
        <v>335</v>
      </c>
      <c r="C721" s="4">
        <v>8909285518427</v>
      </c>
      <c r="D721" s="24" t="s">
        <v>51</v>
      </c>
      <c r="E721" s="24" t="s">
        <v>343</v>
      </c>
      <c r="F721" s="25" t="str">
        <f t="shared" si="45"/>
        <v>FLYING MACHINE</v>
      </c>
      <c r="G721" s="24">
        <v>2</v>
      </c>
      <c r="H721" s="25" t="str">
        <f t="shared" si="46"/>
        <v>Pcs.</v>
      </c>
      <c r="I721" s="26">
        <v>2155</v>
      </c>
      <c r="J721" s="27">
        <f t="shared" si="47"/>
        <v>4310</v>
      </c>
    </row>
    <row r="722" spans="1:10" x14ac:dyDescent="0.3">
      <c r="A722" s="23" t="str">
        <f t="shared" si="44"/>
        <v>01-05-2026</v>
      </c>
      <c r="B722" s="24" t="s">
        <v>335</v>
      </c>
      <c r="C722" s="4">
        <v>8909285518472</v>
      </c>
      <c r="D722" s="24" t="s">
        <v>39</v>
      </c>
      <c r="E722" s="24" t="s">
        <v>343</v>
      </c>
      <c r="F722" s="25" t="str">
        <f t="shared" si="45"/>
        <v>FLYING MACHINE</v>
      </c>
      <c r="G722" s="24">
        <v>1</v>
      </c>
      <c r="H722" s="25" t="str">
        <f t="shared" si="46"/>
        <v>Pcs.</v>
      </c>
      <c r="I722" s="26">
        <v>2155</v>
      </c>
      <c r="J722" s="27">
        <f t="shared" si="47"/>
        <v>2155</v>
      </c>
    </row>
    <row r="723" spans="1:10" x14ac:dyDescent="0.3">
      <c r="A723" s="23" t="str">
        <f t="shared" si="44"/>
        <v>01-05-2026</v>
      </c>
      <c r="B723" s="24" t="s">
        <v>335</v>
      </c>
      <c r="C723" s="4">
        <v>8909285518526</v>
      </c>
      <c r="D723" s="24" t="s">
        <v>46</v>
      </c>
      <c r="E723" s="24" t="s">
        <v>344</v>
      </c>
      <c r="F723" s="25" t="str">
        <f t="shared" si="45"/>
        <v>FLYING MACHINE</v>
      </c>
      <c r="G723" s="24">
        <v>2</v>
      </c>
      <c r="H723" s="25" t="str">
        <f t="shared" si="46"/>
        <v>Pcs.</v>
      </c>
      <c r="I723" s="26">
        <v>2624</v>
      </c>
      <c r="J723" s="27">
        <f t="shared" si="47"/>
        <v>5248</v>
      </c>
    </row>
    <row r="724" spans="1:10" x14ac:dyDescent="0.3">
      <c r="A724" s="23" t="str">
        <f t="shared" si="44"/>
        <v>01-05-2026</v>
      </c>
      <c r="B724" s="24" t="s">
        <v>335</v>
      </c>
      <c r="C724" s="4">
        <v>8909285518694</v>
      </c>
      <c r="D724" s="24" t="s">
        <v>51</v>
      </c>
      <c r="E724" s="24" t="s">
        <v>345</v>
      </c>
      <c r="F724" s="25" t="str">
        <f t="shared" si="45"/>
        <v>FLYING MACHINE</v>
      </c>
      <c r="G724" s="24">
        <v>1</v>
      </c>
      <c r="H724" s="25" t="str">
        <f t="shared" si="46"/>
        <v>Pcs.</v>
      </c>
      <c r="I724" s="26">
        <v>2624</v>
      </c>
      <c r="J724" s="27">
        <f t="shared" si="47"/>
        <v>2624</v>
      </c>
    </row>
    <row r="725" spans="1:10" x14ac:dyDescent="0.3">
      <c r="A725" s="23" t="str">
        <f t="shared" si="44"/>
        <v>01-05-2026</v>
      </c>
      <c r="B725" s="24" t="s">
        <v>335</v>
      </c>
      <c r="C725" s="4">
        <v>8909285764701</v>
      </c>
      <c r="D725" s="24" t="s">
        <v>39</v>
      </c>
      <c r="E725" s="24" t="s">
        <v>346</v>
      </c>
      <c r="F725" s="25" t="str">
        <f t="shared" si="45"/>
        <v>FLYING MACHINE</v>
      </c>
      <c r="G725" s="24">
        <v>1</v>
      </c>
      <c r="H725" s="25" t="str">
        <f t="shared" si="46"/>
        <v>Pcs.</v>
      </c>
      <c r="I725" s="26">
        <v>2437</v>
      </c>
      <c r="J725" s="27">
        <f t="shared" si="47"/>
        <v>2437</v>
      </c>
    </row>
    <row r="726" spans="1:10" x14ac:dyDescent="0.3">
      <c r="A726" s="23" t="str">
        <f t="shared" si="44"/>
        <v>01-05-2026</v>
      </c>
      <c r="B726" s="24" t="s">
        <v>335</v>
      </c>
      <c r="C726" s="4">
        <v>8909285765609</v>
      </c>
      <c r="D726" s="24" t="s">
        <v>39</v>
      </c>
      <c r="E726" s="24" t="s">
        <v>347</v>
      </c>
      <c r="F726" s="25" t="str">
        <f t="shared" si="45"/>
        <v>FLYING MACHINE</v>
      </c>
      <c r="G726" s="24">
        <v>1</v>
      </c>
      <c r="H726" s="25" t="str">
        <f t="shared" si="46"/>
        <v>Pcs.</v>
      </c>
      <c r="I726" s="26">
        <v>2437</v>
      </c>
      <c r="J726" s="27">
        <f t="shared" si="47"/>
        <v>2437</v>
      </c>
    </row>
    <row r="727" spans="1:10" x14ac:dyDescent="0.3">
      <c r="A727" s="23" t="str">
        <f t="shared" si="44"/>
        <v>01-05-2026</v>
      </c>
      <c r="B727" s="24" t="s">
        <v>335</v>
      </c>
      <c r="C727" s="4">
        <v>8909285766194</v>
      </c>
      <c r="D727" s="24" t="s">
        <v>46</v>
      </c>
      <c r="E727" s="24" t="s">
        <v>348</v>
      </c>
      <c r="F727" s="25" t="str">
        <f t="shared" si="45"/>
        <v>FLYING MACHINE</v>
      </c>
      <c r="G727" s="24">
        <v>1</v>
      </c>
      <c r="H727" s="25" t="str">
        <f t="shared" si="46"/>
        <v>Pcs.</v>
      </c>
      <c r="I727" s="26">
        <v>2437</v>
      </c>
      <c r="J727" s="27">
        <f t="shared" si="47"/>
        <v>2437</v>
      </c>
    </row>
    <row r="728" spans="1:10" x14ac:dyDescent="0.3">
      <c r="A728" s="23" t="str">
        <f t="shared" si="44"/>
        <v>01-05-2026</v>
      </c>
      <c r="B728" s="24" t="s">
        <v>335</v>
      </c>
      <c r="C728" s="4">
        <v>8909285766279</v>
      </c>
      <c r="D728" s="24" t="s">
        <v>51</v>
      </c>
      <c r="E728" s="24" t="s">
        <v>349</v>
      </c>
      <c r="F728" s="25" t="str">
        <f t="shared" si="45"/>
        <v>FLYING MACHINE</v>
      </c>
      <c r="G728" s="24">
        <v>1</v>
      </c>
      <c r="H728" s="25" t="str">
        <f t="shared" si="46"/>
        <v>Pcs.</v>
      </c>
      <c r="I728" s="26">
        <v>2437</v>
      </c>
      <c r="J728" s="27">
        <f t="shared" si="47"/>
        <v>2437</v>
      </c>
    </row>
    <row r="729" spans="1:10" x14ac:dyDescent="0.3">
      <c r="A729" s="23" t="str">
        <f t="shared" si="44"/>
        <v>01-05-2026</v>
      </c>
      <c r="B729" s="24" t="s">
        <v>335</v>
      </c>
      <c r="C729" s="4">
        <v>8909285766460</v>
      </c>
      <c r="D729" s="24" t="s">
        <v>46</v>
      </c>
      <c r="E729" s="24" t="s">
        <v>350</v>
      </c>
      <c r="F729" s="25" t="str">
        <f t="shared" si="45"/>
        <v>FLYING MACHINE</v>
      </c>
      <c r="G729" s="24">
        <v>2</v>
      </c>
      <c r="H729" s="25" t="str">
        <f t="shared" si="46"/>
        <v>Pcs.</v>
      </c>
      <c r="I729" s="26">
        <v>3476</v>
      </c>
      <c r="J729" s="27">
        <f t="shared" si="47"/>
        <v>6952</v>
      </c>
    </row>
    <row r="730" spans="1:10" x14ac:dyDescent="0.3">
      <c r="A730" s="23" t="str">
        <f t="shared" si="44"/>
        <v>01-05-2026</v>
      </c>
      <c r="B730" s="24" t="s">
        <v>335</v>
      </c>
      <c r="C730" s="4">
        <v>8909285766507</v>
      </c>
      <c r="D730" s="24" t="s">
        <v>39</v>
      </c>
      <c r="E730" s="24" t="s">
        <v>350</v>
      </c>
      <c r="F730" s="25" t="str">
        <f t="shared" si="45"/>
        <v>FLYING MACHINE</v>
      </c>
      <c r="G730" s="24">
        <v>1</v>
      </c>
      <c r="H730" s="25" t="str">
        <f t="shared" si="46"/>
        <v>Pcs.</v>
      </c>
      <c r="I730" s="26">
        <v>3476</v>
      </c>
      <c r="J730" s="27">
        <f t="shared" si="47"/>
        <v>3476</v>
      </c>
    </row>
    <row r="731" spans="1:10" x14ac:dyDescent="0.3">
      <c r="A731" s="23" t="str">
        <f t="shared" si="44"/>
        <v>01-05-2026</v>
      </c>
      <c r="B731" s="24" t="s">
        <v>335</v>
      </c>
      <c r="C731" s="4">
        <v>8909285767832</v>
      </c>
      <c r="D731" s="24" t="s">
        <v>57</v>
      </c>
      <c r="E731" s="24" t="s">
        <v>351</v>
      </c>
      <c r="F731" s="25" t="str">
        <f t="shared" si="45"/>
        <v>FLYING MACHINE</v>
      </c>
      <c r="G731" s="24">
        <v>1</v>
      </c>
      <c r="H731" s="25" t="str">
        <f t="shared" si="46"/>
        <v>Pcs.</v>
      </c>
      <c r="I731" s="26">
        <v>3792</v>
      </c>
      <c r="J731" s="27">
        <f t="shared" si="47"/>
        <v>3792</v>
      </c>
    </row>
    <row r="732" spans="1:10" x14ac:dyDescent="0.3">
      <c r="A732" s="23" t="str">
        <f t="shared" si="44"/>
        <v>01-05-2026</v>
      </c>
      <c r="B732" s="24" t="s">
        <v>74</v>
      </c>
      <c r="C732" s="4">
        <v>8905951710591</v>
      </c>
      <c r="D732" s="24">
        <v>34</v>
      </c>
      <c r="E732" s="24" t="s">
        <v>352</v>
      </c>
      <c r="F732" s="25" t="str">
        <f t="shared" si="45"/>
        <v>FLYING MACHINE</v>
      </c>
      <c r="G732" s="24">
        <v>2</v>
      </c>
      <c r="H732" s="25" t="str">
        <f t="shared" si="46"/>
        <v>Pcs.</v>
      </c>
      <c r="I732" s="26">
        <v>3686</v>
      </c>
      <c r="J732" s="27">
        <f t="shared" si="47"/>
        <v>7372</v>
      </c>
    </row>
    <row r="733" spans="1:10" x14ac:dyDescent="0.3">
      <c r="A733" s="23" t="str">
        <f t="shared" si="44"/>
        <v>01-05-2026</v>
      </c>
      <c r="B733" s="24" t="s">
        <v>74</v>
      </c>
      <c r="C733" s="4">
        <v>8905951710607</v>
      </c>
      <c r="D733" s="24">
        <v>36</v>
      </c>
      <c r="E733" s="24" t="s">
        <v>352</v>
      </c>
      <c r="F733" s="25" t="str">
        <f t="shared" si="45"/>
        <v>FLYING MACHINE</v>
      </c>
      <c r="G733" s="24">
        <v>1</v>
      </c>
      <c r="H733" s="25" t="str">
        <f t="shared" si="46"/>
        <v>Pcs.</v>
      </c>
      <c r="I733" s="26">
        <v>3686</v>
      </c>
      <c r="J733" s="27">
        <f t="shared" si="47"/>
        <v>3686</v>
      </c>
    </row>
    <row r="734" spans="1:10" x14ac:dyDescent="0.3">
      <c r="A734" s="23" t="str">
        <f t="shared" si="44"/>
        <v>01-05-2026</v>
      </c>
      <c r="B734" s="24" t="s">
        <v>74</v>
      </c>
      <c r="C734" s="4">
        <v>8905952868079</v>
      </c>
      <c r="D734" s="24">
        <v>34</v>
      </c>
      <c r="E734" s="24" t="s">
        <v>353</v>
      </c>
      <c r="F734" s="25" t="str">
        <f t="shared" si="45"/>
        <v>FLYING MACHINE</v>
      </c>
      <c r="G734" s="24">
        <v>1</v>
      </c>
      <c r="H734" s="25" t="str">
        <f t="shared" si="46"/>
        <v>Pcs.</v>
      </c>
      <c r="I734" s="26">
        <v>1874</v>
      </c>
      <c r="J734" s="27">
        <f t="shared" si="47"/>
        <v>1874</v>
      </c>
    </row>
    <row r="735" spans="1:10" x14ac:dyDescent="0.3">
      <c r="A735" s="23" t="str">
        <f t="shared" si="44"/>
        <v>01-05-2026</v>
      </c>
      <c r="B735" s="24" t="s">
        <v>74</v>
      </c>
      <c r="C735" s="4">
        <v>8905952975043</v>
      </c>
      <c r="D735" s="24">
        <v>30</v>
      </c>
      <c r="E735" s="24" t="s">
        <v>354</v>
      </c>
      <c r="F735" s="25" t="str">
        <f t="shared" si="45"/>
        <v>FLYING MACHINE</v>
      </c>
      <c r="G735" s="24">
        <v>1</v>
      </c>
      <c r="H735" s="25" t="str">
        <f t="shared" si="46"/>
        <v>Pcs.</v>
      </c>
      <c r="I735" s="26">
        <v>2343</v>
      </c>
      <c r="J735" s="27">
        <f t="shared" si="47"/>
        <v>2343</v>
      </c>
    </row>
    <row r="736" spans="1:10" x14ac:dyDescent="0.3">
      <c r="A736" s="23" t="str">
        <f t="shared" si="44"/>
        <v>01-05-2026</v>
      </c>
      <c r="B736" s="24" t="s">
        <v>74</v>
      </c>
      <c r="C736" s="4">
        <v>8905952975050</v>
      </c>
      <c r="D736" s="24">
        <v>32</v>
      </c>
      <c r="E736" s="24" t="s">
        <v>354</v>
      </c>
      <c r="F736" s="25" t="str">
        <f t="shared" si="45"/>
        <v>FLYING MACHINE</v>
      </c>
      <c r="G736" s="24">
        <v>2</v>
      </c>
      <c r="H736" s="25" t="str">
        <f t="shared" si="46"/>
        <v>Pcs.</v>
      </c>
      <c r="I736" s="26">
        <v>2343</v>
      </c>
      <c r="J736" s="27">
        <f t="shared" si="47"/>
        <v>4686</v>
      </c>
    </row>
    <row r="737" spans="1:10" x14ac:dyDescent="0.3">
      <c r="A737" s="23" t="str">
        <f t="shared" si="44"/>
        <v>01-05-2026</v>
      </c>
      <c r="B737" s="24" t="s">
        <v>74</v>
      </c>
      <c r="C737" s="4">
        <v>8909113041523</v>
      </c>
      <c r="D737" s="24">
        <v>32</v>
      </c>
      <c r="E737" s="24" t="s">
        <v>355</v>
      </c>
      <c r="F737" s="25" t="str">
        <f t="shared" si="45"/>
        <v>FLYING MACHINE</v>
      </c>
      <c r="G737" s="24">
        <v>2</v>
      </c>
      <c r="H737" s="25" t="str">
        <f t="shared" si="46"/>
        <v>Pcs.</v>
      </c>
      <c r="I737" s="26">
        <v>3160</v>
      </c>
      <c r="J737" s="27">
        <f t="shared" si="47"/>
        <v>6320</v>
      </c>
    </row>
    <row r="738" spans="1:10" x14ac:dyDescent="0.3">
      <c r="A738" s="23" t="str">
        <f t="shared" si="44"/>
        <v>01-05-2026</v>
      </c>
      <c r="B738" s="24" t="s">
        <v>74</v>
      </c>
      <c r="C738" s="4">
        <v>8909113041530</v>
      </c>
      <c r="D738" s="24">
        <v>34</v>
      </c>
      <c r="E738" s="24" t="s">
        <v>355</v>
      </c>
      <c r="F738" s="25" t="str">
        <f t="shared" si="45"/>
        <v>FLYING MACHINE</v>
      </c>
      <c r="G738" s="24">
        <v>2</v>
      </c>
      <c r="H738" s="25" t="str">
        <f t="shared" si="46"/>
        <v>Pcs.</v>
      </c>
      <c r="I738" s="26">
        <v>3160</v>
      </c>
      <c r="J738" s="27">
        <f t="shared" si="47"/>
        <v>6320</v>
      </c>
    </row>
    <row r="739" spans="1:10" x14ac:dyDescent="0.3">
      <c r="A739" s="23" t="str">
        <f t="shared" si="44"/>
        <v>01-05-2026</v>
      </c>
      <c r="B739" s="24" t="s">
        <v>74</v>
      </c>
      <c r="C739" s="4">
        <v>8909113041547</v>
      </c>
      <c r="D739" s="24">
        <v>36</v>
      </c>
      <c r="E739" s="24" t="s">
        <v>355</v>
      </c>
      <c r="F739" s="25" t="str">
        <f t="shared" si="45"/>
        <v>FLYING MACHINE</v>
      </c>
      <c r="G739" s="24">
        <v>1</v>
      </c>
      <c r="H739" s="25" t="str">
        <f t="shared" si="46"/>
        <v>Pcs.</v>
      </c>
      <c r="I739" s="26">
        <v>3160</v>
      </c>
      <c r="J739" s="27">
        <f t="shared" si="47"/>
        <v>3160</v>
      </c>
    </row>
    <row r="740" spans="1:10" x14ac:dyDescent="0.3">
      <c r="A740" s="23" t="str">
        <f t="shared" si="44"/>
        <v>01-05-2026</v>
      </c>
      <c r="B740" s="24" t="s">
        <v>74</v>
      </c>
      <c r="C740" s="4">
        <v>8909113041677</v>
      </c>
      <c r="D740" s="24">
        <v>36</v>
      </c>
      <c r="E740" s="24" t="s">
        <v>356</v>
      </c>
      <c r="F740" s="25" t="str">
        <f t="shared" si="45"/>
        <v>FLYING MACHINE</v>
      </c>
      <c r="G740" s="24">
        <v>1</v>
      </c>
      <c r="H740" s="25" t="str">
        <f t="shared" si="46"/>
        <v>Pcs.</v>
      </c>
      <c r="I740" s="26">
        <v>3160</v>
      </c>
      <c r="J740" s="27">
        <f t="shared" si="47"/>
        <v>3160</v>
      </c>
    </row>
    <row r="741" spans="1:10" x14ac:dyDescent="0.3">
      <c r="A741" s="23" t="str">
        <f t="shared" si="44"/>
        <v>01-05-2026</v>
      </c>
      <c r="B741" s="24" t="s">
        <v>74</v>
      </c>
      <c r="C741" s="4">
        <v>8909113041790</v>
      </c>
      <c r="D741" s="24">
        <v>34</v>
      </c>
      <c r="E741" s="24" t="s">
        <v>357</v>
      </c>
      <c r="F741" s="25" t="str">
        <f t="shared" si="45"/>
        <v>FLYING MACHINE</v>
      </c>
      <c r="G741" s="24">
        <v>1</v>
      </c>
      <c r="H741" s="25" t="str">
        <f t="shared" si="46"/>
        <v>Pcs.</v>
      </c>
      <c r="I741" s="26">
        <v>3160</v>
      </c>
      <c r="J741" s="27">
        <f t="shared" si="47"/>
        <v>3160</v>
      </c>
    </row>
    <row r="742" spans="1:10" x14ac:dyDescent="0.3">
      <c r="A742" s="23" t="str">
        <f t="shared" si="44"/>
        <v>01-05-2026</v>
      </c>
      <c r="B742" s="24" t="s">
        <v>74</v>
      </c>
      <c r="C742" s="4">
        <v>8909113041905</v>
      </c>
      <c r="D742" s="24">
        <v>36</v>
      </c>
      <c r="E742" s="24" t="s">
        <v>357</v>
      </c>
      <c r="F742" s="25" t="str">
        <f t="shared" si="45"/>
        <v>FLYING MACHINE</v>
      </c>
      <c r="G742" s="24">
        <v>1</v>
      </c>
      <c r="H742" s="25" t="str">
        <f t="shared" si="46"/>
        <v>Pcs.</v>
      </c>
      <c r="I742" s="26">
        <v>3160</v>
      </c>
      <c r="J742" s="27">
        <f t="shared" si="47"/>
        <v>3160</v>
      </c>
    </row>
    <row r="743" spans="1:10" x14ac:dyDescent="0.3">
      <c r="A743" s="23" t="str">
        <f t="shared" si="44"/>
        <v>01-05-2026</v>
      </c>
      <c r="B743" s="24" t="s">
        <v>74</v>
      </c>
      <c r="C743" s="4">
        <v>8909113042254</v>
      </c>
      <c r="D743" s="24">
        <v>32</v>
      </c>
      <c r="E743" s="24" t="s">
        <v>358</v>
      </c>
      <c r="F743" s="25" t="str">
        <f t="shared" si="45"/>
        <v>FLYING MACHINE</v>
      </c>
      <c r="G743" s="24">
        <v>2</v>
      </c>
      <c r="H743" s="25" t="str">
        <f t="shared" si="46"/>
        <v>Pcs.</v>
      </c>
      <c r="I743" s="26">
        <v>3792</v>
      </c>
      <c r="J743" s="27">
        <f t="shared" si="47"/>
        <v>7584</v>
      </c>
    </row>
    <row r="744" spans="1:10" x14ac:dyDescent="0.3">
      <c r="A744" s="23" t="str">
        <f t="shared" si="44"/>
        <v>01-05-2026</v>
      </c>
      <c r="B744" s="24" t="s">
        <v>74</v>
      </c>
      <c r="C744" s="4">
        <v>8909113042476</v>
      </c>
      <c r="D744" s="24">
        <v>32</v>
      </c>
      <c r="E744" s="24" t="s">
        <v>128</v>
      </c>
      <c r="F744" s="25" t="str">
        <f t="shared" si="45"/>
        <v>FLYING MACHINE</v>
      </c>
      <c r="G744" s="24">
        <v>1</v>
      </c>
      <c r="H744" s="25" t="str">
        <f t="shared" si="46"/>
        <v>Pcs.</v>
      </c>
      <c r="I744" s="26">
        <v>3792</v>
      </c>
      <c r="J744" s="27">
        <f t="shared" si="47"/>
        <v>3792</v>
      </c>
    </row>
    <row r="745" spans="1:10" x14ac:dyDescent="0.3">
      <c r="A745" s="23" t="str">
        <f t="shared" si="44"/>
        <v>01-05-2026</v>
      </c>
      <c r="B745" s="24" t="s">
        <v>74</v>
      </c>
      <c r="C745" s="4">
        <v>8909113047228</v>
      </c>
      <c r="D745" s="24">
        <v>34</v>
      </c>
      <c r="E745" s="24" t="s">
        <v>359</v>
      </c>
      <c r="F745" s="25" t="str">
        <f t="shared" si="45"/>
        <v>FLYING MACHINE</v>
      </c>
      <c r="G745" s="24">
        <v>1</v>
      </c>
      <c r="H745" s="25" t="str">
        <f t="shared" si="46"/>
        <v>Pcs.</v>
      </c>
      <c r="I745" s="26">
        <v>1874</v>
      </c>
      <c r="J745" s="27">
        <f t="shared" si="47"/>
        <v>1874</v>
      </c>
    </row>
    <row r="746" spans="1:10" x14ac:dyDescent="0.3">
      <c r="A746" s="23" t="str">
        <f t="shared" si="44"/>
        <v>01-05-2026</v>
      </c>
      <c r="B746" s="24" t="s">
        <v>74</v>
      </c>
      <c r="C746" s="4">
        <v>8909286868897</v>
      </c>
      <c r="D746" s="24">
        <v>30</v>
      </c>
      <c r="E746" s="24" t="s">
        <v>78</v>
      </c>
      <c r="F746" s="25" t="str">
        <f t="shared" si="45"/>
        <v>FLYING MACHINE</v>
      </c>
      <c r="G746" s="24">
        <v>1</v>
      </c>
      <c r="H746" s="25" t="str">
        <f t="shared" si="46"/>
        <v>Pcs.</v>
      </c>
      <c r="I746" s="26">
        <v>2436.5700000000002</v>
      </c>
      <c r="J746" s="27">
        <f t="shared" si="47"/>
        <v>2436.5700000000002</v>
      </c>
    </row>
    <row r="747" spans="1:10" x14ac:dyDescent="0.3">
      <c r="A747" s="23" t="str">
        <f t="shared" si="44"/>
        <v>01-05-2026</v>
      </c>
      <c r="B747" s="24" t="s">
        <v>74</v>
      </c>
      <c r="C747" s="4">
        <v>8909286868903</v>
      </c>
      <c r="D747" s="24">
        <v>32</v>
      </c>
      <c r="E747" s="24" t="s">
        <v>78</v>
      </c>
      <c r="F747" s="25" t="str">
        <f t="shared" si="45"/>
        <v>FLYING MACHINE</v>
      </c>
      <c r="G747" s="24">
        <v>2</v>
      </c>
      <c r="H747" s="25" t="str">
        <f t="shared" si="46"/>
        <v>Pcs.</v>
      </c>
      <c r="I747" s="26">
        <v>2436.5700000000002</v>
      </c>
      <c r="J747" s="27">
        <f t="shared" si="47"/>
        <v>4873.1400000000003</v>
      </c>
    </row>
    <row r="748" spans="1:10" x14ac:dyDescent="0.3">
      <c r="A748" s="23" t="str">
        <f t="shared" si="44"/>
        <v>01-05-2026</v>
      </c>
      <c r="B748" s="24" t="s">
        <v>74</v>
      </c>
      <c r="C748" s="4">
        <v>8909286868910</v>
      </c>
      <c r="D748" s="24">
        <v>34</v>
      </c>
      <c r="E748" s="24" t="s">
        <v>78</v>
      </c>
      <c r="F748" s="25" t="str">
        <f t="shared" si="45"/>
        <v>FLYING MACHINE</v>
      </c>
      <c r="G748" s="24">
        <v>2</v>
      </c>
      <c r="H748" s="25" t="str">
        <f t="shared" si="46"/>
        <v>Pcs.</v>
      </c>
      <c r="I748" s="26">
        <v>2436.5700000000002</v>
      </c>
      <c r="J748" s="27">
        <f t="shared" si="47"/>
        <v>4873.1400000000003</v>
      </c>
    </row>
    <row r="749" spans="1:10" x14ac:dyDescent="0.3">
      <c r="A749" s="23" t="str">
        <f t="shared" si="44"/>
        <v>01-05-2026</v>
      </c>
      <c r="B749" s="24" t="s">
        <v>74</v>
      </c>
      <c r="C749" s="4">
        <v>8909286869023</v>
      </c>
      <c r="D749" s="24">
        <v>30</v>
      </c>
      <c r="E749" s="24" t="s">
        <v>360</v>
      </c>
      <c r="F749" s="25" t="str">
        <f t="shared" si="45"/>
        <v>FLYING MACHINE</v>
      </c>
      <c r="G749" s="24">
        <v>2</v>
      </c>
      <c r="H749" s="25" t="str">
        <f t="shared" si="46"/>
        <v>Pcs.</v>
      </c>
      <c r="I749" s="26">
        <v>2436.5700000000002</v>
      </c>
      <c r="J749" s="27">
        <f t="shared" si="47"/>
        <v>4873.1400000000003</v>
      </c>
    </row>
    <row r="750" spans="1:10" x14ac:dyDescent="0.3">
      <c r="A750" s="23" t="str">
        <f t="shared" si="44"/>
        <v>01-05-2026</v>
      </c>
      <c r="B750" s="24" t="s">
        <v>74</v>
      </c>
      <c r="C750" s="4">
        <v>8909286869030</v>
      </c>
      <c r="D750" s="24">
        <v>32</v>
      </c>
      <c r="E750" s="24" t="s">
        <v>360</v>
      </c>
      <c r="F750" s="25" t="str">
        <f t="shared" si="45"/>
        <v>FLYING MACHINE</v>
      </c>
      <c r="G750" s="24">
        <v>2</v>
      </c>
      <c r="H750" s="25" t="str">
        <f t="shared" si="46"/>
        <v>Pcs.</v>
      </c>
      <c r="I750" s="26">
        <v>2436.5700000000002</v>
      </c>
      <c r="J750" s="27">
        <f t="shared" si="47"/>
        <v>4873.1400000000003</v>
      </c>
    </row>
    <row r="751" spans="1:10" x14ac:dyDescent="0.3">
      <c r="A751" s="23" t="str">
        <f t="shared" si="44"/>
        <v>01-05-2026</v>
      </c>
      <c r="B751" s="24" t="s">
        <v>74</v>
      </c>
      <c r="C751" s="4">
        <v>8909286869047</v>
      </c>
      <c r="D751" s="24">
        <v>34</v>
      </c>
      <c r="E751" s="24" t="s">
        <v>360</v>
      </c>
      <c r="F751" s="25" t="str">
        <f t="shared" si="45"/>
        <v>FLYING MACHINE</v>
      </c>
      <c r="G751" s="24">
        <v>2</v>
      </c>
      <c r="H751" s="25" t="str">
        <f t="shared" si="46"/>
        <v>Pcs.</v>
      </c>
      <c r="I751" s="26">
        <v>2436.5700000000002</v>
      </c>
      <c r="J751" s="27">
        <f t="shared" si="47"/>
        <v>4873.1400000000003</v>
      </c>
    </row>
    <row r="752" spans="1:10" x14ac:dyDescent="0.3">
      <c r="A752" s="23" t="str">
        <f t="shared" si="44"/>
        <v>01-05-2026</v>
      </c>
      <c r="B752" s="24" t="s">
        <v>74</v>
      </c>
      <c r="C752" s="4">
        <v>8909286869412</v>
      </c>
      <c r="D752" s="24">
        <v>30</v>
      </c>
      <c r="E752" s="24" t="s">
        <v>97</v>
      </c>
      <c r="F752" s="25" t="str">
        <f t="shared" si="45"/>
        <v>FLYING MACHINE</v>
      </c>
      <c r="G752" s="24">
        <v>1</v>
      </c>
      <c r="H752" s="25" t="str">
        <f t="shared" si="46"/>
        <v>Pcs.</v>
      </c>
      <c r="I752" s="26">
        <v>1874.06</v>
      </c>
      <c r="J752" s="27">
        <f t="shared" si="47"/>
        <v>1874.06</v>
      </c>
    </row>
    <row r="753" spans="1:10" x14ac:dyDescent="0.3">
      <c r="A753" s="23" t="str">
        <f t="shared" si="44"/>
        <v>01-05-2026</v>
      </c>
      <c r="B753" s="24" t="s">
        <v>74</v>
      </c>
      <c r="C753" s="4">
        <v>8909286869429</v>
      </c>
      <c r="D753" s="24">
        <v>32</v>
      </c>
      <c r="E753" s="24" t="s">
        <v>97</v>
      </c>
      <c r="F753" s="25" t="str">
        <f t="shared" si="45"/>
        <v>FLYING MACHINE</v>
      </c>
      <c r="G753" s="24">
        <v>1</v>
      </c>
      <c r="H753" s="25" t="str">
        <f t="shared" si="46"/>
        <v>Pcs.</v>
      </c>
      <c r="I753" s="26">
        <v>1874.06</v>
      </c>
      <c r="J753" s="27">
        <f t="shared" si="47"/>
        <v>1874.06</v>
      </c>
    </row>
    <row r="754" spans="1:10" x14ac:dyDescent="0.3">
      <c r="A754" s="23" t="str">
        <f t="shared" si="44"/>
        <v>01-05-2026</v>
      </c>
      <c r="B754" s="24" t="s">
        <v>74</v>
      </c>
      <c r="C754" s="4">
        <v>8909286869436</v>
      </c>
      <c r="D754" s="24">
        <v>34</v>
      </c>
      <c r="E754" s="24" t="s">
        <v>97</v>
      </c>
      <c r="F754" s="25" t="str">
        <f t="shared" si="45"/>
        <v>FLYING MACHINE</v>
      </c>
      <c r="G754" s="24">
        <v>1</v>
      </c>
      <c r="H754" s="25" t="str">
        <f t="shared" si="46"/>
        <v>Pcs.</v>
      </c>
      <c r="I754" s="26">
        <v>1874.06</v>
      </c>
      <c r="J754" s="27">
        <f t="shared" si="47"/>
        <v>1874.06</v>
      </c>
    </row>
    <row r="755" spans="1:10" x14ac:dyDescent="0.3">
      <c r="A755" s="23" t="str">
        <f t="shared" si="44"/>
        <v>01-05-2026</v>
      </c>
      <c r="B755" s="24" t="s">
        <v>74</v>
      </c>
      <c r="C755" s="4">
        <v>8909286869443</v>
      </c>
      <c r="D755" s="24">
        <v>36</v>
      </c>
      <c r="E755" s="24" t="s">
        <v>97</v>
      </c>
      <c r="F755" s="25" t="str">
        <f t="shared" si="45"/>
        <v>FLYING MACHINE</v>
      </c>
      <c r="G755" s="24">
        <v>1</v>
      </c>
      <c r="H755" s="25" t="str">
        <f t="shared" si="46"/>
        <v>Pcs.</v>
      </c>
      <c r="I755" s="26">
        <v>1874.06</v>
      </c>
      <c r="J755" s="27">
        <f t="shared" si="47"/>
        <v>1874.06</v>
      </c>
    </row>
    <row r="756" spans="1:10" x14ac:dyDescent="0.3">
      <c r="A756" s="23" t="str">
        <f t="shared" si="44"/>
        <v>01-05-2026</v>
      </c>
      <c r="B756" s="24" t="s">
        <v>74</v>
      </c>
      <c r="C756" s="4">
        <v>8909286869542</v>
      </c>
      <c r="D756" s="24">
        <v>30</v>
      </c>
      <c r="E756" s="24" t="s">
        <v>102</v>
      </c>
      <c r="F756" s="25" t="str">
        <f t="shared" si="45"/>
        <v>FLYING MACHINE</v>
      </c>
      <c r="G756" s="24">
        <v>2</v>
      </c>
      <c r="H756" s="25" t="str">
        <f t="shared" si="46"/>
        <v>Pcs.</v>
      </c>
      <c r="I756" s="26">
        <v>1874.06</v>
      </c>
      <c r="J756" s="27">
        <f t="shared" si="47"/>
        <v>3748.12</v>
      </c>
    </row>
    <row r="757" spans="1:10" x14ac:dyDescent="0.3">
      <c r="A757" s="23" t="str">
        <f t="shared" si="44"/>
        <v>01-05-2026</v>
      </c>
      <c r="B757" s="24" t="s">
        <v>74</v>
      </c>
      <c r="C757" s="4">
        <v>8909286869559</v>
      </c>
      <c r="D757" s="24">
        <v>32</v>
      </c>
      <c r="E757" s="24" t="s">
        <v>102</v>
      </c>
      <c r="F757" s="25" t="str">
        <f t="shared" si="45"/>
        <v>FLYING MACHINE</v>
      </c>
      <c r="G757" s="24">
        <v>1</v>
      </c>
      <c r="H757" s="25" t="str">
        <f t="shared" si="46"/>
        <v>Pcs.</v>
      </c>
      <c r="I757" s="26">
        <v>1874.06</v>
      </c>
      <c r="J757" s="27">
        <f t="shared" si="47"/>
        <v>1874.06</v>
      </c>
    </row>
    <row r="758" spans="1:10" x14ac:dyDescent="0.3">
      <c r="A758" s="23" t="str">
        <f t="shared" si="44"/>
        <v>01-05-2026</v>
      </c>
      <c r="B758" s="24" t="s">
        <v>74</v>
      </c>
      <c r="C758" s="4">
        <v>8909286869566</v>
      </c>
      <c r="D758" s="24">
        <v>34</v>
      </c>
      <c r="E758" s="24" t="s">
        <v>102</v>
      </c>
      <c r="F758" s="25" t="str">
        <f t="shared" si="45"/>
        <v>FLYING MACHINE</v>
      </c>
      <c r="G758" s="24">
        <v>2</v>
      </c>
      <c r="H758" s="25" t="str">
        <f t="shared" si="46"/>
        <v>Pcs.</v>
      </c>
      <c r="I758" s="26">
        <v>1874.06</v>
      </c>
      <c r="J758" s="27">
        <f t="shared" si="47"/>
        <v>3748.12</v>
      </c>
    </row>
    <row r="759" spans="1:10" x14ac:dyDescent="0.3">
      <c r="A759" s="23" t="str">
        <f t="shared" si="44"/>
        <v>01-05-2026</v>
      </c>
      <c r="B759" s="24" t="s">
        <v>74</v>
      </c>
      <c r="C759" s="4">
        <v>8909286869672</v>
      </c>
      <c r="D759" s="24">
        <v>30</v>
      </c>
      <c r="E759" s="24" t="s">
        <v>94</v>
      </c>
      <c r="F759" s="25" t="str">
        <f t="shared" si="45"/>
        <v>FLYING MACHINE</v>
      </c>
      <c r="G759" s="24">
        <v>1</v>
      </c>
      <c r="H759" s="25" t="str">
        <f t="shared" si="46"/>
        <v>Pcs.</v>
      </c>
      <c r="I759" s="26">
        <v>1874.06</v>
      </c>
      <c r="J759" s="27">
        <f t="shared" si="47"/>
        <v>1874.06</v>
      </c>
    </row>
    <row r="760" spans="1:10" x14ac:dyDescent="0.3">
      <c r="A760" s="23" t="str">
        <f t="shared" si="44"/>
        <v>01-05-2026</v>
      </c>
      <c r="B760" s="24" t="s">
        <v>74</v>
      </c>
      <c r="C760" s="4">
        <v>8909286869696</v>
      </c>
      <c r="D760" s="24">
        <v>34</v>
      </c>
      <c r="E760" s="24" t="s">
        <v>94</v>
      </c>
      <c r="F760" s="25" t="str">
        <f t="shared" si="45"/>
        <v>FLYING MACHINE</v>
      </c>
      <c r="G760" s="24">
        <v>2</v>
      </c>
      <c r="H760" s="25" t="str">
        <f t="shared" si="46"/>
        <v>Pcs.</v>
      </c>
      <c r="I760" s="26">
        <v>1874.06</v>
      </c>
      <c r="J760" s="27">
        <f t="shared" si="47"/>
        <v>3748.12</v>
      </c>
    </row>
    <row r="761" spans="1:10" x14ac:dyDescent="0.3">
      <c r="A761" s="23" t="str">
        <f t="shared" si="44"/>
        <v>01-05-2026</v>
      </c>
      <c r="B761" s="24" t="s">
        <v>74</v>
      </c>
      <c r="C761" s="4">
        <v>8909286869801</v>
      </c>
      <c r="D761" s="24">
        <v>30</v>
      </c>
      <c r="E761" s="24" t="s">
        <v>361</v>
      </c>
      <c r="F761" s="25" t="str">
        <f t="shared" si="45"/>
        <v>FLYING MACHINE</v>
      </c>
      <c r="G761" s="24">
        <v>2</v>
      </c>
      <c r="H761" s="25" t="str">
        <f t="shared" si="46"/>
        <v>Pcs.</v>
      </c>
      <c r="I761" s="26">
        <v>1874.06</v>
      </c>
      <c r="J761" s="27">
        <f t="shared" si="47"/>
        <v>3748.12</v>
      </c>
    </row>
    <row r="762" spans="1:10" x14ac:dyDescent="0.3">
      <c r="A762" s="23" t="str">
        <f t="shared" si="44"/>
        <v>01-05-2026</v>
      </c>
      <c r="B762" s="24" t="s">
        <v>74</v>
      </c>
      <c r="C762" s="4">
        <v>8909286869818</v>
      </c>
      <c r="D762" s="24">
        <v>32</v>
      </c>
      <c r="E762" s="24" t="s">
        <v>361</v>
      </c>
      <c r="F762" s="25" t="str">
        <f t="shared" si="45"/>
        <v>FLYING MACHINE</v>
      </c>
      <c r="G762" s="24">
        <v>2</v>
      </c>
      <c r="H762" s="25" t="str">
        <f t="shared" si="46"/>
        <v>Pcs.</v>
      </c>
      <c r="I762" s="26">
        <v>1874.06</v>
      </c>
      <c r="J762" s="27">
        <f t="shared" si="47"/>
        <v>3748.12</v>
      </c>
    </row>
    <row r="763" spans="1:10" x14ac:dyDescent="0.3">
      <c r="A763" s="23" t="str">
        <f t="shared" si="44"/>
        <v>01-05-2026</v>
      </c>
      <c r="B763" s="24" t="s">
        <v>74</v>
      </c>
      <c r="C763" s="4">
        <v>8909286869825</v>
      </c>
      <c r="D763" s="24">
        <v>34</v>
      </c>
      <c r="E763" s="24" t="s">
        <v>361</v>
      </c>
      <c r="F763" s="25" t="str">
        <f t="shared" si="45"/>
        <v>FLYING MACHINE</v>
      </c>
      <c r="G763" s="24">
        <v>2</v>
      </c>
      <c r="H763" s="25" t="str">
        <f t="shared" si="46"/>
        <v>Pcs.</v>
      </c>
      <c r="I763" s="26">
        <v>1874.06</v>
      </c>
      <c r="J763" s="27">
        <f t="shared" si="47"/>
        <v>3748.12</v>
      </c>
    </row>
    <row r="764" spans="1:10" x14ac:dyDescent="0.3">
      <c r="A764" s="23" t="str">
        <f t="shared" si="44"/>
        <v>01-05-2026</v>
      </c>
      <c r="B764" s="24" t="s">
        <v>74</v>
      </c>
      <c r="C764" s="4">
        <v>8909286869931</v>
      </c>
      <c r="D764" s="24">
        <v>30</v>
      </c>
      <c r="E764" s="24" t="s">
        <v>362</v>
      </c>
      <c r="F764" s="25" t="str">
        <f t="shared" si="45"/>
        <v>FLYING MACHINE</v>
      </c>
      <c r="G764" s="24">
        <v>2</v>
      </c>
      <c r="H764" s="25" t="str">
        <f t="shared" si="46"/>
        <v>Pcs.</v>
      </c>
      <c r="I764" s="26">
        <v>1874.06</v>
      </c>
      <c r="J764" s="27">
        <f t="shared" si="47"/>
        <v>3748.12</v>
      </c>
    </row>
    <row r="765" spans="1:10" x14ac:dyDescent="0.3">
      <c r="A765" s="23" t="str">
        <f t="shared" si="44"/>
        <v>01-05-2026</v>
      </c>
      <c r="B765" s="24" t="s">
        <v>74</v>
      </c>
      <c r="C765" s="4">
        <v>8909286869948</v>
      </c>
      <c r="D765" s="24">
        <v>32</v>
      </c>
      <c r="E765" s="24" t="s">
        <v>362</v>
      </c>
      <c r="F765" s="25" t="str">
        <f t="shared" si="45"/>
        <v>FLYING MACHINE</v>
      </c>
      <c r="G765" s="24">
        <v>2</v>
      </c>
      <c r="H765" s="25" t="str">
        <f t="shared" si="46"/>
        <v>Pcs.</v>
      </c>
      <c r="I765" s="26">
        <v>1874.06</v>
      </c>
      <c r="J765" s="27">
        <f t="shared" si="47"/>
        <v>3748.12</v>
      </c>
    </row>
    <row r="766" spans="1:10" x14ac:dyDescent="0.3">
      <c r="A766" s="23" t="str">
        <f t="shared" si="44"/>
        <v>01-05-2026</v>
      </c>
      <c r="B766" s="24" t="s">
        <v>74</v>
      </c>
      <c r="C766" s="4">
        <v>8909286869955</v>
      </c>
      <c r="D766" s="24">
        <v>34</v>
      </c>
      <c r="E766" s="24" t="s">
        <v>362</v>
      </c>
      <c r="F766" s="25" t="str">
        <f t="shared" si="45"/>
        <v>FLYING MACHINE</v>
      </c>
      <c r="G766" s="24">
        <v>2</v>
      </c>
      <c r="H766" s="25" t="str">
        <f t="shared" si="46"/>
        <v>Pcs.</v>
      </c>
      <c r="I766" s="26">
        <v>1874.06</v>
      </c>
      <c r="J766" s="27">
        <f t="shared" si="47"/>
        <v>3748.12</v>
      </c>
    </row>
    <row r="767" spans="1:10" x14ac:dyDescent="0.3">
      <c r="A767" s="23" t="str">
        <f t="shared" si="44"/>
        <v>01-05-2026</v>
      </c>
      <c r="B767" s="24" t="s">
        <v>35</v>
      </c>
      <c r="C767" s="4">
        <v>8905951048168</v>
      </c>
      <c r="D767" s="24" t="s">
        <v>51</v>
      </c>
      <c r="E767" s="24" t="s">
        <v>81</v>
      </c>
      <c r="F767" s="25" t="str">
        <f t="shared" si="45"/>
        <v>FLYING MACHINE</v>
      </c>
      <c r="G767" s="24">
        <v>2</v>
      </c>
      <c r="H767" s="25" t="str">
        <f t="shared" si="46"/>
        <v>Pcs.</v>
      </c>
      <c r="I767" s="26">
        <v>1218</v>
      </c>
      <c r="J767" s="27">
        <f t="shared" si="47"/>
        <v>2436</v>
      </c>
    </row>
    <row r="768" spans="1:10" x14ac:dyDescent="0.3">
      <c r="A768" s="23" t="str">
        <f t="shared" si="44"/>
        <v>01-05-2026</v>
      </c>
      <c r="B768" s="24" t="s">
        <v>35</v>
      </c>
      <c r="C768" s="4">
        <v>8905951048175</v>
      </c>
      <c r="D768" s="24" t="s">
        <v>46</v>
      </c>
      <c r="E768" s="24" t="s">
        <v>81</v>
      </c>
      <c r="F768" s="25" t="str">
        <f t="shared" si="45"/>
        <v>FLYING MACHINE</v>
      </c>
      <c r="G768" s="24">
        <v>3</v>
      </c>
      <c r="H768" s="25" t="str">
        <f t="shared" si="46"/>
        <v>Pcs.</v>
      </c>
      <c r="I768" s="26">
        <v>1218</v>
      </c>
      <c r="J768" s="27">
        <f t="shared" si="47"/>
        <v>3654</v>
      </c>
    </row>
    <row r="769" spans="1:10" x14ac:dyDescent="0.3">
      <c r="A769" s="23" t="str">
        <f t="shared" si="44"/>
        <v>01-05-2026</v>
      </c>
      <c r="B769" s="24" t="s">
        <v>35</v>
      </c>
      <c r="C769" s="4">
        <v>8905951048182</v>
      </c>
      <c r="D769" s="24" t="s">
        <v>37</v>
      </c>
      <c r="E769" s="24" t="s">
        <v>81</v>
      </c>
      <c r="F769" s="25" t="str">
        <f t="shared" si="45"/>
        <v>FLYING MACHINE</v>
      </c>
      <c r="G769" s="24">
        <v>1</v>
      </c>
      <c r="H769" s="25" t="str">
        <f t="shared" si="46"/>
        <v>Pcs.</v>
      </c>
      <c r="I769" s="26">
        <v>1218</v>
      </c>
      <c r="J769" s="27">
        <f t="shared" si="47"/>
        <v>1218</v>
      </c>
    </row>
    <row r="770" spans="1:10" x14ac:dyDescent="0.3">
      <c r="A770" s="23" t="str">
        <f t="shared" si="44"/>
        <v>01-05-2026</v>
      </c>
      <c r="B770" s="24" t="s">
        <v>35</v>
      </c>
      <c r="C770" s="4">
        <v>8905951048199</v>
      </c>
      <c r="D770" s="24" t="s">
        <v>57</v>
      </c>
      <c r="E770" s="24" t="s">
        <v>81</v>
      </c>
      <c r="F770" s="25" t="str">
        <f t="shared" si="45"/>
        <v>FLYING MACHINE</v>
      </c>
      <c r="G770" s="24">
        <v>1</v>
      </c>
      <c r="H770" s="25" t="str">
        <f t="shared" si="46"/>
        <v>Pcs.</v>
      </c>
      <c r="I770" s="26">
        <v>1218</v>
      </c>
      <c r="J770" s="27">
        <f t="shared" si="47"/>
        <v>1218</v>
      </c>
    </row>
    <row r="771" spans="1:10" x14ac:dyDescent="0.3">
      <c r="A771" s="23" t="str">
        <f t="shared" si="44"/>
        <v>01-05-2026</v>
      </c>
      <c r="B771" s="24" t="s">
        <v>35</v>
      </c>
      <c r="C771" s="4">
        <v>8905951048243</v>
      </c>
      <c r="D771" s="24" t="s">
        <v>51</v>
      </c>
      <c r="E771" s="24" t="s">
        <v>363</v>
      </c>
      <c r="F771" s="25" t="str">
        <f t="shared" si="45"/>
        <v>FLYING MACHINE</v>
      </c>
      <c r="G771" s="24">
        <v>1</v>
      </c>
      <c r="H771" s="25" t="str">
        <f t="shared" si="46"/>
        <v>Pcs.</v>
      </c>
      <c r="I771" s="26">
        <v>1217.81</v>
      </c>
      <c r="J771" s="27">
        <f t="shared" si="47"/>
        <v>1217.81</v>
      </c>
    </row>
    <row r="772" spans="1:10" x14ac:dyDescent="0.3">
      <c r="A772" s="23" t="str">
        <f t="shared" si="44"/>
        <v>01-05-2026</v>
      </c>
      <c r="B772" s="24" t="s">
        <v>35</v>
      </c>
      <c r="C772" s="4">
        <v>8905951048250</v>
      </c>
      <c r="D772" s="24" t="s">
        <v>46</v>
      </c>
      <c r="E772" s="24" t="s">
        <v>363</v>
      </c>
      <c r="F772" s="25" t="str">
        <f t="shared" si="45"/>
        <v>FLYING MACHINE</v>
      </c>
      <c r="G772" s="24">
        <v>1</v>
      </c>
      <c r="H772" s="25" t="str">
        <f t="shared" si="46"/>
        <v>Pcs.</v>
      </c>
      <c r="I772" s="26">
        <v>1217.81</v>
      </c>
      <c r="J772" s="27">
        <f t="shared" si="47"/>
        <v>1217.81</v>
      </c>
    </row>
    <row r="773" spans="1:10" x14ac:dyDescent="0.3">
      <c r="A773" s="23" t="str">
        <f t="shared" ref="A773:A836" si="48">IF(C773&gt;0,RIGHT($D$3,10)," ")</f>
        <v>01-05-2026</v>
      </c>
      <c r="B773" s="24" t="s">
        <v>35</v>
      </c>
      <c r="C773" s="4">
        <v>8905951048274</v>
      </c>
      <c r="D773" s="24" t="s">
        <v>57</v>
      </c>
      <c r="E773" s="24" t="s">
        <v>363</v>
      </c>
      <c r="F773" s="25" t="str">
        <f t="shared" ref="F773:F836" si="49">IF(C773&gt;0,$C$3," ")</f>
        <v>FLYING MACHINE</v>
      </c>
      <c r="G773" s="24">
        <v>1</v>
      </c>
      <c r="H773" s="25" t="str">
        <f t="shared" ref="H773:H836" si="50">IF(G773&gt;0,"Pcs."," ")</f>
        <v>Pcs.</v>
      </c>
      <c r="I773" s="26">
        <v>1218</v>
      </c>
      <c r="J773" s="27">
        <f t="shared" ref="J773:J836" si="51">IF(I773*G773=0," ",I773*G773)</f>
        <v>1218</v>
      </c>
    </row>
    <row r="774" spans="1:10" x14ac:dyDescent="0.3">
      <c r="A774" s="23" t="str">
        <f t="shared" si="48"/>
        <v>01-05-2026</v>
      </c>
      <c r="B774" s="24" t="s">
        <v>35</v>
      </c>
      <c r="C774" s="4">
        <v>8905951048656</v>
      </c>
      <c r="D774" s="24" t="s">
        <v>46</v>
      </c>
      <c r="E774" s="24" t="s">
        <v>364</v>
      </c>
      <c r="F774" s="25" t="str">
        <f t="shared" si="49"/>
        <v>FLYING MACHINE</v>
      </c>
      <c r="G774" s="24">
        <v>1</v>
      </c>
      <c r="H774" s="25" t="str">
        <f t="shared" si="50"/>
        <v>Pcs.</v>
      </c>
      <c r="I774" s="26">
        <v>1217.81</v>
      </c>
      <c r="J774" s="27">
        <f t="shared" si="51"/>
        <v>1217.81</v>
      </c>
    </row>
    <row r="775" spans="1:10" x14ac:dyDescent="0.3">
      <c r="A775" s="23" t="str">
        <f t="shared" si="48"/>
        <v>01-05-2026</v>
      </c>
      <c r="B775" s="24" t="s">
        <v>35</v>
      </c>
      <c r="C775" s="4">
        <v>8905951668069</v>
      </c>
      <c r="D775" s="24" t="s">
        <v>51</v>
      </c>
      <c r="E775" s="24" t="s">
        <v>365</v>
      </c>
      <c r="F775" s="25" t="str">
        <f t="shared" si="49"/>
        <v>FLYING MACHINE</v>
      </c>
      <c r="G775" s="24">
        <v>1</v>
      </c>
      <c r="H775" s="25" t="str">
        <f t="shared" si="50"/>
        <v>Pcs.</v>
      </c>
      <c r="I775" s="26">
        <v>1218</v>
      </c>
      <c r="J775" s="27">
        <f t="shared" si="51"/>
        <v>1218</v>
      </c>
    </row>
    <row r="776" spans="1:10" x14ac:dyDescent="0.3">
      <c r="A776" s="23" t="str">
        <f t="shared" si="48"/>
        <v>01-05-2026</v>
      </c>
      <c r="B776" s="24" t="s">
        <v>35</v>
      </c>
      <c r="C776" s="4">
        <v>8905951671489</v>
      </c>
      <c r="D776" s="24" t="s">
        <v>51</v>
      </c>
      <c r="E776" s="24" t="s">
        <v>366</v>
      </c>
      <c r="F776" s="25" t="str">
        <f t="shared" si="49"/>
        <v>FLYING MACHINE</v>
      </c>
      <c r="G776" s="24">
        <v>1</v>
      </c>
      <c r="H776" s="25" t="str">
        <f t="shared" si="50"/>
        <v>Pcs.</v>
      </c>
      <c r="I776" s="26">
        <v>1405</v>
      </c>
      <c r="J776" s="27">
        <f t="shared" si="51"/>
        <v>1405</v>
      </c>
    </row>
    <row r="777" spans="1:10" x14ac:dyDescent="0.3">
      <c r="A777" s="23" t="str">
        <f t="shared" si="48"/>
        <v>01-05-2026</v>
      </c>
      <c r="B777" s="24" t="s">
        <v>35</v>
      </c>
      <c r="C777" s="4">
        <v>8905951671496</v>
      </c>
      <c r="D777" s="24" t="s">
        <v>46</v>
      </c>
      <c r="E777" s="24" t="s">
        <v>366</v>
      </c>
      <c r="F777" s="25" t="str">
        <f t="shared" si="49"/>
        <v>FLYING MACHINE</v>
      </c>
      <c r="G777" s="24">
        <v>1</v>
      </c>
      <c r="H777" s="25" t="str">
        <f t="shared" si="50"/>
        <v>Pcs.</v>
      </c>
      <c r="I777" s="26">
        <v>1405</v>
      </c>
      <c r="J777" s="27">
        <f t="shared" si="51"/>
        <v>1405</v>
      </c>
    </row>
    <row r="778" spans="1:10" x14ac:dyDescent="0.3">
      <c r="A778" s="23" t="str">
        <f t="shared" si="48"/>
        <v>01-05-2026</v>
      </c>
      <c r="B778" s="24" t="s">
        <v>35</v>
      </c>
      <c r="C778" s="4">
        <v>8905951715350</v>
      </c>
      <c r="D778" s="24" t="s">
        <v>51</v>
      </c>
      <c r="E778" s="24" t="s">
        <v>367</v>
      </c>
      <c r="F778" s="25" t="str">
        <f t="shared" si="49"/>
        <v>FLYING MACHINE</v>
      </c>
      <c r="G778" s="24">
        <v>3</v>
      </c>
      <c r="H778" s="25" t="str">
        <f t="shared" si="50"/>
        <v>Pcs.</v>
      </c>
      <c r="I778" s="26">
        <v>1405</v>
      </c>
      <c r="J778" s="27">
        <f t="shared" si="51"/>
        <v>4215</v>
      </c>
    </row>
    <row r="779" spans="1:10" x14ac:dyDescent="0.3">
      <c r="A779" s="23" t="str">
        <f t="shared" si="48"/>
        <v>01-05-2026</v>
      </c>
      <c r="B779" s="24" t="s">
        <v>35</v>
      </c>
      <c r="C779" s="4">
        <v>8905951715367</v>
      </c>
      <c r="D779" s="24" t="s">
        <v>46</v>
      </c>
      <c r="E779" s="24" t="s">
        <v>367</v>
      </c>
      <c r="F779" s="25" t="str">
        <f t="shared" si="49"/>
        <v>FLYING MACHINE</v>
      </c>
      <c r="G779" s="24">
        <v>1</v>
      </c>
      <c r="H779" s="25" t="str">
        <f t="shared" si="50"/>
        <v>Pcs.</v>
      </c>
      <c r="I779" s="26">
        <v>1405</v>
      </c>
      <c r="J779" s="27">
        <f t="shared" si="51"/>
        <v>1405</v>
      </c>
    </row>
    <row r="780" spans="1:10" x14ac:dyDescent="0.3">
      <c r="A780" s="23" t="str">
        <f t="shared" si="48"/>
        <v>01-05-2026</v>
      </c>
      <c r="B780" s="24" t="s">
        <v>35</v>
      </c>
      <c r="C780" s="4">
        <v>8905951715404</v>
      </c>
      <c r="D780" s="24" t="s">
        <v>39</v>
      </c>
      <c r="E780" s="24" t="s">
        <v>367</v>
      </c>
      <c r="F780" s="25" t="str">
        <f t="shared" si="49"/>
        <v>FLYING MACHINE</v>
      </c>
      <c r="G780" s="24">
        <v>1</v>
      </c>
      <c r="H780" s="25" t="str">
        <f t="shared" si="50"/>
        <v>Pcs.</v>
      </c>
      <c r="I780" s="26">
        <v>1405</v>
      </c>
      <c r="J780" s="27">
        <f t="shared" si="51"/>
        <v>1405</v>
      </c>
    </row>
    <row r="781" spans="1:10" x14ac:dyDescent="0.3">
      <c r="A781" s="23" t="str">
        <f t="shared" si="48"/>
        <v>01-05-2026</v>
      </c>
      <c r="B781" s="24" t="s">
        <v>35</v>
      </c>
      <c r="C781" s="4">
        <v>8905951715473</v>
      </c>
      <c r="D781" s="24" t="s">
        <v>57</v>
      </c>
      <c r="E781" s="24" t="s">
        <v>368</v>
      </c>
      <c r="F781" s="25" t="str">
        <f t="shared" si="49"/>
        <v>FLYING MACHINE</v>
      </c>
      <c r="G781" s="24">
        <v>1</v>
      </c>
      <c r="H781" s="25" t="str">
        <f t="shared" si="50"/>
        <v>Pcs.</v>
      </c>
      <c r="I781" s="26">
        <v>1405</v>
      </c>
      <c r="J781" s="27">
        <f t="shared" si="51"/>
        <v>1405</v>
      </c>
    </row>
    <row r="782" spans="1:10" x14ac:dyDescent="0.3">
      <c r="A782" s="23" t="str">
        <f t="shared" si="48"/>
        <v>01-05-2026</v>
      </c>
      <c r="B782" s="24" t="s">
        <v>35</v>
      </c>
      <c r="C782" s="4">
        <v>8905951716524</v>
      </c>
      <c r="D782" s="24" t="s">
        <v>51</v>
      </c>
      <c r="E782" s="24" t="s">
        <v>369</v>
      </c>
      <c r="F782" s="25" t="str">
        <f t="shared" si="49"/>
        <v>FLYING MACHINE</v>
      </c>
      <c r="G782" s="24">
        <v>2</v>
      </c>
      <c r="H782" s="25" t="str">
        <f t="shared" si="50"/>
        <v>Pcs.</v>
      </c>
      <c r="I782" s="26">
        <v>999</v>
      </c>
      <c r="J782" s="27">
        <f t="shared" si="51"/>
        <v>1998</v>
      </c>
    </row>
    <row r="783" spans="1:10" x14ac:dyDescent="0.3">
      <c r="A783" s="23" t="str">
        <f t="shared" si="48"/>
        <v>01-05-2026</v>
      </c>
      <c r="B783" s="24" t="s">
        <v>35</v>
      </c>
      <c r="C783" s="4">
        <v>8905951716814</v>
      </c>
      <c r="D783" s="24" t="s">
        <v>37</v>
      </c>
      <c r="E783" s="24" t="s">
        <v>370</v>
      </c>
      <c r="F783" s="25" t="str">
        <f t="shared" si="49"/>
        <v>FLYING MACHINE</v>
      </c>
      <c r="G783" s="24">
        <v>1</v>
      </c>
      <c r="H783" s="25" t="str">
        <f t="shared" si="50"/>
        <v>Pcs.</v>
      </c>
      <c r="I783" s="26">
        <v>899</v>
      </c>
      <c r="J783" s="27">
        <f t="shared" si="51"/>
        <v>899</v>
      </c>
    </row>
    <row r="784" spans="1:10" x14ac:dyDescent="0.3">
      <c r="A784" s="23" t="str">
        <f t="shared" si="48"/>
        <v>01-05-2026</v>
      </c>
      <c r="B784" s="24" t="s">
        <v>35</v>
      </c>
      <c r="C784" s="4">
        <v>8905951717248</v>
      </c>
      <c r="D784" s="24" t="s">
        <v>51</v>
      </c>
      <c r="E784" s="24" t="s">
        <v>371</v>
      </c>
      <c r="F784" s="25" t="str">
        <f t="shared" si="49"/>
        <v>FLYING MACHINE</v>
      </c>
      <c r="G784" s="24">
        <v>1</v>
      </c>
      <c r="H784" s="25" t="str">
        <f t="shared" si="50"/>
        <v>Pcs.</v>
      </c>
      <c r="I784" s="26">
        <v>999</v>
      </c>
      <c r="J784" s="27">
        <f t="shared" si="51"/>
        <v>999</v>
      </c>
    </row>
    <row r="785" spans="1:10" x14ac:dyDescent="0.3">
      <c r="A785" s="23" t="str">
        <f t="shared" si="48"/>
        <v>01-05-2026</v>
      </c>
      <c r="B785" s="24" t="s">
        <v>35</v>
      </c>
      <c r="C785" s="4">
        <v>8905951717354</v>
      </c>
      <c r="D785" s="24" t="s">
        <v>37</v>
      </c>
      <c r="E785" s="24" t="s">
        <v>372</v>
      </c>
      <c r="F785" s="25" t="str">
        <f t="shared" si="49"/>
        <v>FLYING MACHINE</v>
      </c>
      <c r="G785" s="24">
        <v>1</v>
      </c>
      <c r="H785" s="25" t="str">
        <f t="shared" si="50"/>
        <v>Pcs.</v>
      </c>
      <c r="I785" s="26">
        <v>1217.81</v>
      </c>
      <c r="J785" s="27">
        <f t="shared" si="51"/>
        <v>1217.81</v>
      </c>
    </row>
    <row r="786" spans="1:10" x14ac:dyDescent="0.3">
      <c r="A786" s="23" t="str">
        <f t="shared" si="48"/>
        <v>01-05-2026</v>
      </c>
      <c r="B786" s="24" t="s">
        <v>35</v>
      </c>
      <c r="C786" s="4">
        <v>8905951717439</v>
      </c>
      <c r="D786" s="24" t="s">
        <v>46</v>
      </c>
      <c r="E786" s="24" t="s">
        <v>373</v>
      </c>
      <c r="F786" s="25" t="str">
        <f t="shared" si="49"/>
        <v>FLYING MACHINE</v>
      </c>
      <c r="G786" s="24">
        <v>1</v>
      </c>
      <c r="H786" s="25" t="str">
        <f t="shared" si="50"/>
        <v>Pcs.</v>
      </c>
      <c r="I786" s="26">
        <v>1217.81</v>
      </c>
      <c r="J786" s="27">
        <f t="shared" si="51"/>
        <v>1217.81</v>
      </c>
    </row>
    <row r="787" spans="1:10" x14ac:dyDescent="0.3">
      <c r="A787" s="23" t="str">
        <f t="shared" si="48"/>
        <v>01-05-2026</v>
      </c>
      <c r="B787" s="24" t="s">
        <v>35</v>
      </c>
      <c r="C787" s="4">
        <v>8905951717446</v>
      </c>
      <c r="D787" s="24" t="s">
        <v>37</v>
      </c>
      <c r="E787" s="24" t="s">
        <v>373</v>
      </c>
      <c r="F787" s="25" t="str">
        <f t="shared" si="49"/>
        <v>FLYING MACHINE</v>
      </c>
      <c r="G787" s="24">
        <v>1</v>
      </c>
      <c r="H787" s="25" t="str">
        <f t="shared" si="50"/>
        <v>Pcs.</v>
      </c>
      <c r="I787" s="26">
        <v>1217.81</v>
      </c>
      <c r="J787" s="27">
        <f t="shared" si="51"/>
        <v>1217.81</v>
      </c>
    </row>
    <row r="788" spans="1:10" x14ac:dyDescent="0.3">
      <c r="A788" s="23" t="str">
        <f t="shared" si="48"/>
        <v>01-05-2026</v>
      </c>
      <c r="B788" s="24" t="s">
        <v>35</v>
      </c>
      <c r="C788" s="4">
        <v>8905951717453</v>
      </c>
      <c r="D788" s="24" t="s">
        <v>57</v>
      </c>
      <c r="E788" s="24" t="s">
        <v>373</v>
      </c>
      <c r="F788" s="25" t="str">
        <f t="shared" si="49"/>
        <v>FLYING MACHINE</v>
      </c>
      <c r="G788" s="24">
        <v>1</v>
      </c>
      <c r="H788" s="25" t="str">
        <f t="shared" si="50"/>
        <v>Pcs.</v>
      </c>
      <c r="I788" s="26">
        <v>1217.81</v>
      </c>
      <c r="J788" s="27">
        <f t="shared" si="51"/>
        <v>1217.81</v>
      </c>
    </row>
    <row r="789" spans="1:10" x14ac:dyDescent="0.3">
      <c r="A789" s="23" t="str">
        <f t="shared" si="48"/>
        <v>01-05-2026</v>
      </c>
      <c r="B789" s="24" t="s">
        <v>35</v>
      </c>
      <c r="C789" s="4">
        <v>8905951717996</v>
      </c>
      <c r="D789" s="24" t="s">
        <v>57</v>
      </c>
      <c r="E789" s="24" t="s">
        <v>374</v>
      </c>
      <c r="F789" s="25" t="str">
        <f t="shared" si="49"/>
        <v>FLYING MACHINE</v>
      </c>
      <c r="G789" s="24">
        <v>1</v>
      </c>
      <c r="H789" s="25" t="str">
        <f t="shared" si="50"/>
        <v>Pcs.</v>
      </c>
      <c r="I789" s="26">
        <v>999</v>
      </c>
      <c r="J789" s="27">
        <f t="shared" si="51"/>
        <v>999</v>
      </c>
    </row>
    <row r="790" spans="1:10" x14ac:dyDescent="0.3">
      <c r="A790" s="23" t="str">
        <f t="shared" si="48"/>
        <v>01-05-2026</v>
      </c>
      <c r="B790" s="24" t="s">
        <v>35</v>
      </c>
      <c r="C790" s="4">
        <v>8905951718863</v>
      </c>
      <c r="D790" s="24" t="s">
        <v>51</v>
      </c>
      <c r="E790" s="24" t="s">
        <v>375</v>
      </c>
      <c r="F790" s="25" t="str">
        <f t="shared" si="49"/>
        <v>FLYING MACHINE</v>
      </c>
      <c r="G790" s="24">
        <v>1</v>
      </c>
      <c r="H790" s="25" t="str">
        <f t="shared" si="50"/>
        <v>Pcs.</v>
      </c>
      <c r="I790" s="26">
        <v>899</v>
      </c>
      <c r="J790" s="27">
        <f t="shared" si="51"/>
        <v>899</v>
      </c>
    </row>
    <row r="791" spans="1:10" x14ac:dyDescent="0.3">
      <c r="A791" s="23" t="str">
        <f t="shared" si="48"/>
        <v>01-05-2026</v>
      </c>
      <c r="B791" s="24" t="s">
        <v>35</v>
      </c>
      <c r="C791" s="4">
        <v>8905951718887</v>
      </c>
      <c r="D791" s="24" t="s">
        <v>37</v>
      </c>
      <c r="E791" s="24" t="s">
        <v>375</v>
      </c>
      <c r="F791" s="25" t="str">
        <f t="shared" si="49"/>
        <v>FLYING MACHINE</v>
      </c>
      <c r="G791" s="24">
        <v>1</v>
      </c>
      <c r="H791" s="25" t="str">
        <f t="shared" si="50"/>
        <v>Pcs.</v>
      </c>
      <c r="I791" s="26">
        <v>899</v>
      </c>
      <c r="J791" s="27">
        <f t="shared" si="51"/>
        <v>899</v>
      </c>
    </row>
    <row r="792" spans="1:10" x14ac:dyDescent="0.3">
      <c r="A792" s="23" t="str">
        <f t="shared" si="48"/>
        <v>01-05-2026</v>
      </c>
      <c r="B792" s="24" t="s">
        <v>35</v>
      </c>
      <c r="C792" s="4">
        <v>8905951719495</v>
      </c>
      <c r="D792" s="24" t="s">
        <v>51</v>
      </c>
      <c r="E792" s="24" t="s">
        <v>376</v>
      </c>
      <c r="F792" s="25" t="str">
        <f t="shared" si="49"/>
        <v>FLYING MACHINE</v>
      </c>
      <c r="G792" s="24">
        <v>1</v>
      </c>
      <c r="H792" s="25" t="str">
        <f t="shared" si="50"/>
        <v>Pcs.</v>
      </c>
      <c r="I792" s="26">
        <v>1218</v>
      </c>
      <c r="J792" s="27">
        <f t="shared" si="51"/>
        <v>1218</v>
      </c>
    </row>
    <row r="793" spans="1:10" x14ac:dyDescent="0.3">
      <c r="A793" s="23" t="str">
        <f t="shared" si="48"/>
        <v>01-05-2026</v>
      </c>
      <c r="B793" s="24" t="s">
        <v>35</v>
      </c>
      <c r="C793" s="4">
        <v>8905951719679</v>
      </c>
      <c r="D793" s="24" t="s">
        <v>51</v>
      </c>
      <c r="E793" s="24" t="s">
        <v>377</v>
      </c>
      <c r="F793" s="25" t="str">
        <f t="shared" si="49"/>
        <v>FLYING MACHINE</v>
      </c>
      <c r="G793" s="24">
        <v>1</v>
      </c>
      <c r="H793" s="25" t="str">
        <f t="shared" si="50"/>
        <v>Pcs.</v>
      </c>
      <c r="I793" s="26">
        <v>1218</v>
      </c>
      <c r="J793" s="27">
        <f t="shared" si="51"/>
        <v>1218</v>
      </c>
    </row>
    <row r="794" spans="1:10" x14ac:dyDescent="0.3">
      <c r="A794" s="23" t="str">
        <f t="shared" si="48"/>
        <v>01-05-2026</v>
      </c>
      <c r="B794" s="24" t="s">
        <v>35</v>
      </c>
      <c r="C794" s="4">
        <v>8905951719976</v>
      </c>
      <c r="D794" s="24" t="s">
        <v>57</v>
      </c>
      <c r="E794" s="24" t="s">
        <v>378</v>
      </c>
      <c r="F794" s="25" t="str">
        <f t="shared" si="49"/>
        <v>FLYING MACHINE</v>
      </c>
      <c r="G794" s="24">
        <v>1</v>
      </c>
      <c r="H794" s="25" t="str">
        <f t="shared" si="50"/>
        <v>Pcs.</v>
      </c>
      <c r="I794" s="26">
        <v>999</v>
      </c>
      <c r="J794" s="27">
        <f t="shared" si="51"/>
        <v>999</v>
      </c>
    </row>
    <row r="795" spans="1:10" x14ac:dyDescent="0.3">
      <c r="A795" s="23" t="str">
        <f t="shared" si="48"/>
        <v>01-05-2026</v>
      </c>
      <c r="B795" s="24" t="s">
        <v>35</v>
      </c>
      <c r="C795" s="4">
        <v>8905951720323</v>
      </c>
      <c r="D795" s="24" t="s">
        <v>37</v>
      </c>
      <c r="E795" s="24" t="s">
        <v>379</v>
      </c>
      <c r="F795" s="25" t="str">
        <f t="shared" si="49"/>
        <v>FLYING MACHINE</v>
      </c>
      <c r="G795" s="24">
        <v>1</v>
      </c>
      <c r="H795" s="25" t="str">
        <f t="shared" si="50"/>
        <v>Pcs.</v>
      </c>
      <c r="I795" s="26">
        <v>1218</v>
      </c>
      <c r="J795" s="27">
        <f t="shared" si="51"/>
        <v>1218</v>
      </c>
    </row>
    <row r="796" spans="1:10" x14ac:dyDescent="0.3">
      <c r="A796" s="23" t="str">
        <f t="shared" si="48"/>
        <v>01-05-2026</v>
      </c>
      <c r="B796" s="24" t="s">
        <v>35</v>
      </c>
      <c r="C796" s="4">
        <v>8905951720408</v>
      </c>
      <c r="D796" s="24" t="s">
        <v>46</v>
      </c>
      <c r="E796" s="24" t="s">
        <v>380</v>
      </c>
      <c r="F796" s="25" t="str">
        <f t="shared" si="49"/>
        <v>FLYING MACHINE</v>
      </c>
      <c r="G796" s="24">
        <v>1</v>
      </c>
      <c r="H796" s="25" t="str">
        <f t="shared" si="50"/>
        <v>Pcs.</v>
      </c>
      <c r="I796" s="26">
        <v>1405</v>
      </c>
      <c r="J796" s="27">
        <f t="shared" si="51"/>
        <v>1405</v>
      </c>
    </row>
    <row r="797" spans="1:10" x14ac:dyDescent="0.3">
      <c r="A797" s="23" t="str">
        <f t="shared" si="48"/>
        <v>01-05-2026</v>
      </c>
      <c r="B797" s="24" t="s">
        <v>35</v>
      </c>
      <c r="C797" s="4">
        <v>8905951720668</v>
      </c>
      <c r="D797" s="24" t="s">
        <v>51</v>
      </c>
      <c r="E797" s="24" t="s">
        <v>381</v>
      </c>
      <c r="F797" s="25" t="str">
        <f t="shared" si="49"/>
        <v>FLYING MACHINE</v>
      </c>
      <c r="G797" s="24">
        <v>1</v>
      </c>
      <c r="H797" s="25" t="str">
        <f t="shared" si="50"/>
        <v>Pcs.</v>
      </c>
      <c r="I797" s="26">
        <v>1687</v>
      </c>
      <c r="J797" s="27">
        <f t="shared" si="51"/>
        <v>1687</v>
      </c>
    </row>
    <row r="798" spans="1:10" x14ac:dyDescent="0.3">
      <c r="A798" s="23" t="str">
        <f t="shared" si="48"/>
        <v>01-05-2026</v>
      </c>
      <c r="B798" s="24" t="s">
        <v>35</v>
      </c>
      <c r="C798" s="4">
        <v>8905951720682</v>
      </c>
      <c r="D798" s="24" t="s">
        <v>37</v>
      </c>
      <c r="E798" s="24" t="s">
        <v>381</v>
      </c>
      <c r="F798" s="25" t="str">
        <f t="shared" si="49"/>
        <v>FLYING MACHINE</v>
      </c>
      <c r="G798" s="24">
        <v>1</v>
      </c>
      <c r="H798" s="25" t="str">
        <f t="shared" si="50"/>
        <v>Pcs.</v>
      </c>
      <c r="I798" s="26">
        <v>1687</v>
      </c>
      <c r="J798" s="27">
        <f t="shared" si="51"/>
        <v>1687</v>
      </c>
    </row>
    <row r="799" spans="1:10" x14ac:dyDescent="0.3">
      <c r="A799" s="23" t="str">
        <f t="shared" si="48"/>
        <v>01-05-2026</v>
      </c>
      <c r="B799" s="24" t="s">
        <v>35</v>
      </c>
      <c r="C799" s="4">
        <v>8905951720934</v>
      </c>
      <c r="D799" s="24" t="s">
        <v>51</v>
      </c>
      <c r="E799" s="24" t="s">
        <v>382</v>
      </c>
      <c r="F799" s="25" t="str">
        <f t="shared" si="49"/>
        <v>FLYING MACHINE</v>
      </c>
      <c r="G799" s="24">
        <v>1</v>
      </c>
      <c r="H799" s="25" t="str">
        <f t="shared" si="50"/>
        <v>Pcs.</v>
      </c>
      <c r="I799" s="26">
        <v>1686.56</v>
      </c>
      <c r="J799" s="27">
        <f t="shared" si="51"/>
        <v>1686.56</v>
      </c>
    </row>
    <row r="800" spans="1:10" x14ac:dyDescent="0.3">
      <c r="A800" s="23" t="str">
        <f t="shared" si="48"/>
        <v>01-05-2026</v>
      </c>
      <c r="B800" s="24" t="s">
        <v>35</v>
      </c>
      <c r="C800" s="4">
        <v>8905951720958</v>
      </c>
      <c r="D800" s="24" t="s">
        <v>37</v>
      </c>
      <c r="E800" s="24" t="s">
        <v>382</v>
      </c>
      <c r="F800" s="25" t="str">
        <f t="shared" si="49"/>
        <v>FLYING MACHINE</v>
      </c>
      <c r="G800" s="24">
        <v>1</v>
      </c>
      <c r="H800" s="25" t="str">
        <f t="shared" si="50"/>
        <v>Pcs.</v>
      </c>
      <c r="I800" s="26">
        <v>1686.56</v>
      </c>
      <c r="J800" s="27">
        <f t="shared" si="51"/>
        <v>1686.56</v>
      </c>
    </row>
    <row r="801" spans="1:10" x14ac:dyDescent="0.3">
      <c r="A801" s="23" t="str">
        <f t="shared" si="48"/>
        <v>01-05-2026</v>
      </c>
      <c r="B801" s="24" t="s">
        <v>35</v>
      </c>
      <c r="C801" s="4">
        <v>8905951721122</v>
      </c>
      <c r="D801" s="24" t="s">
        <v>46</v>
      </c>
      <c r="E801" s="24" t="s">
        <v>383</v>
      </c>
      <c r="F801" s="25" t="str">
        <f t="shared" si="49"/>
        <v>FLYING MACHINE</v>
      </c>
      <c r="G801" s="24">
        <v>1</v>
      </c>
      <c r="H801" s="25" t="str">
        <f t="shared" si="50"/>
        <v>Pcs.</v>
      </c>
      <c r="I801" s="26">
        <v>1218</v>
      </c>
      <c r="J801" s="27">
        <f t="shared" si="51"/>
        <v>1218</v>
      </c>
    </row>
    <row r="802" spans="1:10" x14ac:dyDescent="0.3">
      <c r="A802" s="23" t="str">
        <f t="shared" si="48"/>
        <v>01-05-2026</v>
      </c>
      <c r="B802" s="24" t="s">
        <v>35</v>
      </c>
      <c r="C802" s="4">
        <v>8905951721665</v>
      </c>
      <c r="D802" s="24" t="s">
        <v>46</v>
      </c>
      <c r="E802" s="24" t="s">
        <v>384</v>
      </c>
      <c r="F802" s="25" t="str">
        <f t="shared" si="49"/>
        <v>FLYING MACHINE</v>
      </c>
      <c r="G802" s="24">
        <v>2</v>
      </c>
      <c r="H802" s="25" t="str">
        <f t="shared" si="50"/>
        <v>Pcs.</v>
      </c>
      <c r="I802" s="26">
        <v>1405.31</v>
      </c>
      <c r="J802" s="27">
        <f t="shared" si="51"/>
        <v>2810.62</v>
      </c>
    </row>
    <row r="803" spans="1:10" x14ac:dyDescent="0.3">
      <c r="A803" s="23" t="str">
        <f t="shared" si="48"/>
        <v>01-05-2026</v>
      </c>
      <c r="B803" s="24" t="s">
        <v>35</v>
      </c>
      <c r="C803" s="4">
        <v>8905951721672</v>
      </c>
      <c r="D803" s="24" t="s">
        <v>37</v>
      </c>
      <c r="E803" s="24" t="s">
        <v>384</v>
      </c>
      <c r="F803" s="25" t="str">
        <f t="shared" si="49"/>
        <v>FLYING MACHINE</v>
      </c>
      <c r="G803" s="24">
        <v>1</v>
      </c>
      <c r="H803" s="25" t="str">
        <f t="shared" si="50"/>
        <v>Pcs.</v>
      </c>
      <c r="I803" s="26">
        <v>1405</v>
      </c>
      <c r="J803" s="27">
        <f t="shared" si="51"/>
        <v>1405</v>
      </c>
    </row>
    <row r="804" spans="1:10" x14ac:dyDescent="0.3">
      <c r="A804" s="23" t="str">
        <f t="shared" si="48"/>
        <v>01-05-2026</v>
      </c>
      <c r="B804" s="24" t="s">
        <v>35</v>
      </c>
      <c r="C804" s="4">
        <v>8905951721689</v>
      </c>
      <c r="D804" s="24" t="s">
        <v>57</v>
      </c>
      <c r="E804" s="24" t="s">
        <v>384</v>
      </c>
      <c r="F804" s="25" t="str">
        <f t="shared" si="49"/>
        <v>FLYING MACHINE</v>
      </c>
      <c r="G804" s="24">
        <v>1</v>
      </c>
      <c r="H804" s="25" t="str">
        <f t="shared" si="50"/>
        <v>Pcs.</v>
      </c>
      <c r="I804" s="26">
        <v>1405.31</v>
      </c>
      <c r="J804" s="27">
        <f t="shared" si="51"/>
        <v>1405.31</v>
      </c>
    </row>
    <row r="805" spans="1:10" x14ac:dyDescent="0.3">
      <c r="A805" s="23" t="str">
        <f t="shared" si="48"/>
        <v>01-05-2026</v>
      </c>
      <c r="B805" s="24" t="s">
        <v>35</v>
      </c>
      <c r="C805" s="4">
        <v>8905951727322</v>
      </c>
      <c r="D805" s="24" t="s">
        <v>51</v>
      </c>
      <c r="E805" s="24" t="s">
        <v>385</v>
      </c>
      <c r="F805" s="25" t="str">
        <f t="shared" si="49"/>
        <v>FLYING MACHINE</v>
      </c>
      <c r="G805" s="24">
        <v>2</v>
      </c>
      <c r="H805" s="25" t="str">
        <f t="shared" si="50"/>
        <v>Pcs.</v>
      </c>
      <c r="I805" s="26">
        <v>1499.06</v>
      </c>
      <c r="J805" s="27">
        <f t="shared" si="51"/>
        <v>2998.12</v>
      </c>
    </row>
    <row r="806" spans="1:10" x14ac:dyDescent="0.3">
      <c r="A806" s="23" t="str">
        <f t="shared" si="48"/>
        <v>01-05-2026</v>
      </c>
      <c r="B806" s="24" t="s">
        <v>35</v>
      </c>
      <c r="C806" s="4">
        <v>8905951727346</v>
      </c>
      <c r="D806" s="24" t="s">
        <v>37</v>
      </c>
      <c r="E806" s="24" t="s">
        <v>385</v>
      </c>
      <c r="F806" s="25" t="str">
        <f t="shared" si="49"/>
        <v>FLYING MACHINE</v>
      </c>
      <c r="G806" s="24">
        <v>1</v>
      </c>
      <c r="H806" s="25" t="str">
        <f t="shared" si="50"/>
        <v>Pcs.</v>
      </c>
      <c r="I806" s="26">
        <v>1499.06</v>
      </c>
      <c r="J806" s="27">
        <f t="shared" si="51"/>
        <v>1499.06</v>
      </c>
    </row>
    <row r="807" spans="1:10" x14ac:dyDescent="0.3">
      <c r="A807" s="23" t="str">
        <f t="shared" si="48"/>
        <v>01-05-2026</v>
      </c>
      <c r="B807" s="24" t="s">
        <v>35</v>
      </c>
      <c r="C807" s="4">
        <v>8905951727506</v>
      </c>
      <c r="D807" s="24" t="s">
        <v>51</v>
      </c>
      <c r="E807" s="24" t="s">
        <v>386</v>
      </c>
      <c r="F807" s="25" t="str">
        <f t="shared" si="49"/>
        <v>FLYING MACHINE</v>
      </c>
      <c r="G807" s="24">
        <v>1</v>
      </c>
      <c r="H807" s="25" t="str">
        <f t="shared" si="50"/>
        <v>Pcs.</v>
      </c>
      <c r="I807" s="26">
        <v>1499.06</v>
      </c>
      <c r="J807" s="27">
        <f t="shared" si="51"/>
        <v>1499.06</v>
      </c>
    </row>
    <row r="808" spans="1:10" x14ac:dyDescent="0.3">
      <c r="A808" s="23" t="str">
        <f t="shared" si="48"/>
        <v>01-05-2026</v>
      </c>
      <c r="B808" s="24" t="s">
        <v>35</v>
      </c>
      <c r="C808" s="4">
        <v>8905951727773</v>
      </c>
      <c r="D808" s="24" t="s">
        <v>51</v>
      </c>
      <c r="E808" s="24" t="s">
        <v>387</v>
      </c>
      <c r="F808" s="25" t="str">
        <f t="shared" si="49"/>
        <v>FLYING MACHINE</v>
      </c>
      <c r="G808" s="24">
        <v>1</v>
      </c>
      <c r="H808" s="25" t="str">
        <f t="shared" si="50"/>
        <v>Pcs.</v>
      </c>
      <c r="I808" s="26">
        <v>1499.06</v>
      </c>
      <c r="J808" s="27">
        <f t="shared" si="51"/>
        <v>1499.06</v>
      </c>
    </row>
    <row r="809" spans="1:10" x14ac:dyDescent="0.3">
      <c r="A809" s="23" t="str">
        <f t="shared" si="48"/>
        <v>01-05-2026</v>
      </c>
      <c r="B809" s="24" t="s">
        <v>35</v>
      </c>
      <c r="C809" s="4">
        <v>8905951727797</v>
      </c>
      <c r="D809" s="24" t="s">
        <v>37</v>
      </c>
      <c r="E809" s="24" t="s">
        <v>387</v>
      </c>
      <c r="F809" s="25" t="str">
        <f t="shared" si="49"/>
        <v>FLYING MACHINE</v>
      </c>
      <c r="G809" s="24">
        <v>2</v>
      </c>
      <c r="H809" s="25" t="str">
        <f t="shared" si="50"/>
        <v>Pcs.</v>
      </c>
      <c r="I809" s="26">
        <v>1499.06</v>
      </c>
      <c r="J809" s="27">
        <f t="shared" si="51"/>
        <v>2998.12</v>
      </c>
    </row>
    <row r="810" spans="1:10" x14ac:dyDescent="0.3">
      <c r="A810" s="23" t="str">
        <f t="shared" si="48"/>
        <v>01-05-2026</v>
      </c>
      <c r="B810" s="24" t="s">
        <v>35</v>
      </c>
      <c r="C810" s="4">
        <v>8905951727803</v>
      </c>
      <c r="D810" s="24" t="s">
        <v>57</v>
      </c>
      <c r="E810" s="24" t="s">
        <v>387</v>
      </c>
      <c r="F810" s="25" t="str">
        <f t="shared" si="49"/>
        <v>FLYING MACHINE</v>
      </c>
      <c r="G810" s="24">
        <v>2</v>
      </c>
      <c r="H810" s="25" t="str">
        <f t="shared" si="50"/>
        <v>Pcs.</v>
      </c>
      <c r="I810" s="26">
        <v>1499.06</v>
      </c>
      <c r="J810" s="27">
        <f t="shared" si="51"/>
        <v>2998.12</v>
      </c>
    </row>
    <row r="811" spans="1:10" x14ac:dyDescent="0.3">
      <c r="A811" s="23" t="str">
        <f t="shared" si="48"/>
        <v>01-05-2026</v>
      </c>
      <c r="B811" s="24" t="s">
        <v>35</v>
      </c>
      <c r="C811" s="4">
        <v>8905951728336</v>
      </c>
      <c r="D811" s="24" t="s">
        <v>37</v>
      </c>
      <c r="E811" s="24" t="s">
        <v>388</v>
      </c>
      <c r="F811" s="25" t="str">
        <f t="shared" si="49"/>
        <v>FLYING MACHINE</v>
      </c>
      <c r="G811" s="24">
        <v>1</v>
      </c>
      <c r="H811" s="25" t="str">
        <f t="shared" si="50"/>
        <v>Pcs.</v>
      </c>
      <c r="I811" s="26">
        <v>1686.56</v>
      </c>
      <c r="J811" s="27">
        <f t="shared" si="51"/>
        <v>1686.56</v>
      </c>
    </row>
    <row r="812" spans="1:10" x14ac:dyDescent="0.3">
      <c r="A812" s="23" t="str">
        <f t="shared" si="48"/>
        <v>01-05-2026</v>
      </c>
      <c r="B812" s="24" t="s">
        <v>35</v>
      </c>
      <c r="C812" s="4">
        <v>8905951728343</v>
      </c>
      <c r="D812" s="24" t="s">
        <v>57</v>
      </c>
      <c r="E812" s="24" t="s">
        <v>388</v>
      </c>
      <c r="F812" s="25" t="str">
        <f t="shared" si="49"/>
        <v>FLYING MACHINE</v>
      </c>
      <c r="G812" s="24">
        <v>1</v>
      </c>
      <c r="H812" s="25" t="str">
        <f t="shared" si="50"/>
        <v>Pcs.</v>
      </c>
      <c r="I812" s="26">
        <v>1686.56</v>
      </c>
      <c r="J812" s="27">
        <f t="shared" si="51"/>
        <v>1686.56</v>
      </c>
    </row>
    <row r="813" spans="1:10" x14ac:dyDescent="0.3">
      <c r="A813" s="23" t="str">
        <f t="shared" si="48"/>
        <v>01-05-2026</v>
      </c>
      <c r="B813" s="24" t="s">
        <v>35</v>
      </c>
      <c r="C813" s="4">
        <v>8905951728404</v>
      </c>
      <c r="D813" s="24" t="s">
        <v>51</v>
      </c>
      <c r="E813" s="24" t="s">
        <v>389</v>
      </c>
      <c r="F813" s="25" t="str">
        <f t="shared" si="49"/>
        <v>FLYING MACHINE</v>
      </c>
      <c r="G813" s="24">
        <v>1</v>
      </c>
      <c r="H813" s="25" t="str">
        <f t="shared" si="50"/>
        <v>Pcs.</v>
      </c>
      <c r="I813" s="26">
        <v>1874.06</v>
      </c>
      <c r="J813" s="27">
        <f t="shared" si="51"/>
        <v>1874.06</v>
      </c>
    </row>
    <row r="814" spans="1:10" x14ac:dyDescent="0.3">
      <c r="A814" s="23" t="str">
        <f t="shared" si="48"/>
        <v>01-05-2026</v>
      </c>
      <c r="B814" s="24" t="s">
        <v>35</v>
      </c>
      <c r="C814" s="4">
        <v>8905951728411</v>
      </c>
      <c r="D814" s="24" t="s">
        <v>46</v>
      </c>
      <c r="E814" s="24" t="s">
        <v>389</v>
      </c>
      <c r="F814" s="25" t="str">
        <f t="shared" si="49"/>
        <v>FLYING MACHINE</v>
      </c>
      <c r="G814" s="24">
        <v>1</v>
      </c>
      <c r="H814" s="25" t="str">
        <f t="shared" si="50"/>
        <v>Pcs.</v>
      </c>
      <c r="I814" s="26">
        <v>1874.06</v>
      </c>
      <c r="J814" s="27">
        <f t="shared" si="51"/>
        <v>1874.06</v>
      </c>
    </row>
    <row r="815" spans="1:10" x14ac:dyDescent="0.3">
      <c r="A815" s="23" t="str">
        <f t="shared" si="48"/>
        <v>01-05-2026</v>
      </c>
      <c r="B815" s="24" t="s">
        <v>35</v>
      </c>
      <c r="C815" s="4">
        <v>8905951728428</v>
      </c>
      <c r="D815" s="24" t="s">
        <v>37</v>
      </c>
      <c r="E815" s="24" t="s">
        <v>389</v>
      </c>
      <c r="F815" s="25" t="str">
        <f t="shared" si="49"/>
        <v>FLYING MACHINE</v>
      </c>
      <c r="G815" s="24">
        <v>1</v>
      </c>
      <c r="H815" s="25" t="str">
        <f t="shared" si="50"/>
        <v>Pcs.</v>
      </c>
      <c r="I815" s="26">
        <v>1874.06</v>
      </c>
      <c r="J815" s="27">
        <f t="shared" si="51"/>
        <v>1874.06</v>
      </c>
    </row>
    <row r="816" spans="1:10" x14ac:dyDescent="0.3">
      <c r="A816" s="23" t="str">
        <f t="shared" si="48"/>
        <v>01-05-2026</v>
      </c>
      <c r="B816" s="24" t="s">
        <v>35</v>
      </c>
      <c r="C816" s="4">
        <v>8905951728459</v>
      </c>
      <c r="D816" s="24" t="s">
        <v>39</v>
      </c>
      <c r="E816" s="24" t="s">
        <v>389</v>
      </c>
      <c r="F816" s="25" t="str">
        <f t="shared" si="49"/>
        <v>FLYING MACHINE</v>
      </c>
      <c r="G816" s="24">
        <v>1</v>
      </c>
      <c r="H816" s="25" t="str">
        <f t="shared" si="50"/>
        <v>Pcs.</v>
      </c>
      <c r="I816" s="26">
        <v>1874.06</v>
      </c>
      <c r="J816" s="27">
        <f t="shared" si="51"/>
        <v>1874.06</v>
      </c>
    </row>
    <row r="817" spans="1:10" x14ac:dyDescent="0.3">
      <c r="A817" s="23" t="str">
        <f t="shared" si="48"/>
        <v>01-05-2026</v>
      </c>
      <c r="B817" s="24" t="s">
        <v>35</v>
      </c>
      <c r="C817" s="4">
        <v>8905951728770</v>
      </c>
      <c r="D817" s="24" t="s">
        <v>46</v>
      </c>
      <c r="E817" s="24" t="s">
        <v>390</v>
      </c>
      <c r="F817" s="25" t="str">
        <f t="shared" si="49"/>
        <v>FLYING MACHINE</v>
      </c>
      <c r="G817" s="24">
        <v>1</v>
      </c>
      <c r="H817" s="25" t="str">
        <f t="shared" si="50"/>
        <v>Pcs.</v>
      </c>
      <c r="I817" s="26">
        <v>1874.06</v>
      </c>
      <c r="J817" s="27">
        <f t="shared" si="51"/>
        <v>1874.06</v>
      </c>
    </row>
    <row r="818" spans="1:10" x14ac:dyDescent="0.3">
      <c r="A818" s="23" t="str">
        <f t="shared" si="48"/>
        <v>01-05-2026</v>
      </c>
      <c r="B818" s="24" t="s">
        <v>35</v>
      </c>
      <c r="C818" s="4">
        <v>8905951728862</v>
      </c>
      <c r="D818" s="24" t="s">
        <v>46</v>
      </c>
      <c r="E818" s="24" t="s">
        <v>391</v>
      </c>
      <c r="F818" s="25" t="str">
        <f t="shared" si="49"/>
        <v>FLYING MACHINE</v>
      </c>
      <c r="G818" s="24">
        <v>1</v>
      </c>
      <c r="H818" s="25" t="str">
        <f t="shared" si="50"/>
        <v>Pcs.</v>
      </c>
      <c r="I818" s="26">
        <v>1874.06</v>
      </c>
      <c r="J818" s="27">
        <f t="shared" si="51"/>
        <v>1874.06</v>
      </c>
    </row>
    <row r="819" spans="1:10" x14ac:dyDescent="0.3">
      <c r="A819" s="23" t="str">
        <f t="shared" si="48"/>
        <v>01-05-2026</v>
      </c>
      <c r="B819" s="24" t="s">
        <v>35</v>
      </c>
      <c r="C819" s="4">
        <v>8905951729142</v>
      </c>
      <c r="D819" s="24" t="s">
        <v>37</v>
      </c>
      <c r="E819" s="24" t="s">
        <v>392</v>
      </c>
      <c r="F819" s="25" t="str">
        <f t="shared" si="49"/>
        <v>FLYING MACHINE</v>
      </c>
      <c r="G819" s="24">
        <v>1</v>
      </c>
      <c r="H819" s="25" t="str">
        <f t="shared" si="50"/>
        <v>Pcs.</v>
      </c>
      <c r="I819" s="26">
        <v>1874.06</v>
      </c>
      <c r="J819" s="27">
        <f t="shared" si="51"/>
        <v>1874.06</v>
      </c>
    </row>
    <row r="820" spans="1:10" x14ac:dyDescent="0.3">
      <c r="A820" s="23" t="str">
        <f t="shared" si="48"/>
        <v>01-05-2026</v>
      </c>
      <c r="B820" s="24" t="s">
        <v>35</v>
      </c>
      <c r="C820" s="4">
        <v>8905951730438</v>
      </c>
      <c r="D820" s="24" t="s">
        <v>39</v>
      </c>
      <c r="E820" s="24" t="s">
        <v>131</v>
      </c>
      <c r="F820" s="25" t="str">
        <f t="shared" si="49"/>
        <v>FLYING MACHINE</v>
      </c>
      <c r="G820" s="24">
        <v>1</v>
      </c>
      <c r="H820" s="25" t="str">
        <f t="shared" si="50"/>
        <v>Pcs.</v>
      </c>
      <c r="I820" s="26">
        <v>1687</v>
      </c>
      <c r="J820" s="27">
        <f t="shared" si="51"/>
        <v>1687</v>
      </c>
    </row>
    <row r="821" spans="1:10" x14ac:dyDescent="0.3">
      <c r="A821" s="23" t="str">
        <f t="shared" si="48"/>
        <v>01-05-2026</v>
      </c>
      <c r="B821" s="24" t="s">
        <v>35</v>
      </c>
      <c r="C821" s="4">
        <v>8905952883300</v>
      </c>
      <c r="D821" s="24" t="s">
        <v>57</v>
      </c>
      <c r="E821" s="24" t="s">
        <v>393</v>
      </c>
      <c r="F821" s="25" t="str">
        <f t="shared" si="49"/>
        <v>FLYING MACHINE</v>
      </c>
      <c r="G821" s="24">
        <v>1</v>
      </c>
      <c r="H821" s="25" t="str">
        <f t="shared" si="50"/>
        <v>Pcs.</v>
      </c>
      <c r="I821" s="26">
        <v>1405.31</v>
      </c>
      <c r="J821" s="27">
        <f t="shared" si="51"/>
        <v>1405.31</v>
      </c>
    </row>
    <row r="822" spans="1:10" x14ac:dyDescent="0.3">
      <c r="A822" s="23" t="str">
        <f t="shared" si="48"/>
        <v>01-05-2026</v>
      </c>
      <c r="B822" s="24" t="s">
        <v>35</v>
      </c>
      <c r="C822" s="4">
        <v>8905952885403</v>
      </c>
      <c r="D822" s="24" t="s">
        <v>57</v>
      </c>
      <c r="E822" s="24" t="s">
        <v>394</v>
      </c>
      <c r="F822" s="25" t="str">
        <f t="shared" si="49"/>
        <v>FLYING MACHINE</v>
      </c>
      <c r="G822" s="24">
        <v>1</v>
      </c>
      <c r="H822" s="25" t="str">
        <f t="shared" si="50"/>
        <v>Pcs.</v>
      </c>
      <c r="I822" s="26">
        <v>1405.31</v>
      </c>
      <c r="J822" s="27">
        <f t="shared" si="51"/>
        <v>1405.31</v>
      </c>
    </row>
    <row r="823" spans="1:10" x14ac:dyDescent="0.3">
      <c r="A823" s="23" t="str">
        <f t="shared" si="48"/>
        <v>01-05-2026</v>
      </c>
      <c r="B823" s="24" t="s">
        <v>35</v>
      </c>
      <c r="C823" s="4">
        <v>8905952886363</v>
      </c>
      <c r="D823" s="24" t="s">
        <v>46</v>
      </c>
      <c r="E823" s="24" t="s">
        <v>395</v>
      </c>
      <c r="F823" s="25" t="str">
        <f t="shared" si="49"/>
        <v>FLYING MACHINE</v>
      </c>
      <c r="G823" s="24">
        <v>2</v>
      </c>
      <c r="H823" s="25" t="str">
        <f t="shared" si="50"/>
        <v>Pcs.</v>
      </c>
      <c r="I823" s="26">
        <v>1405.31</v>
      </c>
      <c r="J823" s="27">
        <f t="shared" si="51"/>
        <v>2810.62</v>
      </c>
    </row>
    <row r="824" spans="1:10" x14ac:dyDescent="0.3">
      <c r="A824" s="23" t="str">
        <f t="shared" si="48"/>
        <v>01-05-2026</v>
      </c>
      <c r="B824" s="24" t="s">
        <v>35</v>
      </c>
      <c r="C824" s="4">
        <v>8905952888046</v>
      </c>
      <c r="D824" s="24" t="s">
        <v>46</v>
      </c>
      <c r="E824" s="24" t="s">
        <v>396</v>
      </c>
      <c r="F824" s="25" t="str">
        <f t="shared" si="49"/>
        <v>FLYING MACHINE</v>
      </c>
      <c r="G824" s="24">
        <v>1</v>
      </c>
      <c r="H824" s="25" t="str">
        <f t="shared" si="50"/>
        <v>Pcs.</v>
      </c>
      <c r="I824" s="26">
        <v>1687</v>
      </c>
      <c r="J824" s="27">
        <f t="shared" si="51"/>
        <v>1687</v>
      </c>
    </row>
    <row r="825" spans="1:10" x14ac:dyDescent="0.3">
      <c r="A825" s="23" t="str">
        <f t="shared" si="48"/>
        <v>01-05-2026</v>
      </c>
      <c r="B825" s="24" t="s">
        <v>35</v>
      </c>
      <c r="C825" s="4">
        <v>8905952888183</v>
      </c>
      <c r="D825" s="24" t="s">
        <v>46</v>
      </c>
      <c r="E825" s="24" t="s">
        <v>397</v>
      </c>
      <c r="F825" s="25" t="str">
        <f t="shared" si="49"/>
        <v>FLYING MACHINE</v>
      </c>
      <c r="G825" s="24">
        <v>1</v>
      </c>
      <c r="H825" s="25" t="str">
        <f t="shared" si="50"/>
        <v>Pcs.</v>
      </c>
      <c r="I825" s="26">
        <v>1687</v>
      </c>
      <c r="J825" s="27">
        <f t="shared" si="51"/>
        <v>1687</v>
      </c>
    </row>
    <row r="826" spans="1:10" x14ac:dyDescent="0.3">
      <c r="A826" s="23" t="str">
        <f t="shared" si="48"/>
        <v>01-05-2026</v>
      </c>
      <c r="B826" s="24" t="s">
        <v>35</v>
      </c>
      <c r="C826" s="4">
        <v>8905952888343</v>
      </c>
      <c r="D826" s="24" t="s">
        <v>57</v>
      </c>
      <c r="E826" s="24" t="s">
        <v>398</v>
      </c>
      <c r="F826" s="25" t="str">
        <f t="shared" si="49"/>
        <v>FLYING MACHINE</v>
      </c>
      <c r="G826" s="24">
        <v>1</v>
      </c>
      <c r="H826" s="25" t="str">
        <f t="shared" si="50"/>
        <v>Pcs.</v>
      </c>
      <c r="I826" s="26">
        <v>1687</v>
      </c>
      <c r="J826" s="27">
        <f t="shared" si="51"/>
        <v>1687</v>
      </c>
    </row>
    <row r="827" spans="1:10" x14ac:dyDescent="0.3">
      <c r="A827" s="23" t="str">
        <f t="shared" si="48"/>
        <v>01-05-2026</v>
      </c>
      <c r="B827" s="24" t="s">
        <v>35</v>
      </c>
      <c r="C827" s="4">
        <v>8905952912727</v>
      </c>
      <c r="D827" s="24" t="s">
        <v>51</v>
      </c>
      <c r="E827" s="24" t="s">
        <v>110</v>
      </c>
      <c r="F827" s="25" t="str">
        <f t="shared" si="49"/>
        <v>FLYING MACHINE</v>
      </c>
      <c r="G827" s="24">
        <v>1</v>
      </c>
      <c r="H827" s="25" t="str">
        <f t="shared" si="50"/>
        <v>Pcs.</v>
      </c>
      <c r="I827" s="26">
        <v>1687</v>
      </c>
      <c r="J827" s="27">
        <f t="shared" si="51"/>
        <v>1687</v>
      </c>
    </row>
    <row r="828" spans="1:10" x14ac:dyDescent="0.3">
      <c r="A828" s="23" t="str">
        <f t="shared" si="48"/>
        <v>01-05-2026</v>
      </c>
      <c r="B828" s="24" t="s">
        <v>35</v>
      </c>
      <c r="C828" s="4">
        <v>8905952990671</v>
      </c>
      <c r="D828" s="24" t="s">
        <v>57</v>
      </c>
      <c r="E828" s="24" t="s">
        <v>399</v>
      </c>
      <c r="F828" s="25" t="str">
        <f t="shared" si="49"/>
        <v>FLYING MACHINE</v>
      </c>
      <c r="G828" s="24">
        <v>1</v>
      </c>
      <c r="H828" s="25" t="str">
        <f t="shared" si="50"/>
        <v>Pcs.</v>
      </c>
      <c r="I828" s="26">
        <v>1874</v>
      </c>
      <c r="J828" s="27">
        <f t="shared" si="51"/>
        <v>1874</v>
      </c>
    </row>
    <row r="829" spans="1:10" x14ac:dyDescent="0.3">
      <c r="A829" s="23" t="str">
        <f t="shared" si="48"/>
        <v>01-05-2026</v>
      </c>
      <c r="B829" s="24" t="s">
        <v>35</v>
      </c>
      <c r="C829" s="4">
        <v>8909112959461</v>
      </c>
      <c r="D829" s="24" t="s">
        <v>51</v>
      </c>
      <c r="E829" s="24" t="s">
        <v>400</v>
      </c>
      <c r="F829" s="25" t="str">
        <f t="shared" si="49"/>
        <v>FLYING MACHINE</v>
      </c>
      <c r="G829" s="24">
        <v>1</v>
      </c>
      <c r="H829" s="25" t="str">
        <f t="shared" si="50"/>
        <v>Pcs.</v>
      </c>
      <c r="I829" s="26">
        <v>1874</v>
      </c>
      <c r="J829" s="27">
        <f t="shared" si="51"/>
        <v>1874</v>
      </c>
    </row>
    <row r="830" spans="1:10" x14ac:dyDescent="0.3">
      <c r="A830" s="23" t="str">
        <f t="shared" si="48"/>
        <v>01-05-2026</v>
      </c>
      <c r="B830" s="24" t="s">
        <v>35</v>
      </c>
      <c r="C830" s="4">
        <v>8909112959478</v>
      </c>
      <c r="D830" s="24" t="s">
        <v>46</v>
      </c>
      <c r="E830" s="24" t="s">
        <v>400</v>
      </c>
      <c r="F830" s="25" t="str">
        <f t="shared" si="49"/>
        <v>FLYING MACHINE</v>
      </c>
      <c r="G830" s="24">
        <v>2</v>
      </c>
      <c r="H830" s="25" t="str">
        <f t="shared" si="50"/>
        <v>Pcs.</v>
      </c>
      <c r="I830" s="26">
        <v>1874</v>
      </c>
      <c r="J830" s="27">
        <f t="shared" si="51"/>
        <v>3748</v>
      </c>
    </row>
    <row r="831" spans="1:10" x14ac:dyDescent="0.3">
      <c r="A831" s="23" t="str">
        <f t="shared" si="48"/>
        <v>01-05-2026</v>
      </c>
      <c r="B831" s="24" t="s">
        <v>35</v>
      </c>
      <c r="C831" s="4">
        <v>8909112959553</v>
      </c>
      <c r="D831" s="24" t="s">
        <v>51</v>
      </c>
      <c r="E831" s="24" t="s">
        <v>401</v>
      </c>
      <c r="F831" s="25" t="str">
        <f t="shared" si="49"/>
        <v>FLYING MACHINE</v>
      </c>
      <c r="G831" s="24">
        <v>1</v>
      </c>
      <c r="H831" s="25" t="str">
        <f t="shared" si="50"/>
        <v>Pcs.</v>
      </c>
      <c r="I831" s="26">
        <v>1686.56</v>
      </c>
      <c r="J831" s="27">
        <f t="shared" si="51"/>
        <v>1686.56</v>
      </c>
    </row>
    <row r="832" spans="1:10" x14ac:dyDescent="0.3">
      <c r="A832" s="23" t="str">
        <f t="shared" si="48"/>
        <v>01-05-2026</v>
      </c>
      <c r="B832" s="24" t="s">
        <v>35</v>
      </c>
      <c r="C832" s="4">
        <v>8909112959607</v>
      </c>
      <c r="D832" s="24" t="s">
        <v>39</v>
      </c>
      <c r="E832" s="24" t="s">
        <v>401</v>
      </c>
      <c r="F832" s="25" t="str">
        <f t="shared" si="49"/>
        <v>FLYING MACHINE</v>
      </c>
      <c r="G832" s="24">
        <v>1</v>
      </c>
      <c r="H832" s="25" t="str">
        <f t="shared" si="50"/>
        <v>Pcs.</v>
      </c>
      <c r="I832" s="26">
        <v>1686.56</v>
      </c>
      <c r="J832" s="27">
        <f t="shared" si="51"/>
        <v>1686.56</v>
      </c>
    </row>
    <row r="833" spans="1:10" x14ac:dyDescent="0.3">
      <c r="A833" s="23" t="str">
        <f t="shared" si="48"/>
        <v>01-05-2026</v>
      </c>
      <c r="B833" s="24" t="s">
        <v>35</v>
      </c>
      <c r="C833" s="4">
        <v>8909112959690</v>
      </c>
      <c r="D833" s="24" t="s">
        <v>39</v>
      </c>
      <c r="E833" s="24" t="s">
        <v>402</v>
      </c>
      <c r="F833" s="25" t="str">
        <f t="shared" si="49"/>
        <v>FLYING MACHINE</v>
      </c>
      <c r="G833" s="24">
        <v>1</v>
      </c>
      <c r="H833" s="25" t="str">
        <f t="shared" si="50"/>
        <v>Pcs.</v>
      </c>
      <c r="I833" s="26">
        <v>1687</v>
      </c>
      <c r="J833" s="27">
        <f t="shared" si="51"/>
        <v>1687</v>
      </c>
    </row>
    <row r="834" spans="1:10" x14ac:dyDescent="0.3">
      <c r="A834" s="23" t="str">
        <f t="shared" si="48"/>
        <v>01-05-2026</v>
      </c>
      <c r="B834" s="24" t="s">
        <v>35</v>
      </c>
      <c r="C834" s="4">
        <v>8909112959836</v>
      </c>
      <c r="D834" s="24" t="s">
        <v>46</v>
      </c>
      <c r="E834" s="24" t="s">
        <v>403</v>
      </c>
      <c r="F834" s="25" t="str">
        <f t="shared" si="49"/>
        <v>FLYING MACHINE</v>
      </c>
      <c r="G834" s="24">
        <v>2</v>
      </c>
      <c r="H834" s="25" t="str">
        <f t="shared" si="50"/>
        <v>Pcs.</v>
      </c>
      <c r="I834" s="26">
        <v>1499.06</v>
      </c>
      <c r="J834" s="27">
        <f t="shared" si="51"/>
        <v>2998.12</v>
      </c>
    </row>
    <row r="835" spans="1:10" x14ac:dyDescent="0.3">
      <c r="A835" s="23" t="str">
        <f t="shared" si="48"/>
        <v>01-05-2026</v>
      </c>
      <c r="B835" s="24" t="s">
        <v>35</v>
      </c>
      <c r="C835" s="4">
        <v>8909112959843</v>
      </c>
      <c r="D835" s="24" t="s">
        <v>37</v>
      </c>
      <c r="E835" s="24" t="s">
        <v>403</v>
      </c>
      <c r="F835" s="25" t="str">
        <f t="shared" si="49"/>
        <v>FLYING MACHINE</v>
      </c>
      <c r="G835" s="24">
        <v>1</v>
      </c>
      <c r="H835" s="25" t="str">
        <f t="shared" si="50"/>
        <v>Pcs.</v>
      </c>
      <c r="I835" s="26">
        <v>1499.06</v>
      </c>
      <c r="J835" s="27">
        <f t="shared" si="51"/>
        <v>1499.06</v>
      </c>
    </row>
    <row r="836" spans="1:10" x14ac:dyDescent="0.3">
      <c r="A836" s="23" t="str">
        <f t="shared" si="48"/>
        <v>01-05-2026</v>
      </c>
      <c r="B836" s="24" t="s">
        <v>35</v>
      </c>
      <c r="C836" s="4">
        <v>8909112959911</v>
      </c>
      <c r="D836" s="24" t="s">
        <v>51</v>
      </c>
      <c r="E836" s="24" t="s">
        <v>404</v>
      </c>
      <c r="F836" s="25" t="str">
        <f t="shared" si="49"/>
        <v>FLYING MACHINE</v>
      </c>
      <c r="G836" s="24">
        <v>1</v>
      </c>
      <c r="H836" s="25" t="str">
        <f t="shared" si="50"/>
        <v>Pcs.</v>
      </c>
      <c r="I836" s="26">
        <v>1874</v>
      </c>
      <c r="J836" s="27">
        <f t="shared" si="51"/>
        <v>1874</v>
      </c>
    </row>
    <row r="837" spans="1:10" x14ac:dyDescent="0.3">
      <c r="A837" s="23" t="str">
        <f t="shared" ref="A837:A900" si="52">IF(C837&gt;0,RIGHT($D$3,10)," ")</f>
        <v>01-05-2026</v>
      </c>
      <c r="B837" s="24" t="s">
        <v>35</v>
      </c>
      <c r="C837" s="4">
        <v>8909112960054</v>
      </c>
      <c r="D837" s="24" t="s">
        <v>39</v>
      </c>
      <c r="E837" s="24" t="s">
        <v>136</v>
      </c>
      <c r="F837" s="25" t="str">
        <f t="shared" ref="F837:F900" si="53">IF(C837&gt;0,$C$3," ")</f>
        <v>FLYING MACHINE</v>
      </c>
      <c r="G837" s="24">
        <v>1</v>
      </c>
      <c r="H837" s="25" t="str">
        <f t="shared" ref="H837:H900" si="54">IF(G837&gt;0,"Pcs."," ")</f>
        <v>Pcs.</v>
      </c>
      <c r="I837" s="26">
        <v>1874</v>
      </c>
      <c r="J837" s="27">
        <f t="shared" ref="J837:J900" si="55">IF(I837*G837=0," ",I837*G837)</f>
        <v>1874</v>
      </c>
    </row>
    <row r="838" spans="1:10" x14ac:dyDescent="0.3">
      <c r="A838" s="23" t="str">
        <f t="shared" si="52"/>
        <v>01-05-2026</v>
      </c>
      <c r="B838" s="24" t="s">
        <v>35</v>
      </c>
      <c r="C838" s="4">
        <v>8909112960092</v>
      </c>
      <c r="D838" s="24" t="s">
        <v>51</v>
      </c>
      <c r="E838" s="24" t="s">
        <v>405</v>
      </c>
      <c r="F838" s="25" t="str">
        <f t="shared" si="53"/>
        <v>FLYING MACHINE</v>
      </c>
      <c r="G838" s="24">
        <v>1</v>
      </c>
      <c r="H838" s="25" t="str">
        <f t="shared" si="54"/>
        <v>Pcs.</v>
      </c>
      <c r="I838" s="26">
        <v>1874</v>
      </c>
      <c r="J838" s="27">
        <f t="shared" si="55"/>
        <v>1874</v>
      </c>
    </row>
    <row r="839" spans="1:10" x14ac:dyDescent="0.3">
      <c r="A839" s="23" t="str">
        <f t="shared" si="52"/>
        <v>01-05-2026</v>
      </c>
      <c r="B839" s="24" t="s">
        <v>35</v>
      </c>
      <c r="C839" s="4">
        <v>8909112960108</v>
      </c>
      <c r="D839" s="24">
        <v>39</v>
      </c>
      <c r="E839" s="24" t="s">
        <v>405</v>
      </c>
      <c r="F839" s="25" t="str">
        <f t="shared" si="53"/>
        <v>FLYING MACHINE</v>
      </c>
      <c r="G839" s="24">
        <v>1</v>
      </c>
      <c r="H839" s="25" t="str">
        <f t="shared" si="54"/>
        <v>Pcs.</v>
      </c>
      <c r="I839" s="26">
        <v>1874</v>
      </c>
      <c r="J839" s="27">
        <f t="shared" si="55"/>
        <v>1874</v>
      </c>
    </row>
    <row r="840" spans="1:10" x14ac:dyDescent="0.3">
      <c r="A840" s="23" t="str">
        <f t="shared" si="52"/>
        <v>01-05-2026</v>
      </c>
      <c r="B840" s="24" t="s">
        <v>35</v>
      </c>
      <c r="C840" s="4">
        <v>8909112960146</v>
      </c>
      <c r="D840" s="24">
        <v>44</v>
      </c>
      <c r="E840" s="24" t="s">
        <v>405</v>
      </c>
      <c r="F840" s="25" t="str">
        <f t="shared" si="53"/>
        <v>FLYING MACHINE</v>
      </c>
      <c r="G840" s="24">
        <v>1</v>
      </c>
      <c r="H840" s="25" t="str">
        <f t="shared" si="54"/>
        <v>Pcs.</v>
      </c>
      <c r="I840" s="26">
        <v>1874</v>
      </c>
      <c r="J840" s="27">
        <f t="shared" si="55"/>
        <v>1874</v>
      </c>
    </row>
    <row r="841" spans="1:10" x14ac:dyDescent="0.3">
      <c r="A841" s="23" t="str">
        <f t="shared" si="52"/>
        <v>01-05-2026</v>
      </c>
      <c r="B841" s="24" t="s">
        <v>35</v>
      </c>
      <c r="C841" s="4">
        <v>8909112960184</v>
      </c>
      <c r="D841" s="24" t="s">
        <v>51</v>
      </c>
      <c r="E841" s="24" t="s">
        <v>406</v>
      </c>
      <c r="F841" s="25" t="str">
        <f t="shared" si="53"/>
        <v>FLYING MACHINE</v>
      </c>
      <c r="G841" s="24">
        <v>4</v>
      </c>
      <c r="H841" s="25" t="str">
        <f t="shared" si="54"/>
        <v>Pcs.</v>
      </c>
      <c r="I841" s="26">
        <v>1874.06</v>
      </c>
      <c r="J841" s="27">
        <f t="shared" si="55"/>
        <v>7496.24</v>
      </c>
    </row>
    <row r="842" spans="1:10" x14ac:dyDescent="0.3">
      <c r="A842" s="23" t="str">
        <f t="shared" si="52"/>
        <v>01-05-2026</v>
      </c>
      <c r="B842" s="24" t="s">
        <v>35</v>
      </c>
      <c r="C842" s="4">
        <v>8909112960191</v>
      </c>
      <c r="D842" s="24" t="s">
        <v>46</v>
      </c>
      <c r="E842" s="24" t="s">
        <v>406</v>
      </c>
      <c r="F842" s="25" t="str">
        <f t="shared" si="53"/>
        <v>FLYING MACHINE</v>
      </c>
      <c r="G842" s="24">
        <v>2</v>
      </c>
      <c r="H842" s="25" t="str">
        <f t="shared" si="54"/>
        <v>Pcs.</v>
      </c>
      <c r="I842" s="26">
        <v>1874.06</v>
      </c>
      <c r="J842" s="27">
        <f t="shared" si="55"/>
        <v>3748.12</v>
      </c>
    </row>
    <row r="843" spans="1:10" x14ac:dyDescent="0.3">
      <c r="A843" s="23" t="str">
        <f t="shared" si="52"/>
        <v>01-05-2026</v>
      </c>
      <c r="B843" s="24" t="s">
        <v>35</v>
      </c>
      <c r="C843" s="4">
        <v>8909112960207</v>
      </c>
      <c r="D843" s="24" t="s">
        <v>37</v>
      </c>
      <c r="E843" s="24" t="s">
        <v>406</v>
      </c>
      <c r="F843" s="25" t="str">
        <f t="shared" si="53"/>
        <v>FLYING MACHINE</v>
      </c>
      <c r="G843" s="24">
        <v>1</v>
      </c>
      <c r="H843" s="25" t="str">
        <f t="shared" si="54"/>
        <v>Pcs.</v>
      </c>
      <c r="I843" s="26">
        <v>1874.06</v>
      </c>
      <c r="J843" s="27">
        <f t="shared" si="55"/>
        <v>1874.06</v>
      </c>
    </row>
    <row r="844" spans="1:10" x14ac:dyDescent="0.3">
      <c r="A844" s="23" t="str">
        <f t="shared" si="52"/>
        <v>01-05-2026</v>
      </c>
      <c r="B844" s="24" t="s">
        <v>35</v>
      </c>
      <c r="C844" s="4">
        <v>8909112960214</v>
      </c>
      <c r="D844" s="24" t="s">
        <v>57</v>
      </c>
      <c r="E844" s="24" t="s">
        <v>406</v>
      </c>
      <c r="F844" s="25" t="str">
        <f t="shared" si="53"/>
        <v>FLYING MACHINE</v>
      </c>
      <c r="G844" s="24">
        <v>1</v>
      </c>
      <c r="H844" s="25" t="str">
        <f t="shared" si="54"/>
        <v>Pcs.</v>
      </c>
      <c r="I844" s="26">
        <v>1874.06</v>
      </c>
      <c r="J844" s="27">
        <f t="shared" si="55"/>
        <v>1874.06</v>
      </c>
    </row>
    <row r="845" spans="1:10" x14ac:dyDescent="0.3">
      <c r="A845" s="23" t="str">
        <f t="shared" si="52"/>
        <v>01-05-2026</v>
      </c>
      <c r="B845" s="24" t="s">
        <v>35</v>
      </c>
      <c r="C845" s="4">
        <v>8909112960450</v>
      </c>
      <c r="D845" s="24" t="s">
        <v>51</v>
      </c>
      <c r="E845" s="24" t="s">
        <v>407</v>
      </c>
      <c r="F845" s="25" t="str">
        <f t="shared" si="53"/>
        <v>FLYING MACHINE</v>
      </c>
      <c r="G845" s="24">
        <v>1</v>
      </c>
      <c r="H845" s="25" t="str">
        <f t="shared" si="54"/>
        <v>Pcs.</v>
      </c>
      <c r="I845" s="26">
        <v>1218</v>
      </c>
      <c r="J845" s="27">
        <f t="shared" si="55"/>
        <v>1218</v>
      </c>
    </row>
    <row r="846" spans="1:10" x14ac:dyDescent="0.3">
      <c r="A846" s="23" t="str">
        <f t="shared" si="52"/>
        <v>01-05-2026</v>
      </c>
      <c r="B846" s="24" t="s">
        <v>35</v>
      </c>
      <c r="C846" s="4">
        <v>8909112960481</v>
      </c>
      <c r="D846" s="24" t="s">
        <v>57</v>
      </c>
      <c r="E846" s="24" t="s">
        <v>407</v>
      </c>
      <c r="F846" s="25" t="str">
        <f t="shared" si="53"/>
        <v>FLYING MACHINE</v>
      </c>
      <c r="G846" s="24">
        <v>1</v>
      </c>
      <c r="H846" s="25" t="str">
        <f t="shared" si="54"/>
        <v>Pcs.</v>
      </c>
      <c r="I846" s="26">
        <v>1218</v>
      </c>
      <c r="J846" s="27">
        <f t="shared" si="55"/>
        <v>1218</v>
      </c>
    </row>
    <row r="847" spans="1:10" x14ac:dyDescent="0.3">
      <c r="A847" s="23" t="str">
        <f t="shared" si="52"/>
        <v>01-05-2026</v>
      </c>
      <c r="B847" s="24" t="s">
        <v>35</v>
      </c>
      <c r="C847" s="4">
        <v>8909112960504</v>
      </c>
      <c r="D847" s="24" t="s">
        <v>39</v>
      </c>
      <c r="E847" s="24" t="s">
        <v>407</v>
      </c>
      <c r="F847" s="25" t="str">
        <f t="shared" si="53"/>
        <v>FLYING MACHINE</v>
      </c>
      <c r="G847" s="24">
        <v>1</v>
      </c>
      <c r="H847" s="25" t="str">
        <f t="shared" si="54"/>
        <v>Pcs.</v>
      </c>
      <c r="I847" s="26">
        <v>1218</v>
      </c>
      <c r="J847" s="27">
        <f t="shared" si="55"/>
        <v>1218</v>
      </c>
    </row>
    <row r="848" spans="1:10" x14ac:dyDescent="0.3">
      <c r="A848" s="23" t="str">
        <f t="shared" si="52"/>
        <v>01-05-2026</v>
      </c>
      <c r="B848" s="24" t="s">
        <v>35</v>
      </c>
      <c r="C848" s="4">
        <v>8909112960900</v>
      </c>
      <c r="D848" s="24" t="s">
        <v>51</v>
      </c>
      <c r="E848" s="24" t="s">
        <v>408</v>
      </c>
      <c r="F848" s="25" t="str">
        <f t="shared" si="53"/>
        <v>FLYING MACHINE</v>
      </c>
      <c r="G848" s="24">
        <v>1</v>
      </c>
      <c r="H848" s="25" t="str">
        <f t="shared" si="54"/>
        <v>Pcs.</v>
      </c>
      <c r="I848" s="26">
        <v>1874</v>
      </c>
      <c r="J848" s="27">
        <f t="shared" si="55"/>
        <v>1874</v>
      </c>
    </row>
    <row r="849" spans="1:10" x14ac:dyDescent="0.3">
      <c r="A849" s="23" t="str">
        <f t="shared" si="52"/>
        <v>01-05-2026</v>
      </c>
      <c r="B849" s="24" t="s">
        <v>35</v>
      </c>
      <c r="C849" s="4">
        <v>8909112960917</v>
      </c>
      <c r="D849" s="24" t="s">
        <v>46</v>
      </c>
      <c r="E849" s="24" t="s">
        <v>408</v>
      </c>
      <c r="F849" s="25" t="str">
        <f t="shared" si="53"/>
        <v>FLYING MACHINE</v>
      </c>
      <c r="G849" s="24">
        <v>2</v>
      </c>
      <c r="H849" s="25" t="str">
        <f t="shared" si="54"/>
        <v>Pcs.</v>
      </c>
      <c r="I849" s="26">
        <v>1874</v>
      </c>
      <c r="J849" s="27">
        <f t="shared" si="55"/>
        <v>3748</v>
      </c>
    </row>
    <row r="850" spans="1:10" x14ac:dyDescent="0.3">
      <c r="A850" s="23" t="str">
        <f t="shared" si="52"/>
        <v>01-05-2026</v>
      </c>
      <c r="B850" s="24" t="s">
        <v>35</v>
      </c>
      <c r="C850" s="4">
        <v>8909112960924</v>
      </c>
      <c r="D850" s="24" t="s">
        <v>37</v>
      </c>
      <c r="E850" s="24" t="s">
        <v>408</v>
      </c>
      <c r="F850" s="25" t="str">
        <f t="shared" si="53"/>
        <v>FLYING MACHINE</v>
      </c>
      <c r="G850" s="24">
        <v>1</v>
      </c>
      <c r="H850" s="25" t="str">
        <f t="shared" si="54"/>
        <v>Pcs.</v>
      </c>
      <c r="I850" s="26">
        <v>1874</v>
      </c>
      <c r="J850" s="27">
        <f t="shared" si="55"/>
        <v>1874</v>
      </c>
    </row>
    <row r="851" spans="1:10" x14ac:dyDescent="0.3">
      <c r="A851" s="23" t="str">
        <f t="shared" si="52"/>
        <v>01-05-2026</v>
      </c>
      <c r="B851" s="24" t="s">
        <v>35</v>
      </c>
      <c r="C851" s="4">
        <v>8909112960931</v>
      </c>
      <c r="D851" s="24" t="s">
        <v>57</v>
      </c>
      <c r="E851" s="24" t="s">
        <v>408</v>
      </c>
      <c r="F851" s="25" t="str">
        <f t="shared" si="53"/>
        <v>FLYING MACHINE</v>
      </c>
      <c r="G851" s="24">
        <v>1</v>
      </c>
      <c r="H851" s="25" t="str">
        <f t="shared" si="54"/>
        <v>Pcs.</v>
      </c>
      <c r="I851" s="26">
        <v>1874</v>
      </c>
      <c r="J851" s="27">
        <f t="shared" si="55"/>
        <v>1874</v>
      </c>
    </row>
    <row r="852" spans="1:10" x14ac:dyDescent="0.3">
      <c r="A852" s="23" t="str">
        <f t="shared" si="52"/>
        <v>01-05-2026</v>
      </c>
      <c r="B852" s="24" t="s">
        <v>35</v>
      </c>
      <c r="C852" s="4">
        <v>8909112960993</v>
      </c>
      <c r="D852" s="24" t="s">
        <v>51</v>
      </c>
      <c r="E852" s="24" t="s">
        <v>409</v>
      </c>
      <c r="F852" s="25" t="str">
        <f t="shared" si="53"/>
        <v>FLYING MACHINE</v>
      </c>
      <c r="G852" s="24">
        <v>1</v>
      </c>
      <c r="H852" s="25" t="str">
        <f t="shared" si="54"/>
        <v>Pcs.</v>
      </c>
      <c r="I852" s="26">
        <v>1874.06</v>
      </c>
      <c r="J852" s="27">
        <f t="shared" si="55"/>
        <v>1874.06</v>
      </c>
    </row>
    <row r="853" spans="1:10" x14ac:dyDescent="0.3">
      <c r="A853" s="23" t="str">
        <f t="shared" si="52"/>
        <v>01-05-2026</v>
      </c>
      <c r="B853" s="24" t="s">
        <v>35</v>
      </c>
      <c r="C853" s="4">
        <v>8909112961044</v>
      </c>
      <c r="D853" s="24" t="s">
        <v>39</v>
      </c>
      <c r="E853" s="24" t="s">
        <v>409</v>
      </c>
      <c r="F853" s="25" t="str">
        <f t="shared" si="53"/>
        <v>FLYING MACHINE</v>
      </c>
      <c r="G853" s="24">
        <v>1</v>
      </c>
      <c r="H853" s="25" t="str">
        <f t="shared" si="54"/>
        <v>Pcs.</v>
      </c>
      <c r="I853" s="26">
        <v>1874.06</v>
      </c>
      <c r="J853" s="27">
        <f t="shared" si="55"/>
        <v>1874.06</v>
      </c>
    </row>
    <row r="854" spans="1:10" x14ac:dyDescent="0.3">
      <c r="A854" s="23" t="str">
        <f t="shared" si="52"/>
        <v>01-05-2026</v>
      </c>
      <c r="B854" s="24" t="s">
        <v>35</v>
      </c>
      <c r="C854" s="4">
        <v>8909112961273</v>
      </c>
      <c r="D854" s="24" t="s">
        <v>46</v>
      </c>
      <c r="E854" s="24" t="s">
        <v>410</v>
      </c>
      <c r="F854" s="25" t="str">
        <f t="shared" si="53"/>
        <v>FLYING MACHINE</v>
      </c>
      <c r="G854" s="24">
        <v>1</v>
      </c>
      <c r="H854" s="25" t="str">
        <f t="shared" si="54"/>
        <v>Pcs.</v>
      </c>
      <c r="I854" s="26">
        <v>1686.56</v>
      </c>
      <c r="J854" s="27">
        <f t="shared" si="55"/>
        <v>1686.56</v>
      </c>
    </row>
    <row r="855" spans="1:10" x14ac:dyDescent="0.3">
      <c r="A855" s="23" t="str">
        <f t="shared" si="52"/>
        <v>01-05-2026</v>
      </c>
      <c r="B855" s="24" t="s">
        <v>35</v>
      </c>
      <c r="C855" s="4">
        <v>8909112961808</v>
      </c>
      <c r="D855" s="24" t="s">
        <v>51</v>
      </c>
      <c r="E855" s="24" t="s">
        <v>411</v>
      </c>
      <c r="F855" s="25" t="str">
        <f t="shared" si="53"/>
        <v>FLYING MACHINE</v>
      </c>
      <c r="G855" s="24">
        <v>1</v>
      </c>
      <c r="H855" s="25" t="str">
        <f t="shared" si="54"/>
        <v>Pcs.</v>
      </c>
      <c r="I855" s="26">
        <v>1687</v>
      </c>
      <c r="J855" s="27">
        <f t="shared" si="55"/>
        <v>1687</v>
      </c>
    </row>
    <row r="856" spans="1:10" x14ac:dyDescent="0.3">
      <c r="A856" s="23" t="str">
        <f t="shared" si="52"/>
        <v>01-05-2026</v>
      </c>
      <c r="B856" s="24" t="s">
        <v>35</v>
      </c>
      <c r="C856" s="4">
        <v>8909112961822</v>
      </c>
      <c r="D856" s="24" t="s">
        <v>37</v>
      </c>
      <c r="E856" s="24" t="s">
        <v>411</v>
      </c>
      <c r="F856" s="25" t="str">
        <f t="shared" si="53"/>
        <v>FLYING MACHINE</v>
      </c>
      <c r="G856" s="24">
        <v>1</v>
      </c>
      <c r="H856" s="25" t="str">
        <f t="shared" si="54"/>
        <v>Pcs.</v>
      </c>
      <c r="I856" s="26">
        <v>1687</v>
      </c>
      <c r="J856" s="27">
        <f t="shared" si="55"/>
        <v>1687</v>
      </c>
    </row>
    <row r="857" spans="1:10" x14ac:dyDescent="0.3">
      <c r="A857" s="23" t="str">
        <f t="shared" si="52"/>
        <v>01-05-2026</v>
      </c>
      <c r="B857" s="24" t="s">
        <v>35</v>
      </c>
      <c r="C857" s="4">
        <v>8909112961945</v>
      </c>
      <c r="D857" s="24" t="s">
        <v>39</v>
      </c>
      <c r="E857" s="24" t="s">
        <v>412</v>
      </c>
      <c r="F857" s="25" t="str">
        <f t="shared" si="53"/>
        <v>FLYING MACHINE</v>
      </c>
      <c r="G857" s="24">
        <v>1</v>
      </c>
      <c r="H857" s="25" t="str">
        <f t="shared" si="54"/>
        <v>Pcs.</v>
      </c>
      <c r="I857" s="26">
        <v>1687</v>
      </c>
      <c r="J857" s="27">
        <f t="shared" si="55"/>
        <v>1687</v>
      </c>
    </row>
    <row r="858" spans="1:10" x14ac:dyDescent="0.3">
      <c r="A858" s="23" t="str">
        <f t="shared" si="52"/>
        <v>01-05-2026</v>
      </c>
      <c r="B858" s="24" t="s">
        <v>35</v>
      </c>
      <c r="C858" s="4">
        <v>8909112961983</v>
      </c>
      <c r="D858" s="24" t="s">
        <v>51</v>
      </c>
      <c r="E858" s="24" t="s">
        <v>413</v>
      </c>
      <c r="F858" s="25" t="str">
        <f t="shared" si="53"/>
        <v>FLYING MACHINE</v>
      </c>
      <c r="G858" s="24">
        <v>2</v>
      </c>
      <c r="H858" s="25" t="str">
        <f t="shared" si="54"/>
        <v>Pcs.</v>
      </c>
      <c r="I858" s="26">
        <v>1686.56</v>
      </c>
      <c r="J858" s="27">
        <f t="shared" si="55"/>
        <v>3373.12</v>
      </c>
    </row>
    <row r="859" spans="1:10" x14ac:dyDescent="0.3">
      <c r="A859" s="23" t="str">
        <f t="shared" si="52"/>
        <v>01-05-2026</v>
      </c>
      <c r="B859" s="24" t="s">
        <v>35</v>
      </c>
      <c r="C859" s="4">
        <v>8909112962171</v>
      </c>
      <c r="D859" s="24" t="s">
        <v>46</v>
      </c>
      <c r="E859" s="24" t="s">
        <v>63</v>
      </c>
      <c r="F859" s="25" t="str">
        <f t="shared" si="53"/>
        <v>FLYING MACHINE</v>
      </c>
      <c r="G859" s="24">
        <v>1</v>
      </c>
      <c r="H859" s="25" t="str">
        <f t="shared" si="54"/>
        <v>Pcs.</v>
      </c>
      <c r="I859" s="26">
        <v>1686.56</v>
      </c>
      <c r="J859" s="27">
        <f t="shared" si="55"/>
        <v>1686.56</v>
      </c>
    </row>
    <row r="860" spans="1:10" x14ac:dyDescent="0.3">
      <c r="A860" s="23" t="str">
        <f t="shared" si="52"/>
        <v>01-05-2026</v>
      </c>
      <c r="B860" s="24" t="s">
        <v>35</v>
      </c>
      <c r="C860" s="4">
        <v>8909112963420</v>
      </c>
      <c r="D860" s="24" t="s">
        <v>51</v>
      </c>
      <c r="E860" s="24" t="s">
        <v>414</v>
      </c>
      <c r="F860" s="25" t="str">
        <f t="shared" si="53"/>
        <v>FLYING MACHINE</v>
      </c>
      <c r="G860" s="24">
        <v>1</v>
      </c>
      <c r="H860" s="25" t="str">
        <f t="shared" si="54"/>
        <v>Pcs.</v>
      </c>
      <c r="I860" s="26">
        <v>1405.31</v>
      </c>
      <c r="J860" s="27">
        <f t="shared" si="55"/>
        <v>1405.31</v>
      </c>
    </row>
    <row r="861" spans="1:10" x14ac:dyDescent="0.3">
      <c r="A861" s="23" t="str">
        <f t="shared" si="52"/>
        <v>01-05-2026</v>
      </c>
      <c r="B861" s="24" t="s">
        <v>35</v>
      </c>
      <c r="C861" s="4">
        <v>8909112963437</v>
      </c>
      <c r="D861" s="24" t="s">
        <v>46</v>
      </c>
      <c r="E861" s="24" t="s">
        <v>414</v>
      </c>
      <c r="F861" s="25" t="str">
        <f t="shared" si="53"/>
        <v>FLYING MACHINE</v>
      </c>
      <c r="G861" s="24">
        <v>2</v>
      </c>
      <c r="H861" s="25" t="str">
        <f t="shared" si="54"/>
        <v>Pcs.</v>
      </c>
      <c r="I861" s="26">
        <v>1499.06</v>
      </c>
      <c r="J861" s="27">
        <f t="shared" si="55"/>
        <v>2998.12</v>
      </c>
    </row>
    <row r="862" spans="1:10" x14ac:dyDescent="0.3">
      <c r="A862" s="23" t="str">
        <f t="shared" si="52"/>
        <v>01-05-2026</v>
      </c>
      <c r="B862" s="24" t="s">
        <v>35</v>
      </c>
      <c r="C862" s="4">
        <v>8909112963451</v>
      </c>
      <c r="D862" s="24" t="s">
        <v>57</v>
      </c>
      <c r="E862" s="24" t="s">
        <v>414</v>
      </c>
      <c r="F862" s="25" t="str">
        <f t="shared" si="53"/>
        <v>FLYING MACHINE</v>
      </c>
      <c r="G862" s="24">
        <v>1</v>
      </c>
      <c r="H862" s="25" t="str">
        <f t="shared" si="54"/>
        <v>Pcs.</v>
      </c>
      <c r="I862" s="26">
        <v>1499.06</v>
      </c>
      <c r="J862" s="27">
        <f t="shared" si="55"/>
        <v>1499.06</v>
      </c>
    </row>
    <row r="863" spans="1:10" x14ac:dyDescent="0.3">
      <c r="A863" s="23" t="str">
        <f t="shared" si="52"/>
        <v>01-05-2026</v>
      </c>
      <c r="B863" s="24" t="s">
        <v>35</v>
      </c>
      <c r="C863" s="4">
        <v>8909112963475</v>
      </c>
      <c r="D863" s="24" t="s">
        <v>39</v>
      </c>
      <c r="E863" s="24" t="s">
        <v>414</v>
      </c>
      <c r="F863" s="25" t="str">
        <f t="shared" si="53"/>
        <v>FLYING MACHINE</v>
      </c>
      <c r="G863" s="24">
        <v>1</v>
      </c>
      <c r="H863" s="25" t="str">
        <f t="shared" si="54"/>
        <v>Pcs.</v>
      </c>
      <c r="I863" s="26">
        <v>1499.06</v>
      </c>
      <c r="J863" s="27">
        <f t="shared" si="55"/>
        <v>1499.06</v>
      </c>
    </row>
    <row r="864" spans="1:10" x14ac:dyDescent="0.3">
      <c r="A864" s="23" t="str">
        <f t="shared" si="52"/>
        <v>01-05-2026</v>
      </c>
      <c r="B864" s="24" t="s">
        <v>35</v>
      </c>
      <c r="C864" s="4">
        <v>8909112963659</v>
      </c>
      <c r="D864" s="24" t="s">
        <v>39</v>
      </c>
      <c r="E864" s="24" t="s">
        <v>415</v>
      </c>
      <c r="F864" s="25" t="str">
        <f t="shared" si="53"/>
        <v>FLYING MACHINE</v>
      </c>
      <c r="G864" s="24">
        <v>1</v>
      </c>
      <c r="H864" s="25" t="str">
        <f t="shared" si="54"/>
        <v>Pcs.</v>
      </c>
      <c r="I864" s="26">
        <v>1405.31</v>
      </c>
      <c r="J864" s="27">
        <f t="shared" si="55"/>
        <v>1405.31</v>
      </c>
    </row>
    <row r="865" spans="1:10" x14ac:dyDescent="0.3">
      <c r="A865" s="23" t="str">
        <f t="shared" si="52"/>
        <v>01-05-2026</v>
      </c>
      <c r="B865" s="24" t="s">
        <v>35</v>
      </c>
      <c r="C865" s="4">
        <v>8909112963888</v>
      </c>
      <c r="D865" s="24" t="s">
        <v>46</v>
      </c>
      <c r="E865" s="24" t="s">
        <v>416</v>
      </c>
      <c r="F865" s="25" t="str">
        <f t="shared" si="53"/>
        <v>FLYING MACHINE</v>
      </c>
      <c r="G865" s="24">
        <v>1</v>
      </c>
      <c r="H865" s="25" t="str">
        <f t="shared" si="54"/>
        <v>Pcs.</v>
      </c>
      <c r="I865" s="26">
        <v>899</v>
      </c>
      <c r="J865" s="27">
        <f t="shared" si="55"/>
        <v>899</v>
      </c>
    </row>
    <row r="866" spans="1:10" x14ac:dyDescent="0.3">
      <c r="A866" s="23" t="str">
        <f t="shared" si="52"/>
        <v>01-05-2026</v>
      </c>
      <c r="B866" s="24" t="s">
        <v>35</v>
      </c>
      <c r="C866" s="4">
        <v>8909112963963</v>
      </c>
      <c r="D866" s="24" t="s">
        <v>51</v>
      </c>
      <c r="E866" s="24" t="s">
        <v>417</v>
      </c>
      <c r="F866" s="25" t="str">
        <f t="shared" si="53"/>
        <v>FLYING MACHINE</v>
      </c>
      <c r="G866" s="24">
        <v>1</v>
      </c>
      <c r="H866" s="25" t="str">
        <f t="shared" si="54"/>
        <v>Pcs.</v>
      </c>
      <c r="I866" s="26">
        <v>899</v>
      </c>
      <c r="J866" s="27">
        <f t="shared" si="55"/>
        <v>899</v>
      </c>
    </row>
    <row r="867" spans="1:10" x14ac:dyDescent="0.3">
      <c r="A867" s="23" t="str">
        <f t="shared" si="52"/>
        <v>01-05-2026</v>
      </c>
      <c r="B867" s="24" t="s">
        <v>35</v>
      </c>
      <c r="C867" s="4">
        <v>8909112963970</v>
      </c>
      <c r="D867" s="24" t="s">
        <v>46</v>
      </c>
      <c r="E867" s="24" t="s">
        <v>417</v>
      </c>
      <c r="F867" s="25" t="str">
        <f t="shared" si="53"/>
        <v>FLYING MACHINE</v>
      </c>
      <c r="G867" s="24">
        <v>2</v>
      </c>
      <c r="H867" s="25" t="str">
        <f t="shared" si="54"/>
        <v>Pcs.</v>
      </c>
      <c r="I867" s="26">
        <v>899</v>
      </c>
      <c r="J867" s="27">
        <f t="shared" si="55"/>
        <v>1798</v>
      </c>
    </row>
    <row r="868" spans="1:10" x14ac:dyDescent="0.3">
      <c r="A868" s="23" t="str">
        <f t="shared" si="52"/>
        <v>01-05-2026</v>
      </c>
      <c r="B868" s="24" t="s">
        <v>35</v>
      </c>
      <c r="C868" s="4">
        <v>8909112963994</v>
      </c>
      <c r="D868" s="24" t="s">
        <v>57</v>
      </c>
      <c r="E868" s="24" t="s">
        <v>417</v>
      </c>
      <c r="F868" s="25" t="str">
        <f t="shared" si="53"/>
        <v>FLYING MACHINE</v>
      </c>
      <c r="G868" s="24">
        <v>1</v>
      </c>
      <c r="H868" s="25" t="str">
        <f t="shared" si="54"/>
        <v>Pcs.</v>
      </c>
      <c r="I868" s="26">
        <v>899</v>
      </c>
      <c r="J868" s="27">
        <f t="shared" si="55"/>
        <v>899</v>
      </c>
    </row>
    <row r="869" spans="1:10" x14ac:dyDescent="0.3">
      <c r="A869" s="23" t="str">
        <f t="shared" si="52"/>
        <v>01-05-2026</v>
      </c>
      <c r="B869" s="24" t="s">
        <v>35</v>
      </c>
      <c r="C869" s="4">
        <v>8909112964052</v>
      </c>
      <c r="D869" s="24" t="s">
        <v>51</v>
      </c>
      <c r="E869" s="24" t="s">
        <v>418</v>
      </c>
      <c r="F869" s="25" t="str">
        <f t="shared" si="53"/>
        <v>FLYING MACHINE</v>
      </c>
      <c r="G869" s="24">
        <v>2</v>
      </c>
      <c r="H869" s="25" t="str">
        <f t="shared" si="54"/>
        <v>Pcs.</v>
      </c>
      <c r="I869" s="26">
        <v>899</v>
      </c>
      <c r="J869" s="27">
        <f t="shared" si="55"/>
        <v>1798</v>
      </c>
    </row>
    <row r="870" spans="1:10" x14ac:dyDescent="0.3">
      <c r="A870" s="23" t="str">
        <f t="shared" si="52"/>
        <v>01-05-2026</v>
      </c>
      <c r="B870" s="24" t="s">
        <v>35</v>
      </c>
      <c r="C870" s="4">
        <v>8909112964069</v>
      </c>
      <c r="D870" s="24" t="s">
        <v>46</v>
      </c>
      <c r="E870" s="24" t="s">
        <v>418</v>
      </c>
      <c r="F870" s="25" t="str">
        <f t="shared" si="53"/>
        <v>FLYING MACHINE</v>
      </c>
      <c r="G870" s="24">
        <v>1</v>
      </c>
      <c r="H870" s="25" t="str">
        <f t="shared" si="54"/>
        <v>Pcs.</v>
      </c>
      <c r="I870" s="26">
        <v>899</v>
      </c>
      <c r="J870" s="27">
        <f t="shared" si="55"/>
        <v>899</v>
      </c>
    </row>
    <row r="871" spans="1:10" x14ac:dyDescent="0.3">
      <c r="A871" s="23" t="str">
        <f t="shared" si="52"/>
        <v>01-05-2026</v>
      </c>
      <c r="B871" s="24" t="s">
        <v>35</v>
      </c>
      <c r="C871" s="4">
        <v>8909112964076</v>
      </c>
      <c r="D871" s="24" t="s">
        <v>37</v>
      </c>
      <c r="E871" s="24" t="s">
        <v>418</v>
      </c>
      <c r="F871" s="25" t="str">
        <f t="shared" si="53"/>
        <v>FLYING MACHINE</v>
      </c>
      <c r="G871" s="24">
        <v>1</v>
      </c>
      <c r="H871" s="25" t="str">
        <f t="shared" si="54"/>
        <v>Pcs.</v>
      </c>
      <c r="I871" s="26">
        <v>899</v>
      </c>
      <c r="J871" s="27">
        <f t="shared" si="55"/>
        <v>899</v>
      </c>
    </row>
    <row r="872" spans="1:10" x14ac:dyDescent="0.3">
      <c r="A872" s="23" t="str">
        <f t="shared" si="52"/>
        <v>01-05-2026</v>
      </c>
      <c r="B872" s="24" t="s">
        <v>35</v>
      </c>
      <c r="C872" s="4">
        <v>8909112964144</v>
      </c>
      <c r="D872" s="24" t="s">
        <v>51</v>
      </c>
      <c r="E872" s="24" t="s">
        <v>419</v>
      </c>
      <c r="F872" s="25" t="str">
        <f t="shared" si="53"/>
        <v>FLYING MACHINE</v>
      </c>
      <c r="G872" s="24">
        <v>1</v>
      </c>
      <c r="H872" s="25" t="str">
        <f t="shared" si="54"/>
        <v>Pcs.</v>
      </c>
      <c r="I872" s="26">
        <v>1217.81</v>
      </c>
      <c r="J872" s="27">
        <f t="shared" si="55"/>
        <v>1217.81</v>
      </c>
    </row>
    <row r="873" spans="1:10" x14ac:dyDescent="0.3">
      <c r="A873" s="23" t="str">
        <f t="shared" si="52"/>
        <v>01-05-2026</v>
      </c>
      <c r="B873" s="24" t="s">
        <v>35</v>
      </c>
      <c r="C873" s="4">
        <v>8909112964151</v>
      </c>
      <c r="D873" s="24" t="s">
        <v>46</v>
      </c>
      <c r="E873" s="24" t="s">
        <v>419</v>
      </c>
      <c r="F873" s="25" t="str">
        <f t="shared" si="53"/>
        <v>FLYING MACHINE</v>
      </c>
      <c r="G873" s="24">
        <v>1</v>
      </c>
      <c r="H873" s="25" t="str">
        <f t="shared" si="54"/>
        <v>Pcs.</v>
      </c>
      <c r="I873" s="26">
        <v>1217.81</v>
      </c>
      <c r="J873" s="27">
        <f t="shared" si="55"/>
        <v>1217.81</v>
      </c>
    </row>
    <row r="874" spans="1:10" x14ac:dyDescent="0.3">
      <c r="A874" s="23" t="str">
        <f t="shared" si="52"/>
        <v>01-05-2026</v>
      </c>
      <c r="B874" s="24" t="s">
        <v>35</v>
      </c>
      <c r="C874" s="4">
        <v>8909112964168</v>
      </c>
      <c r="D874" s="24" t="s">
        <v>37</v>
      </c>
      <c r="E874" s="24" t="s">
        <v>419</v>
      </c>
      <c r="F874" s="25" t="str">
        <f t="shared" si="53"/>
        <v>FLYING MACHINE</v>
      </c>
      <c r="G874" s="24">
        <v>1</v>
      </c>
      <c r="H874" s="25" t="str">
        <f t="shared" si="54"/>
        <v>Pcs.</v>
      </c>
      <c r="I874" s="26">
        <v>1217.81</v>
      </c>
      <c r="J874" s="27">
        <f t="shared" si="55"/>
        <v>1217.81</v>
      </c>
    </row>
    <row r="875" spans="1:10" x14ac:dyDescent="0.3">
      <c r="A875" s="23" t="str">
        <f t="shared" si="52"/>
        <v>01-05-2026</v>
      </c>
      <c r="B875" s="24" t="s">
        <v>35</v>
      </c>
      <c r="C875" s="4">
        <v>8909112964175</v>
      </c>
      <c r="D875" s="24" t="s">
        <v>57</v>
      </c>
      <c r="E875" s="24" t="s">
        <v>419</v>
      </c>
      <c r="F875" s="25" t="str">
        <f t="shared" si="53"/>
        <v>FLYING MACHINE</v>
      </c>
      <c r="G875" s="24">
        <v>1</v>
      </c>
      <c r="H875" s="25" t="str">
        <f t="shared" si="54"/>
        <v>Pcs.</v>
      </c>
      <c r="I875" s="26">
        <v>1217.81</v>
      </c>
      <c r="J875" s="27">
        <f t="shared" si="55"/>
        <v>1217.81</v>
      </c>
    </row>
    <row r="876" spans="1:10" x14ac:dyDescent="0.3">
      <c r="A876" s="23" t="str">
        <f t="shared" si="52"/>
        <v>01-05-2026</v>
      </c>
      <c r="B876" s="24" t="s">
        <v>35</v>
      </c>
      <c r="C876" s="4">
        <v>8909112964328</v>
      </c>
      <c r="D876" s="24" t="s">
        <v>51</v>
      </c>
      <c r="E876" s="24" t="s">
        <v>420</v>
      </c>
      <c r="F876" s="25" t="str">
        <f t="shared" si="53"/>
        <v>FLYING MACHINE</v>
      </c>
      <c r="G876" s="24">
        <v>2</v>
      </c>
      <c r="H876" s="25" t="str">
        <f t="shared" si="54"/>
        <v>Pcs.</v>
      </c>
      <c r="I876" s="26">
        <v>999</v>
      </c>
      <c r="J876" s="27">
        <f t="shared" si="55"/>
        <v>1998</v>
      </c>
    </row>
    <row r="877" spans="1:10" x14ac:dyDescent="0.3">
      <c r="A877" s="23" t="str">
        <f t="shared" si="52"/>
        <v>01-05-2026</v>
      </c>
      <c r="B877" s="24" t="s">
        <v>35</v>
      </c>
      <c r="C877" s="4">
        <v>8909112964519</v>
      </c>
      <c r="D877" s="24" t="s">
        <v>46</v>
      </c>
      <c r="E877" s="24" t="s">
        <v>421</v>
      </c>
      <c r="F877" s="25" t="str">
        <f t="shared" si="53"/>
        <v>FLYING MACHINE</v>
      </c>
      <c r="G877" s="24">
        <v>1</v>
      </c>
      <c r="H877" s="25" t="str">
        <f t="shared" si="54"/>
        <v>Pcs.</v>
      </c>
      <c r="I877" s="26">
        <v>999</v>
      </c>
      <c r="J877" s="27">
        <f t="shared" si="55"/>
        <v>999</v>
      </c>
    </row>
    <row r="878" spans="1:10" x14ac:dyDescent="0.3">
      <c r="A878" s="23" t="str">
        <f t="shared" si="52"/>
        <v>01-05-2026</v>
      </c>
      <c r="B878" s="24" t="s">
        <v>35</v>
      </c>
      <c r="C878" s="4">
        <v>8909112964779</v>
      </c>
      <c r="D878" s="24" t="s">
        <v>51</v>
      </c>
      <c r="E878" s="24" t="s">
        <v>422</v>
      </c>
      <c r="F878" s="25" t="str">
        <f t="shared" si="53"/>
        <v>FLYING MACHINE</v>
      </c>
      <c r="G878" s="24">
        <v>2</v>
      </c>
      <c r="H878" s="25" t="str">
        <f t="shared" si="54"/>
        <v>Pcs.</v>
      </c>
      <c r="I878" s="26">
        <v>899</v>
      </c>
      <c r="J878" s="27">
        <f t="shared" si="55"/>
        <v>1798</v>
      </c>
    </row>
    <row r="879" spans="1:10" x14ac:dyDescent="0.3">
      <c r="A879" s="23" t="str">
        <f t="shared" si="52"/>
        <v>01-05-2026</v>
      </c>
      <c r="B879" s="24" t="s">
        <v>35</v>
      </c>
      <c r="C879" s="4">
        <v>8909112964786</v>
      </c>
      <c r="D879" s="24" t="s">
        <v>46</v>
      </c>
      <c r="E879" s="24" t="s">
        <v>422</v>
      </c>
      <c r="F879" s="25" t="str">
        <f t="shared" si="53"/>
        <v>FLYING MACHINE</v>
      </c>
      <c r="G879" s="24">
        <v>2</v>
      </c>
      <c r="H879" s="25" t="str">
        <f t="shared" si="54"/>
        <v>Pcs.</v>
      </c>
      <c r="I879" s="26">
        <v>899</v>
      </c>
      <c r="J879" s="27">
        <f t="shared" si="55"/>
        <v>1798</v>
      </c>
    </row>
    <row r="880" spans="1:10" x14ac:dyDescent="0.3">
      <c r="A880" s="23" t="str">
        <f t="shared" si="52"/>
        <v>01-05-2026</v>
      </c>
      <c r="B880" s="24" t="s">
        <v>35</v>
      </c>
      <c r="C880" s="4">
        <v>8909112964878</v>
      </c>
      <c r="D880" s="24" t="s">
        <v>46</v>
      </c>
      <c r="E880" s="24" t="s">
        <v>423</v>
      </c>
      <c r="F880" s="25" t="str">
        <f t="shared" si="53"/>
        <v>FLYING MACHINE</v>
      </c>
      <c r="G880" s="24">
        <v>1</v>
      </c>
      <c r="H880" s="25" t="str">
        <f t="shared" si="54"/>
        <v>Pcs.</v>
      </c>
      <c r="I880" s="26">
        <v>899</v>
      </c>
      <c r="J880" s="27">
        <f t="shared" si="55"/>
        <v>899</v>
      </c>
    </row>
    <row r="881" spans="1:10" x14ac:dyDescent="0.3">
      <c r="A881" s="23" t="str">
        <f t="shared" si="52"/>
        <v>01-05-2026</v>
      </c>
      <c r="B881" s="24" t="s">
        <v>35</v>
      </c>
      <c r="C881" s="4">
        <v>8909112964977</v>
      </c>
      <c r="D881" s="24" t="s">
        <v>37</v>
      </c>
      <c r="E881" s="24" t="s">
        <v>424</v>
      </c>
      <c r="F881" s="25" t="str">
        <f t="shared" si="53"/>
        <v>FLYING MACHINE</v>
      </c>
      <c r="G881" s="24">
        <v>1</v>
      </c>
      <c r="H881" s="25" t="str">
        <f t="shared" si="54"/>
        <v>Pcs.</v>
      </c>
      <c r="I881" s="26">
        <v>899</v>
      </c>
      <c r="J881" s="27">
        <f t="shared" si="55"/>
        <v>899</v>
      </c>
    </row>
    <row r="882" spans="1:10" x14ac:dyDescent="0.3">
      <c r="A882" s="23" t="str">
        <f t="shared" si="52"/>
        <v>01-05-2026</v>
      </c>
      <c r="B882" s="24" t="s">
        <v>35</v>
      </c>
      <c r="C882" s="4">
        <v>8909112964984</v>
      </c>
      <c r="D882" s="24" t="s">
        <v>57</v>
      </c>
      <c r="E882" s="24" t="s">
        <v>424</v>
      </c>
      <c r="F882" s="25" t="str">
        <f t="shared" si="53"/>
        <v>FLYING MACHINE</v>
      </c>
      <c r="G882" s="24">
        <v>1</v>
      </c>
      <c r="H882" s="25" t="str">
        <f t="shared" si="54"/>
        <v>Pcs.</v>
      </c>
      <c r="I882" s="26">
        <v>899</v>
      </c>
      <c r="J882" s="27">
        <f t="shared" si="55"/>
        <v>899</v>
      </c>
    </row>
    <row r="883" spans="1:10" x14ac:dyDescent="0.3">
      <c r="A883" s="23" t="str">
        <f t="shared" si="52"/>
        <v>01-05-2026</v>
      </c>
      <c r="B883" s="24" t="s">
        <v>35</v>
      </c>
      <c r="C883" s="4">
        <v>8909112965226</v>
      </c>
      <c r="D883" s="24" t="s">
        <v>51</v>
      </c>
      <c r="E883" s="24" t="s">
        <v>425</v>
      </c>
      <c r="F883" s="25" t="str">
        <f t="shared" si="53"/>
        <v>FLYING MACHINE</v>
      </c>
      <c r="G883" s="24">
        <v>1</v>
      </c>
      <c r="H883" s="25" t="str">
        <f t="shared" si="54"/>
        <v>Pcs.</v>
      </c>
      <c r="I883" s="26">
        <v>999</v>
      </c>
      <c r="J883" s="27">
        <f t="shared" si="55"/>
        <v>999</v>
      </c>
    </row>
    <row r="884" spans="1:10" x14ac:dyDescent="0.3">
      <c r="A884" s="23" t="str">
        <f t="shared" si="52"/>
        <v>01-05-2026</v>
      </c>
      <c r="B884" s="24" t="s">
        <v>35</v>
      </c>
      <c r="C884" s="4">
        <v>8909112965318</v>
      </c>
      <c r="D884" s="24" t="s">
        <v>51</v>
      </c>
      <c r="E884" s="24" t="s">
        <v>426</v>
      </c>
      <c r="F884" s="25" t="str">
        <f t="shared" si="53"/>
        <v>FLYING MACHINE</v>
      </c>
      <c r="G884" s="24">
        <v>1</v>
      </c>
      <c r="H884" s="25" t="str">
        <f t="shared" si="54"/>
        <v>Pcs.</v>
      </c>
      <c r="I884" s="26">
        <v>999</v>
      </c>
      <c r="J884" s="27">
        <f t="shared" si="55"/>
        <v>999</v>
      </c>
    </row>
    <row r="885" spans="1:10" x14ac:dyDescent="0.3">
      <c r="A885" s="23" t="str">
        <f t="shared" si="52"/>
        <v>01-05-2026</v>
      </c>
      <c r="B885" s="24" t="s">
        <v>35</v>
      </c>
      <c r="C885" s="4">
        <v>8909112965325</v>
      </c>
      <c r="D885" s="24" t="s">
        <v>46</v>
      </c>
      <c r="E885" s="24" t="s">
        <v>426</v>
      </c>
      <c r="F885" s="25" t="str">
        <f t="shared" si="53"/>
        <v>FLYING MACHINE</v>
      </c>
      <c r="G885" s="24">
        <v>2</v>
      </c>
      <c r="H885" s="25" t="str">
        <f t="shared" si="54"/>
        <v>Pcs.</v>
      </c>
      <c r="I885" s="26">
        <v>999</v>
      </c>
      <c r="J885" s="27">
        <f t="shared" si="55"/>
        <v>1998</v>
      </c>
    </row>
    <row r="886" spans="1:10" x14ac:dyDescent="0.3">
      <c r="A886" s="23" t="str">
        <f t="shared" si="52"/>
        <v>01-05-2026</v>
      </c>
      <c r="B886" s="24" t="s">
        <v>35</v>
      </c>
      <c r="C886" s="4">
        <v>8909112965332</v>
      </c>
      <c r="D886" s="24" t="s">
        <v>37</v>
      </c>
      <c r="E886" s="24" t="s">
        <v>426</v>
      </c>
      <c r="F886" s="25" t="str">
        <f t="shared" si="53"/>
        <v>FLYING MACHINE</v>
      </c>
      <c r="G886" s="24">
        <v>1</v>
      </c>
      <c r="H886" s="25" t="str">
        <f t="shared" si="54"/>
        <v>Pcs.</v>
      </c>
      <c r="I886" s="26">
        <v>999</v>
      </c>
      <c r="J886" s="27">
        <f t="shared" si="55"/>
        <v>999</v>
      </c>
    </row>
    <row r="887" spans="1:10" x14ac:dyDescent="0.3">
      <c r="A887" s="23" t="str">
        <f t="shared" si="52"/>
        <v>01-05-2026</v>
      </c>
      <c r="B887" s="24" t="s">
        <v>35</v>
      </c>
      <c r="C887" s="4">
        <v>8909112965417</v>
      </c>
      <c r="D887" s="24" t="s">
        <v>46</v>
      </c>
      <c r="E887" s="24" t="s">
        <v>427</v>
      </c>
      <c r="F887" s="25" t="str">
        <f t="shared" si="53"/>
        <v>FLYING MACHINE</v>
      </c>
      <c r="G887" s="24">
        <v>2</v>
      </c>
      <c r="H887" s="25" t="str">
        <f t="shared" si="54"/>
        <v>Pcs.</v>
      </c>
      <c r="I887" s="26">
        <v>999</v>
      </c>
      <c r="J887" s="27">
        <f t="shared" si="55"/>
        <v>1998</v>
      </c>
    </row>
    <row r="888" spans="1:10" x14ac:dyDescent="0.3">
      <c r="A888" s="23" t="str">
        <f t="shared" si="52"/>
        <v>01-05-2026</v>
      </c>
      <c r="B888" s="24" t="s">
        <v>35</v>
      </c>
      <c r="C888" s="4">
        <v>8909112965431</v>
      </c>
      <c r="D888" s="24" t="s">
        <v>57</v>
      </c>
      <c r="E888" s="24" t="s">
        <v>427</v>
      </c>
      <c r="F888" s="25" t="str">
        <f t="shared" si="53"/>
        <v>FLYING MACHINE</v>
      </c>
      <c r="G888" s="24">
        <v>1</v>
      </c>
      <c r="H888" s="25" t="str">
        <f t="shared" si="54"/>
        <v>Pcs.</v>
      </c>
      <c r="I888" s="26">
        <v>999</v>
      </c>
      <c r="J888" s="27">
        <f t="shared" si="55"/>
        <v>999</v>
      </c>
    </row>
    <row r="889" spans="1:10" x14ac:dyDescent="0.3">
      <c r="A889" s="23" t="str">
        <f t="shared" si="52"/>
        <v>01-05-2026</v>
      </c>
      <c r="B889" s="24" t="s">
        <v>35</v>
      </c>
      <c r="C889" s="4">
        <v>8909112965585</v>
      </c>
      <c r="D889" s="24" t="s">
        <v>51</v>
      </c>
      <c r="E889" s="24" t="s">
        <v>428</v>
      </c>
      <c r="F889" s="25" t="str">
        <f t="shared" si="53"/>
        <v>FLYING MACHINE</v>
      </c>
      <c r="G889" s="24">
        <v>2</v>
      </c>
      <c r="H889" s="25" t="str">
        <f t="shared" si="54"/>
        <v>Pcs.</v>
      </c>
      <c r="I889" s="26">
        <v>999</v>
      </c>
      <c r="J889" s="27">
        <f t="shared" si="55"/>
        <v>1998</v>
      </c>
    </row>
    <row r="890" spans="1:10" x14ac:dyDescent="0.3">
      <c r="A890" s="23" t="str">
        <f t="shared" si="52"/>
        <v>01-05-2026</v>
      </c>
      <c r="B890" s="24" t="s">
        <v>35</v>
      </c>
      <c r="C890" s="4">
        <v>8909112965592</v>
      </c>
      <c r="D890" s="24" t="s">
        <v>46</v>
      </c>
      <c r="E890" s="24" t="s">
        <v>428</v>
      </c>
      <c r="F890" s="25" t="str">
        <f t="shared" si="53"/>
        <v>FLYING MACHINE</v>
      </c>
      <c r="G890" s="24">
        <v>1</v>
      </c>
      <c r="H890" s="25" t="str">
        <f t="shared" si="54"/>
        <v>Pcs.</v>
      </c>
      <c r="I890" s="26">
        <v>999</v>
      </c>
      <c r="J890" s="27">
        <f t="shared" si="55"/>
        <v>999</v>
      </c>
    </row>
    <row r="891" spans="1:10" x14ac:dyDescent="0.3">
      <c r="A891" s="23" t="str">
        <f t="shared" si="52"/>
        <v>01-05-2026</v>
      </c>
      <c r="B891" s="24" t="s">
        <v>35</v>
      </c>
      <c r="C891" s="4">
        <v>8909112965608</v>
      </c>
      <c r="D891" s="24" t="s">
        <v>37</v>
      </c>
      <c r="E891" s="24" t="s">
        <v>428</v>
      </c>
      <c r="F891" s="25" t="str">
        <f t="shared" si="53"/>
        <v>FLYING MACHINE</v>
      </c>
      <c r="G891" s="24">
        <v>1</v>
      </c>
      <c r="H891" s="25" t="str">
        <f t="shared" si="54"/>
        <v>Pcs.</v>
      </c>
      <c r="I891" s="26">
        <v>999</v>
      </c>
      <c r="J891" s="27">
        <f t="shared" si="55"/>
        <v>999</v>
      </c>
    </row>
    <row r="892" spans="1:10" x14ac:dyDescent="0.3">
      <c r="A892" s="23" t="str">
        <f t="shared" si="52"/>
        <v>01-05-2026</v>
      </c>
      <c r="B892" s="24" t="s">
        <v>35</v>
      </c>
      <c r="C892" s="4">
        <v>8909112965691</v>
      </c>
      <c r="D892" s="24" t="s">
        <v>37</v>
      </c>
      <c r="E892" s="24" t="s">
        <v>429</v>
      </c>
      <c r="F892" s="25" t="str">
        <f t="shared" si="53"/>
        <v>FLYING MACHINE</v>
      </c>
      <c r="G892" s="24">
        <v>1</v>
      </c>
      <c r="H892" s="25" t="str">
        <f t="shared" si="54"/>
        <v>Pcs.</v>
      </c>
      <c r="I892" s="26">
        <v>999</v>
      </c>
      <c r="J892" s="27">
        <f t="shared" si="55"/>
        <v>999</v>
      </c>
    </row>
    <row r="893" spans="1:10" x14ac:dyDescent="0.3">
      <c r="A893" s="23" t="str">
        <f t="shared" si="52"/>
        <v>01-05-2026</v>
      </c>
      <c r="B893" s="24" t="s">
        <v>35</v>
      </c>
      <c r="C893" s="4">
        <v>8909112965769</v>
      </c>
      <c r="D893" s="24" t="s">
        <v>51</v>
      </c>
      <c r="E893" s="24" t="s">
        <v>430</v>
      </c>
      <c r="F893" s="25" t="str">
        <f t="shared" si="53"/>
        <v>FLYING MACHINE</v>
      </c>
      <c r="G893" s="24">
        <v>1</v>
      </c>
      <c r="H893" s="25" t="str">
        <f t="shared" si="54"/>
        <v>Pcs.</v>
      </c>
      <c r="I893" s="26">
        <v>999</v>
      </c>
      <c r="J893" s="27">
        <f t="shared" si="55"/>
        <v>999</v>
      </c>
    </row>
    <row r="894" spans="1:10" x14ac:dyDescent="0.3">
      <c r="A894" s="23" t="str">
        <f t="shared" si="52"/>
        <v>01-05-2026</v>
      </c>
      <c r="B894" s="24" t="s">
        <v>35</v>
      </c>
      <c r="C894" s="4">
        <v>8909112965783</v>
      </c>
      <c r="D894" s="24" t="s">
        <v>37</v>
      </c>
      <c r="E894" s="24" t="s">
        <v>430</v>
      </c>
      <c r="F894" s="25" t="str">
        <f t="shared" si="53"/>
        <v>FLYING MACHINE</v>
      </c>
      <c r="G894" s="24">
        <v>1</v>
      </c>
      <c r="H894" s="25" t="str">
        <f t="shared" si="54"/>
        <v>Pcs.</v>
      </c>
      <c r="I894" s="26">
        <v>999</v>
      </c>
      <c r="J894" s="27">
        <f t="shared" si="55"/>
        <v>999</v>
      </c>
    </row>
    <row r="895" spans="1:10" x14ac:dyDescent="0.3">
      <c r="A895" s="23" t="str">
        <f t="shared" si="52"/>
        <v>01-05-2026</v>
      </c>
      <c r="B895" s="24" t="s">
        <v>35</v>
      </c>
      <c r="C895" s="4">
        <v>8909112965790</v>
      </c>
      <c r="D895" s="24" t="s">
        <v>57</v>
      </c>
      <c r="E895" s="24" t="s">
        <v>430</v>
      </c>
      <c r="F895" s="25" t="str">
        <f t="shared" si="53"/>
        <v>FLYING MACHINE</v>
      </c>
      <c r="G895" s="24">
        <v>1</v>
      </c>
      <c r="H895" s="25" t="str">
        <f t="shared" si="54"/>
        <v>Pcs.</v>
      </c>
      <c r="I895" s="26">
        <v>999</v>
      </c>
      <c r="J895" s="27">
        <f t="shared" si="55"/>
        <v>999</v>
      </c>
    </row>
    <row r="896" spans="1:10" x14ac:dyDescent="0.3">
      <c r="A896" s="23" t="str">
        <f t="shared" si="52"/>
        <v>01-05-2026</v>
      </c>
      <c r="B896" s="24" t="s">
        <v>35</v>
      </c>
      <c r="C896" s="4">
        <v>8909112965868</v>
      </c>
      <c r="D896" s="24" t="s">
        <v>46</v>
      </c>
      <c r="E896" s="24" t="s">
        <v>431</v>
      </c>
      <c r="F896" s="25" t="str">
        <f t="shared" si="53"/>
        <v>FLYING MACHINE</v>
      </c>
      <c r="G896" s="24">
        <v>2</v>
      </c>
      <c r="H896" s="25" t="str">
        <f t="shared" si="54"/>
        <v>Pcs.</v>
      </c>
      <c r="I896" s="26">
        <v>999</v>
      </c>
      <c r="J896" s="27">
        <f t="shared" si="55"/>
        <v>1998</v>
      </c>
    </row>
    <row r="897" spans="1:10" x14ac:dyDescent="0.3">
      <c r="A897" s="23" t="str">
        <f t="shared" si="52"/>
        <v>01-05-2026</v>
      </c>
      <c r="B897" s="24" t="s">
        <v>35</v>
      </c>
      <c r="C897" s="4">
        <v>8909112966124</v>
      </c>
      <c r="D897" s="24" t="s">
        <v>51</v>
      </c>
      <c r="E897" s="24" t="s">
        <v>432</v>
      </c>
      <c r="F897" s="25" t="str">
        <f t="shared" si="53"/>
        <v>FLYING MACHINE</v>
      </c>
      <c r="G897" s="24">
        <v>2</v>
      </c>
      <c r="H897" s="25" t="str">
        <f t="shared" si="54"/>
        <v>Pcs.</v>
      </c>
      <c r="I897" s="26">
        <v>999</v>
      </c>
      <c r="J897" s="27">
        <f t="shared" si="55"/>
        <v>1998</v>
      </c>
    </row>
    <row r="898" spans="1:10" x14ac:dyDescent="0.3">
      <c r="A898" s="23" t="str">
        <f t="shared" si="52"/>
        <v>01-05-2026</v>
      </c>
      <c r="B898" s="24" t="s">
        <v>35</v>
      </c>
      <c r="C898" s="4">
        <v>8909112966131</v>
      </c>
      <c r="D898" s="24" t="s">
        <v>46</v>
      </c>
      <c r="E898" s="24" t="s">
        <v>432</v>
      </c>
      <c r="F898" s="25" t="str">
        <f t="shared" si="53"/>
        <v>FLYING MACHINE</v>
      </c>
      <c r="G898" s="24">
        <v>2</v>
      </c>
      <c r="H898" s="25" t="str">
        <f t="shared" si="54"/>
        <v>Pcs.</v>
      </c>
      <c r="I898" s="26">
        <v>999</v>
      </c>
      <c r="J898" s="27">
        <f t="shared" si="55"/>
        <v>1998</v>
      </c>
    </row>
    <row r="899" spans="1:10" x14ac:dyDescent="0.3">
      <c r="A899" s="23" t="str">
        <f t="shared" si="52"/>
        <v>01-05-2026</v>
      </c>
      <c r="B899" s="24" t="s">
        <v>35</v>
      </c>
      <c r="C899" s="4">
        <v>8909112966148</v>
      </c>
      <c r="D899" s="24" t="s">
        <v>37</v>
      </c>
      <c r="E899" s="24" t="s">
        <v>432</v>
      </c>
      <c r="F899" s="25" t="str">
        <f t="shared" si="53"/>
        <v>FLYING MACHINE</v>
      </c>
      <c r="G899" s="24">
        <v>1</v>
      </c>
      <c r="H899" s="25" t="str">
        <f t="shared" si="54"/>
        <v>Pcs.</v>
      </c>
      <c r="I899" s="26">
        <v>999</v>
      </c>
      <c r="J899" s="27">
        <f t="shared" si="55"/>
        <v>999</v>
      </c>
    </row>
    <row r="900" spans="1:10" x14ac:dyDescent="0.3">
      <c r="A900" s="23" t="str">
        <f t="shared" si="52"/>
        <v>01-05-2026</v>
      </c>
      <c r="B900" s="24" t="s">
        <v>35</v>
      </c>
      <c r="C900" s="4">
        <v>8909112966155</v>
      </c>
      <c r="D900" s="24" t="s">
        <v>57</v>
      </c>
      <c r="E900" s="24" t="s">
        <v>432</v>
      </c>
      <c r="F900" s="25" t="str">
        <f t="shared" si="53"/>
        <v>FLYING MACHINE</v>
      </c>
      <c r="G900" s="24">
        <v>1</v>
      </c>
      <c r="H900" s="25" t="str">
        <f t="shared" si="54"/>
        <v>Pcs.</v>
      </c>
      <c r="I900" s="26">
        <v>999</v>
      </c>
      <c r="J900" s="27">
        <f t="shared" si="55"/>
        <v>999</v>
      </c>
    </row>
    <row r="901" spans="1:10" x14ac:dyDescent="0.3">
      <c r="A901" s="23" t="str">
        <f t="shared" ref="A901:A964" si="56">IF(C901&gt;0,RIGHT($D$3,10)," ")</f>
        <v>01-05-2026</v>
      </c>
      <c r="B901" s="24" t="s">
        <v>35</v>
      </c>
      <c r="C901" s="4">
        <v>8909112966216</v>
      </c>
      <c r="D901" s="24" t="s">
        <v>51</v>
      </c>
      <c r="E901" s="24" t="s">
        <v>433</v>
      </c>
      <c r="F901" s="25" t="str">
        <f t="shared" ref="F901:F964" si="57">IF(C901&gt;0,$C$3," ")</f>
        <v>FLYING MACHINE</v>
      </c>
      <c r="G901" s="24">
        <v>2</v>
      </c>
      <c r="H901" s="25" t="str">
        <f t="shared" ref="H901:H964" si="58">IF(G901&gt;0,"Pcs."," ")</f>
        <v>Pcs.</v>
      </c>
      <c r="I901" s="26">
        <v>1218</v>
      </c>
      <c r="J901" s="27">
        <f t="shared" ref="J901:J964" si="59">IF(I901*G901=0," ",I901*G901)</f>
        <v>2436</v>
      </c>
    </row>
    <row r="902" spans="1:10" x14ac:dyDescent="0.3">
      <c r="A902" s="23" t="str">
        <f t="shared" si="56"/>
        <v>01-05-2026</v>
      </c>
      <c r="B902" s="24" t="s">
        <v>35</v>
      </c>
      <c r="C902" s="4">
        <v>8909112966223</v>
      </c>
      <c r="D902" s="24" t="s">
        <v>46</v>
      </c>
      <c r="E902" s="24" t="s">
        <v>433</v>
      </c>
      <c r="F902" s="25" t="str">
        <f t="shared" si="57"/>
        <v>FLYING MACHINE</v>
      </c>
      <c r="G902" s="24">
        <v>2</v>
      </c>
      <c r="H902" s="25" t="str">
        <f t="shared" si="58"/>
        <v>Pcs.</v>
      </c>
      <c r="I902" s="26">
        <v>1218</v>
      </c>
      <c r="J902" s="27">
        <f t="shared" si="59"/>
        <v>2436</v>
      </c>
    </row>
    <row r="903" spans="1:10" x14ac:dyDescent="0.3">
      <c r="A903" s="23" t="str">
        <f t="shared" si="56"/>
        <v>01-05-2026</v>
      </c>
      <c r="B903" s="24" t="s">
        <v>35</v>
      </c>
      <c r="C903" s="4">
        <v>8909112966230</v>
      </c>
      <c r="D903" s="24" t="s">
        <v>37</v>
      </c>
      <c r="E903" s="24" t="s">
        <v>433</v>
      </c>
      <c r="F903" s="25" t="str">
        <f t="shared" si="57"/>
        <v>FLYING MACHINE</v>
      </c>
      <c r="G903" s="24">
        <v>1</v>
      </c>
      <c r="H903" s="25" t="str">
        <f t="shared" si="58"/>
        <v>Pcs.</v>
      </c>
      <c r="I903" s="26">
        <v>1218</v>
      </c>
      <c r="J903" s="27">
        <f t="shared" si="59"/>
        <v>1218</v>
      </c>
    </row>
    <row r="904" spans="1:10" x14ac:dyDescent="0.3">
      <c r="A904" s="23" t="str">
        <f t="shared" si="56"/>
        <v>01-05-2026</v>
      </c>
      <c r="B904" s="24" t="s">
        <v>35</v>
      </c>
      <c r="C904" s="4">
        <v>8909112966339</v>
      </c>
      <c r="D904" s="24" t="s">
        <v>57</v>
      </c>
      <c r="E904" s="24" t="s">
        <v>434</v>
      </c>
      <c r="F904" s="25" t="str">
        <f t="shared" si="57"/>
        <v>FLYING MACHINE</v>
      </c>
      <c r="G904" s="24">
        <v>1</v>
      </c>
      <c r="H904" s="25" t="str">
        <f t="shared" si="58"/>
        <v>Pcs.</v>
      </c>
      <c r="I904" s="26">
        <v>1218</v>
      </c>
      <c r="J904" s="27">
        <f t="shared" si="59"/>
        <v>1218</v>
      </c>
    </row>
    <row r="905" spans="1:10" x14ac:dyDescent="0.3">
      <c r="A905" s="23" t="str">
        <f t="shared" si="56"/>
        <v>01-05-2026</v>
      </c>
      <c r="B905" s="24" t="s">
        <v>35</v>
      </c>
      <c r="C905" s="4">
        <v>8909112966391</v>
      </c>
      <c r="D905" s="24" t="s">
        <v>51</v>
      </c>
      <c r="E905" s="24" t="s">
        <v>435</v>
      </c>
      <c r="F905" s="25" t="str">
        <f t="shared" si="57"/>
        <v>FLYING MACHINE</v>
      </c>
      <c r="G905" s="24">
        <v>2</v>
      </c>
      <c r="H905" s="25" t="str">
        <f t="shared" si="58"/>
        <v>Pcs.</v>
      </c>
      <c r="I905" s="26">
        <v>1218</v>
      </c>
      <c r="J905" s="27">
        <f t="shared" si="59"/>
        <v>2436</v>
      </c>
    </row>
    <row r="906" spans="1:10" x14ac:dyDescent="0.3">
      <c r="A906" s="23" t="str">
        <f t="shared" si="56"/>
        <v>01-05-2026</v>
      </c>
      <c r="B906" s="24" t="s">
        <v>35</v>
      </c>
      <c r="C906" s="4">
        <v>8909112966407</v>
      </c>
      <c r="D906" s="24" t="s">
        <v>46</v>
      </c>
      <c r="E906" s="24" t="s">
        <v>435</v>
      </c>
      <c r="F906" s="25" t="str">
        <f t="shared" si="57"/>
        <v>FLYING MACHINE</v>
      </c>
      <c r="G906" s="24">
        <v>2</v>
      </c>
      <c r="H906" s="25" t="str">
        <f t="shared" si="58"/>
        <v>Pcs.</v>
      </c>
      <c r="I906" s="26">
        <v>1218</v>
      </c>
      <c r="J906" s="27">
        <f t="shared" si="59"/>
        <v>2436</v>
      </c>
    </row>
    <row r="907" spans="1:10" x14ac:dyDescent="0.3">
      <c r="A907" s="23" t="str">
        <f t="shared" si="56"/>
        <v>01-05-2026</v>
      </c>
      <c r="B907" s="24" t="s">
        <v>35</v>
      </c>
      <c r="C907" s="4">
        <v>8909112966414</v>
      </c>
      <c r="D907" s="24" t="s">
        <v>37</v>
      </c>
      <c r="E907" s="24" t="s">
        <v>435</v>
      </c>
      <c r="F907" s="25" t="str">
        <f t="shared" si="57"/>
        <v>FLYING MACHINE</v>
      </c>
      <c r="G907" s="24">
        <v>1</v>
      </c>
      <c r="H907" s="25" t="str">
        <f t="shared" si="58"/>
        <v>Pcs.</v>
      </c>
      <c r="I907" s="26">
        <v>1218</v>
      </c>
      <c r="J907" s="27">
        <f t="shared" si="59"/>
        <v>1218</v>
      </c>
    </row>
    <row r="908" spans="1:10" x14ac:dyDescent="0.3">
      <c r="A908" s="23" t="str">
        <f t="shared" si="56"/>
        <v>01-05-2026</v>
      </c>
      <c r="B908" s="24" t="s">
        <v>35</v>
      </c>
      <c r="C908" s="4">
        <v>8909112966483</v>
      </c>
      <c r="D908" s="24" t="s">
        <v>51</v>
      </c>
      <c r="E908" s="24" t="s">
        <v>436</v>
      </c>
      <c r="F908" s="25" t="str">
        <f t="shared" si="57"/>
        <v>FLYING MACHINE</v>
      </c>
      <c r="G908" s="24">
        <v>2</v>
      </c>
      <c r="H908" s="25" t="str">
        <f t="shared" si="58"/>
        <v>Pcs.</v>
      </c>
      <c r="I908" s="26">
        <v>1217.81</v>
      </c>
      <c r="J908" s="27">
        <f t="shared" si="59"/>
        <v>2435.62</v>
      </c>
    </row>
    <row r="909" spans="1:10" x14ac:dyDescent="0.3">
      <c r="A909" s="23" t="str">
        <f t="shared" si="56"/>
        <v>01-05-2026</v>
      </c>
      <c r="B909" s="24" t="s">
        <v>35</v>
      </c>
      <c r="C909" s="4">
        <v>8909112967381</v>
      </c>
      <c r="D909" s="24" t="s">
        <v>51</v>
      </c>
      <c r="E909" s="24" t="s">
        <v>437</v>
      </c>
      <c r="F909" s="25" t="str">
        <f t="shared" si="57"/>
        <v>FLYING MACHINE</v>
      </c>
      <c r="G909" s="24">
        <v>2</v>
      </c>
      <c r="H909" s="25" t="str">
        <f t="shared" si="58"/>
        <v>Pcs.</v>
      </c>
      <c r="I909" s="26">
        <v>1405.31</v>
      </c>
      <c r="J909" s="27">
        <f t="shared" si="59"/>
        <v>2810.62</v>
      </c>
    </row>
    <row r="910" spans="1:10" x14ac:dyDescent="0.3">
      <c r="A910" s="23" t="str">
        <f t="shared" si="56"/>
        <v>01-05-2026</v>
      </c>
      <c r="B910" s="24" t="s">
        <v>35</v>
      </c>
      <c r="C910" s="4">
        <v>8909112967565</v>
      </c>
      <c r="D910" s="24" t="s">
        <v>51</v>
      </c>
      <c r="E910" s="24" t="s">
        <v>98</v>
      </c>
      <c r="F910" s="25" t="str">
        <f t="shared" si="57"/>
        <v>FLYING MACHINE</v>
      </c>
      <c r="G910" s="24">
        <v>2</v>
      </c>
      <c r="H910" s="25" t="str">
        <f t="shared" si="58"/>
        <v>Pcs.</v>
      </c>
      <c r="I910" s="26">
        <v>1405.31</v>
      </c>
      <c r="J910" s="27">
        <f t="shared" si="59"/>
        <v>2810.62</v>
      </c>
    </row>
    <row r="911" spans="1:10" x14ac:dyDescent="0.3">
      <c r="A911" s="23" t="str">
        <f t="shared" si="56"/>
        <v>01-05-2026</v>
      </c>
      <c r="B911" s="24" t="s">
        <v>35</v>
      </c>
      <c r="C911" s="4">
        <v>8909112968029</v>
      </c>
      <c r="D911" s="24" t="s">
        <v>46</v>
      </c>
      <c r="E911" s="24" t="s">
        <v>91</v>
      </c>
      <c r="F911" s="25" t="str">
        <f t="shared" si="57"/>
        <v>FLYING MACHINE</v>
      </c>
      <c r="G911" s="24">
        <v>1</v>
      </c>
      <c r="H911" s="25" t="str">
        <f t="shared" si="58"/>
        <v>Pcs.</v>
      </c>
      <c r="I911" s="26">
        <v>1687</v>
      </c>
      <c r="J911" s="27">
        <f t="shared" si="59"/>
        <v>1687</v>
      </c>
    </row>
    <row r="912" spans="1:10" x14ac:dyDescent="0.3">
      <c r="A912" s="23" t="str">
        <f t="shared" si="56"/>
        <v>01-05-2026</v>
      </c>
      <c r="B912" s="24" t="s">
        <v>35</v>
      </c>
      <c r="C912" s="4">
        <v>8909112968104</v>
      </c>
      <c r="D912" s="24" t="s">
        <v>51</v>
      </c>
      <c r="E912" s="24" t="s">
        <v>438</v>
      </c>
      <c r="F912" s="25" t="str">
        <f t="shared" si="57"/>
        <v>FLYING MACHINE</v>
      </c>
      <c r="G912" s="24">
        <v>1</v>
      </c>
      <c r="H912" s="25" t="str">
        <f t="shared" si="58"/>
        <v>Pcs.</v>
      </c>
      <c r="I912" s="26">
        <v>1687</v>
      </c>
      <c r="J912" s="27">
        <f t="shared" si="59"/>
        <v>1687</v>
      </c>
    </row>
    <row r="913" spans="1:10" x14ac:dyDescent="0.3">
      <c r="A913" s="23" t="str">
        <f t="shared" si="56"/>
        <v>01-05-2026</v>
      </c>
      <c r="B913" s="24" t="s">
        <v>35</v>
      </c>
      <c r="C913" s="4">
        <v>8909112968111</v>
      </c>
      <c r="D913" s="24" t="s">
        <v>46</v>
      </c>
      <c r="E913" s="24" t="s">
        <v>438</v>
      </c>
      <c r="F913" s="25" t="str">
        <f t="shared" si="57"/>
        <v>FLYING MACHINE</v>
      </c>
      <c r="G913" s="24">
        <v>1</v>
      </c>
      <c r="H913" s="25" t="str">
        <f t="shared" si="58"/>
        <v>Pcs.</v>
      </c>
      <c r="I913" s="26">
        <v>1687</v>
      </c>
      <c r="J913" s="27">
        <f t="shared" si="59"/>
        <v>1687</v>
      </c>
    </row>
    <row r="914" spans="1:10" x14ac:dyDescent="0.3">
      <c r="A914" s="23" t="str">
        <f t="shared" si="56"/>
        <v>01-05-2026</v>
      </c>
      <c r="B914" s="24" t="s">
        <v>35</v>
      </c>
      <c r="C914" s="4">
        <v>8909112968128</v>
      </c>
      <c r="D914" s="24" t="s">
        <v>37</v>
      </c>
      <c r="E914" s="24" t="s">
        <v>438</v>
      </c>
      <c r="F914" s="25" t="str">
        <f t="shared" si="57"/>
        <v>FLYING MACHINE</v>
      </c>
      <c r="G914" s="24">
        <v>1</v>
      </c>
      <c r="H914" s="25" t="str">
        <f t="shared" si="58"/>
        <v>Pcs.</v>
      </c>
      <c r="I914" s="26">
        <v>1687</v>
      </c>
      <c r="J914" s="27">
        <f t="shared" si="59"/>
        <v>1687</v>
      </c>
    </row>
    <row r="915" spans="1:10" x14ac:dyDescent="0.3">
      <c r="A915" s="23" t="str">
        <f t="shared" si="56"/>
        <v>01-05-2026</v>
      </c>
      <c r="B915" s="24" t="s">
        <v>35</v>
      </c>
      <c r="C915" s="4">
        <v>8909112968371</v>
      </c>
      <c r="D915" s="24" t="s">
        <v>51</v>
      </c>
      <c r="E915" s="24" t="s">
        <v>439</v>
      </c>
      <c r="F915" s="25" t="str">
        <f t="shared" si="57"/>
        <v>FLYING MACHINE</v>
      </c>
      <c r="G915" s="24">
        <v>1</v>
      </c>
      <c r="H915" s="25" t="str">
        <f t="shared" si="58"/>
        <v>Pcs.</v>
      </c>
      <c r="I915" s="26">
        <v>1405.31</v>
      </c>
      <c r="J915" s="27">
        <f t="shared" si="59"/>
        <v>1405.31</v>
      </c>
    </row>
    <row r="916" spans="1:10" x14ac:dyDescent="0.3">
      <c r="A916" s="23" t="str">
        <f t="shared" si="56"/>
        <v>01-05-2026</v>
      </c>
      <c r="B916" s="24" t="s">
        <v>35</v>
      </c>
      <c r="C916" s="4">
        <v>8909112968388</v>
      </c>
      <c r="D916" s="24" t="s">
        <v>46</v>
      </c>
      <c r="E916" s="24" t="s">
        <v>439</v>
      </c>
      <c r="F916" s="25" t="str">
        <f t="shared" si="57"/>
        <v>FLYING MACHINE</v>
      </c>
      <c r="G916" s="24">
        <v>1</v>
      </c>
      <c r="H916" s="25" t="str">
        <f t="shared" si="58"/>
        <v>Pcs.</v>
      </c>
      <c r="I916" s="26">
        <v>1405.31</v>
      </c>
      <c r="J916" s="27">
        <f t="shared" si="59"/>
        <v>1405.31</v>
      </c>
    </row>
    <row r="917" spans="1:10" x14ac:dyDescent="0.3">
      <c r="A917" s="23" t="str">
        <f t="shared" si="56"/>
        <v>01-05-2026</v>
      </c>
      <c r="B917" s="24" t="s">
        <v>35</v>
      </c>
      <c r="C917" s="4">
        <v>8909112968395</v>
      </c>
      <c r="D917" s="24" t="s">
        <v>37</v>
      </c>
      <c r="E917" s="24" t="s">
        <v>439</v>
      </c>
      <c r="F917" s="25" t="str">
        <f t="shared" si="57"/>
        <v>FLYING MACHINE</v>
      </c>
      <c r="G917" s="24">
        <v>1</v>
      </c>
      <c r="H917" s="25" t="str">
        <f t="shared" si="58"/>
        <v>Pcs.</v>
      </c>
      <c r="I917" s="26">
        <v>1405.31</v>
      </c>
      <c r="J917" s="27">
        <f t="shared" si="59"/>
        <v>1405.31</v>
      </c>
    </row>
    <row r="918" spans="1:10" x14ac:dyDescent="0.3">
      <c r="A918" s="23" t="str">
        <f t="shared" si="56"/>
        <v>01-05-2026</v>
      </c>
      <c r="B918" s="24" t="s">
        <v>35</v>
      </c>
      <c r="C918" s="4">
        <v>8909112968401</v>
      </c>
      <c r="D918" s="24" t="s">
        <v>57</v>
      </c>
      <c r="E918" s="24" t="s">
        <v>439</v>
      </c>
      <c r="F918" s="25" t="str">
        <f t="shared" si="57"/>
        <v>FLYING MACHINE</v>
      </c>
      <c r="G918" s="24">
        <v>1</v>
      </c>
      <c r="H918" s="25" t="str">
        <f t="shared" si="58"/>
        <v>Pcs.</v>
      </c>
      <c r="I918" s="26">
        <v>1405.31</v>
      </c>
      <c r="J918" s="27">
        <f t="shared" si="59"/>
        <v>1405.31</v>
      </c>
    </row>
    <row r="919" spans="1:10" x14ac:dyDescent="0.3">
      <c r="A919" s="23" t="str">
        <f t="shared" si="56"/>
        <v>01-05-2026</v>
      </c>
      <c r="B919" s="24" t="s">
        <v>35</v>
      </c>
      <c r="C919" s="4">
        <v>8909112968920</v>
      </c>
      <c r="D919" s="24" t="s">
        <v>46</v>
      </c>
      <c r="E919" s="24" t="s">
        <v>440</v>
      </c>
      <c r="F919" s="25" t="str">
        <f t="shared" si="57"/>
        <v>FLYING MACHINE</v>
      </c>
      <c r="G919" s="24">
        <v>2</v>
      </c>
      <c r="H919" s="25" t="str">
        <f t="shared" si="58"/>
        <v>Pcs.</v>
      </c>
      <c r="I919" s="26">
        <v>1405.31</v>
      </c>
      <c r="J919" s="27">
        <f t="shared" si="59"/>
        <v>2810.62</v>
      </c>
    </row>
    <row r="920" spans="1:10" x14ac:dyDescent="0.3">
      <c r="A920" s="23" t="str">
        <f t="shared" si="56"/>
        <v>01-05-2026</v>
      </c>
      <c r="B920" s="24" t="s">
        <v>35</v>
      </c>
      <c r="C920" s="4">
        <v>8909112968937</v>
      </c>
      <c r="D920" s="24" t="s">
        <v>37</v>
      </c>
      <c r="E920" s="24" t="s">
        <v>440</v>
      </c>
      <c r="F920" s="25" t="str">
        <f t="shared" si="57"/>
        <v>FLYING MACHINE</v>
      </c>
      <c r="G920" s="24">
        <v>1</v>
      </c>
      <c r="H920" s="25" t="str">
        <f t="shared" si="58"/>
        <v>Pcs.</v>
      </c>
      <c r="I920" s="26">
        <v>1405.31</v>
      </c>
      <c r="J920" s="27">
        <f t="shared" si="59"/>
        <v>1405.31</v>
      </c>
    </row>
    <row r="921" spans="1:10" x14ac:dyDescent="0.3">
      <c r="A921" s="23" t="str">
        <f t="shared" si="56"/>
        <v>01-05-2026</v>
      </c>
      <c r="B921" s="24" t="s">
        <v>35</v>
      </c>
      <c r="C921" s="4">
        <v>8909112968944</v>
      </c>
      <c r="D921" s="24" t="s">
        <v>57</v>
      </c>
      <c r="E921" s="24" t="s">
        <v>440</v>
      </c>
      <c r="F921" s="25" t="str">
        <f t="shared" si="57"/>
        <v>FLYING MACHINE</v>
      </c>
      <c r="G921" s="24">
        <v>1</v>
      </c>
      <c r="H921" s="25" t="str">
        <f t="shared" si="58"/>
        <v>Pcs.</v>
      </c>
      <c r="I921" s="26">
        <v>1405.31</v>
      </c>
      <c r="J921" s="27">
        <f t="shared" si="59"/>
        <v>1405.31</v>
      </c>
    </row>
    <row r="922" spans="1:10" x14ac:dyDescent="0.3">
      <c r="A922" s="23" t="str">
        <f t="shared" si="56"/>
        <v>01-05-2026</v>
      </c>
      <c r="B922" s="24" t="s">
        <v>35</v>
      </c>
      <c r="C922" s="4">
        <v>8909112969026</v>
      </c>
      <c r="D922" s="24" t="s">
        <v>37</v>
      </c>
      <c r="E922" s="24" t="s">
        <v>135</v>
      </c>
      <c r="F922" s="25" t="str">
        <f t="shared" si="57"/>
        <v>FLYING MACHINE</v>
      </c>
      <c r="G922" s="24">
        <v>1</v>
      </c>
      <c r="H922" s="25" t="str">
        <f t="shared" si="58"/>
        <v>Pcs.</v>
      </c>
      <c r="I922" s="26">
        <v>1405.31</v>
      </c>
      <c r="J922" s="27">
        <f t="shared" si="59"/>
        <v>1405.31</v>
      </c>
    </row>
    <row r="923" spans="1:10" x14ac:dyDescent="0.3">
      <c r="A923" s="23" t="str">
        <f t="shared" si="56"/>
        <v>01-05-2026</v>
      </c>
      <c r="B923" s="24" t="s">
        <v>35</v>
      </c>
      <c r="C923" s="4">
        <v>8909112969279</v>
      </c>
      <c r="D923" s="24" t="s">
        <v>51</v>
      </c>
      <c r="E923" s="24" t="s">
        <v>441</v>
      </c>
      <c r="F923" s="25" t="str">
        <f t="shared" si="57"/>
        <v>FLYING MACHINE</v>
      </c>
      <c r="G923" s="24">
        <v>1</v>
      </c>
      <c r="H923" s="25" t="str">
        <f t="shared" si="58"/>
        <v>Pcs.</v>
      </c>
      <c r="I923" s="26">
        <v>899</v>
      </c>
      <c r="J923" s="27">
        <f t="shared" si="59"/>
        <v>899</v>
      </c>
    </row>
    <row r="924" spans="1:10" x14ac:dyDescent="0.3">
      <c r="A924" s="23" t="str">
        <f t="shared" si="56"/>
        <v>01-05-2026</v>
      </c>
      <c r="B924" s="24" t="s">
        <v>35</v>
      </c>
      <c r="C924" s="4">
        <v>8909112969309</v>
      </c>
      <c r="D924" s="24" t="s">
        <v>57</v>
      </c>
      <c r="E924" s="24" t="s">
        <v>441</v>
      </c>
      <c r="F924" s="25" t="str">
        <f t="shared" si="57"/>
        <v>FLYING MACHINE</v>
      </c>
      <c r="G924" s="24">
        <v>1</v>
      </c>
      <c r="H924" s="25" t="str">
        <f t="shared" si="58"/>
        <v>Pcs.</v>
      </c>
      <c r="I924" s="26">
        <v>899</v>
      </c>
      <c r="J924" s="27">
        <f t="shared" si="59"/>
        <v>899</v>
      </c>
    </row>
    <row r="925" spans="1:10" x14ac:dyDescent="0.3">
      <c r="A925" s="23" t="str">
        <f t="shared" si="56"/>
        <v>01-05-2026</v>
      </c>
      <c r="B925" s="24" t="s">
        <v>35</v>
      </c>
      <c r="C925" s="4">
        <v>8909112969361</v>
      </c>
      <c r="D925" s="24" t="s">
        <v>51</v>
      </c>
      <c r="E925" s="24" t="s">
        <v>442</v>
      </c>
      <c r="F925" s="25" t="str">
        <f t="shared" si="57"/>
        <v>FLYING MACHINE</v>
      </c>
      <c r="G925" s="24">
        <v>1</v>
      </c>
      <c r="H925" s="25" t="str">
        <f t="shared" si="58"/>
        <v>Pcs.</v>
      </c>
      <c r="I925" s="26">
        <v>899</v>
      </c>
      <c r="J925" s="27">
        <f t="shared" si="59"/>
        <v>899</v>
      </c>
    </row>
    <row r="926" spans="1:10" x14ac:dyDescent="0.3">
      <c r="A926" s="23" t="str">
        <f t="shared" si="56"/>
        <v>01-05-2026</v>
      </c>
      <c r="B926" s="24" t="s">
        <v>35</v>
      </c>
      <c r="C926" s="4">
        <v>8909112969378</v>
      </c>
      <c r="D926" s="24" t="s">
        <v>46</v>
      </c>
      <c r="E926" s="24" t="s">
        <v>442</v>
      </c>
      <c r="F926" s="25" t="str">
        <f t="shared" si="57"/>
        <v>FLYING MACHINE</v>
      </c>
      <c r="G926" s="24">
        <v>1</v>
      </c>
      <c r="H926" s="25" t="str">
        <f t="shared" si="58"/>
        <v>Pcs.</v>
      </c>
      <c r="I926" s="26">
        <v>899</v>
      </c>
      <c r="J926" s="27">
        <f t="shared" si="59"/>
        <v>899</v>
      </c>
    </row>
    <row r="927" spans="1:10" x14ac:dyDescent="0.3">
      <c r="A927" s="23" t="str">
        <f t="shared" si="56"/>
        <v>01-05-2026</v>
      </c>
      <c r="B927" s="24" t="s">
        <v>35</v>
      </c>
      <c r="C927" s="4">
        <v>8909112969453</v>
      </c>
      <c r="D927" s="24" t="s">
        <v>51</v>
      </c>
      <c r="E927" s="24" t="s">
        <v>443</v>
      </c>
      <c r="F927" s="25" t="str">
        <f t="shared" si="57"/>
        <v>FLYING MACHINE</v>
      </c>
      <c r="G927" s="24">
        <v>1</v>
      </c>
      <c r="H927" s="25" t="str">
        <f t="shared" si="58"/>
        <v>Pcs.</v>
      </c>
      <c r="I927" s="26">
        <v>899</v>
      </c>
      <c r="J927" s="27">
        <f t="shared" si="59"/>
        <v>899</v>
      </c>
    </row>
    <row r="928" spans="1:10" x14ac:dyDescent="0.3">
      <c r="A928" s="23" t="str">
        <f t="shared" si="56"/>
        <v>01-05-2026</v>
      </c>
      <c r="B928" s="24" t="s">
        <v>35</v>
      </c>
      <c r="C928" s="4">
        <v>8909112969460</v>
      </c>
      <c r="D928" s="24" t="s">
        <v>46</v>
      </c>
      <c r="E928" s="24" t="s">
        <v>443</v>
      </c>
      <c r="F928" s="25" t="str">
        <f t="shared" si="57"/>
        <v>FLYING MACHINE</v>
      </c>
      <c r="G928" s="24">
        <v>1</v>
      </c>
      <c r="H928" s="25" t="str">
        <f t="shared" si="58"/>
        <v>Pcs.</v>
      </c>
      <c r="I928" s="26">
        <v>899</v>
      </c>
      <c r="J928" s="27">
        <f t="shared" si="59"/>
        <v>899</v>
      </c>
    </row>
    <row r="929" spans="1:10" x14ac:dyDescent="0.3">
      <c r="A929" s="23" t="str">
        <f t="shared" si="56"/>
        <v>01-05-2026</v>
      </c>
      <c r="B929" s="24" t="s">
        <v>35</v>
      </c>
      <c r="C929" s="4">
        <v>8909112969477</v>
      </c>
      <c r="D929" s="24" t="s">
        <v>37</v>
      </c>
      <c r="E929" s="24" t="s">
        <v>443</v>
      </c>
      <c r="F929" s="25" t="str">
        <f t="shared" si="57"/>
        <v>FLYING MACHINE</v>
      </c>
      <c r="G929" s="24">
        <v>1</v>
      </c>
      <c r="H929" s="25" t="str">
        <f t="shared" si="58"/>
        <v>Pcs.</v>
      </c>
      <c r="I929" s="26">
        <v>899</v>
      </c>
      <c r="J929" s="27">
        <f t="shared" si="59"/>
        <v>899</v>
      </c>
    </row>
    <row r="930" spans="1:10" x14ac:dyDescent="0.3">
      <c r="A930" s="23" t="str">
        <f t="shared" si="56"/>
        <v>01-05-2026</v>
      </c>
      <c r="B930" s="24" t="s">
        <v>35</v>
      </c>
      <c r="C930" s="4">
        <v>8909112969484</v>
      </c>
      <c r="D930" s="24" t="s">
        <v>57</v>
      </c>
      <c r="E930" s="24" t="s">
        <v>443</v>
      </c>
      <c r="F930" s="25" t="str">
        <f t="shared" si="57"/>
        <v>FLYING MACHINE</v>
      </c>
      <c r="G930" s="24">
        <v>1</v>
      </c>
      <c r="H930" s="25" t="str">
        <f t="shared" si="58"/>
        <v>Pcs.</v>
      </c>
      <c r="I930" s="26">
        <v>899</v>
      </c>
      <c r="J930" s="27">
        <f t="shared" si="59"/>
        <v>899</v>
      </c>
    </row>
    <row r="931" spans="1:10" x14ac:dyDescent="0.3">
      <c r="A931" s="23" t="str">
        <f t="shared" si="56"/>
        <v>01-05-2026</v>
      </c>
      <c r="B931" s="24" t="s">
        <v>35</v>
      </c>
      <c r="C931" s="4">
        <v>8909112969552</v>
      </c>
      <c r="D931" s="24" t="s">
        <v>46</v>
      </c>
      <c r="E931" s="24" t="s">
        <v>444</v>
      </c>
      <c r="F931" s="25" t="str">
        <f t="shared" si="57"/>
        <v>FLYING MACHINE</v>
      </c>
      <c r="G931" s="24">
        <v>2</v>
      </c>
      <c r="H931" s="25" t="str">
        <f t="shared" si="58"/>
        <v>Pcs.</v>
      </c>
      <c r="I931" s="26">
        <v>999</v>
      </c>
      <c r="J931" s="27">
        <f t="shared" si="59"/>
        <v>1998</v>
      </c>
    </row>
    <row r="932" spans="1:10" x14ac:dyDescent="0.3">
      <c r="A932" s="23" t="str">
        <f t="shared" si="56"/>
        <v>01-05-2026</v>
      </c>
      <c r="B932" s="24" t="s">
        <v>35</v>
      </c>
      <c r="C932" s="4">
        <v>8909112969644</v>
      </c>
      <c r="D932" s="24" t="s">
        <v>46</v>
      </c>
      <c r="E932" s="24" t="s">
        <v>445</v>
      </c>
      <c r="F932" s="25" t="str">
        <f t="shared" si="57"/>
        <v>FLYING MACHINE</v>
      </c>
      <c r="G932" s="24">
        <v>1</v>
      </c>
      <c r="H932" s="25" t="str">
        <f t="shared" si="58"/>
        <v>Pcs.</v>
      </c>
      <c r="I932" s="26">
        <v>999</v>
      </c>
      <c r="J932" s="27">
        <f t="shared" si="59"/>
        <v>999</v>
      </c>
    </row>
    <row r="933" spans="1:10" x14ac:dyDescent="0.3">
      <c r="A933" s="23" t="str">
        <f t="shared" si="56"/>
        <v>01-05-2026</v>
      </c>
      <c r="B933" s="24" t="s">
        <v>35</v>
      </c>
      <c r="C933" s="4">
        <v>8909112969651</v>
      </c>
      <c r="D933" s="24" t="s">
        <v>37</v>
      </c>
      <c r="E933" s="24" t="s">
        <v>445</v>
      </c>
      <c r="F933" s="25" t="str">
        <f t="shared" si="57"/>
        <v>FLYING MACHINE</v>
      </c>
      <c r="G933" s="24">
        <v>1</v>
      </c>
      <c r="H933" s="25" t="str">
        <f t="shared" si="58"/>
        <v>Pcs.</v>
      </c>
      <c r="I933" s="26">
        <v>999</v>
      </c>
      <c r="J933" s="27">
        <f t="shared" si="59"/>
        <v>999</v>
      </c>
    </row>
    <row r="934" spans="1:10" x14ac:dyDescent="0.3">
      <c r="A934" s="23" t="str">
        <f t="shared" si="56"/>
        <v>01-05-2026</v>
      </c>
      <c r="B934" s="24" t="s">
        <v>35</v>
      </c>
      <c r="C934" s="4">
        <v>8909112969668</v>
      </c>
      <c r="D934" s="24" t="s">
        <v>57</v>
      </c>
      <c r="E934" s="24" t="s">
        <v>445</v>
      </c>
      <c r="F934" s="25" t="str">
        <f t="shared" si="57"/>
        <v>FLYING MACHINE</v>
      </c>
      <c r="G934" s="24">
        <v>1</v>
      </c>
      <c r="H934" s="25" t="str">
        <f t="shared" si="58"/>
        <v>Pcs.</v>
      </c>
      <c r="I934" s="26">
        <v>999</v>
      </c>
      <c r="J934" s="27">
        <f t="shared" si="59"/>
        <v>999</v>
      </c>
    </row>
    <row r="935" spans="1:10" x14ac:dyDescent="0.3">
      <c r="A935" s="23" t="str">
        <f t="shared" si="56"/>
        <v>01-05-2026</v>
      </c>
      <c r="B935" s="24" t="s">
        <v>35</v>
      </c>
      <c r="C935" s="4">
        <v>8909112969811</v>
      </c>
      <c r="D935" s="24" t="s">
        <v>51</v>
      </c>
      <c r="E935" s="24" t="s">
        <v>446</v>
      </c>
      <c r="F935" s="25" t="str">
        <f t="shared" si="57"/>
        <v>FLYING MACHINE</v>
      </c>
      <c r="G935" s="24">
        <v>2</v>
      </c>
      <c r="H935" s="25" t="str">
        <f t="shared" si="58"/>
        <v>Pcs.</v>
      </c>
      <c r="I935" s="26">
        <v>999</v>
      </c>
      <c r="J935" s="27">
        <f t="shared" si="59"/>
        <v>1998</v>
      </c>
    </row>
    <row r="936" spans="1:10" x14ac:dyDescent="0.3">
      <c r="A936" s="23" t="str">
        <f t="shared" si="56"/>
        <v>01-05-2026</v>
      </c>
      <c r="B936" s="24" t="s">
        <v>35</v>
      </c>
      <c r="C936" s="4">
        <v>8909112969828</v>
      </c>
      <c r="D936" s="24" t="s">
        <v>46</v>
      </c>
      <c r="E936" s="24" t="s">
        <v>446</v>
      </c>
      <c r="F936" s="25" t="str">
        <f t="shared" si="57"/>
        <v>FLYING MACHINE</v>
      </c>
      <c r="G936" s="24">
        <v>2</v>
      </c>
      <c r="H936" s="25" t="str">
        <f t="shared" si="58"/>
        <v>Pcs.</v>
      </c>
      <c r="I936" s="26">
        <v>999</v>
      </c>
      <c r="J936" s="27">
        <f t="shared" si="59"/>
        <v>1998</v>
      </c>
    </row>
    <row r="937" spans="1:10" x14ac:dyDescent="0.3">
      <c r="A937" s="23" t="str">
        <f t="shared" si="56"/>
        <v>01-05-2026</v>
      </c>
      <c r="B937" s="24" t="s">
        <v>35</v>
      </c>
      <c r="C937" s="4">
        <v>8909112969835</v>
      </c>
      <c r="D937" s="24" t="s">
        <v>37</v>
      </c>
      <c r="E937" s="24" t="s">
        <v>446</v>
      </c>
      <c r="F937" s="25" t="str">
        <f t="shared" si="57"/>
        <v>FLYING MACHINE</v>
      </c>
      <c r="G937" s="24">
        <v>1</v>
      </c>
      <c r="H937" s="25" t="str">
        <f t="shared" si="58"/>
        <v>Pcs.</v>
      </c>
      <c r="I937" s="26">
        <v>999</v>
      </c>
      <c r="J937" s="27">
        <f t="shared" si="59"/>
        <v>999</v>
      </c>
    </row>
    <row r="938" spans="1:10" x14ac:dyDescent="0.3">
      <c r="A938" s="23" t="str">
        <f t="shared" si="56"/>
        <v>01-05-2026</v>
      </c>
      <c r="B938" s="24" t="s">
        <v>35</v>
      </c>
      <c r="C938" s="4">
        <v>8909112969842</v>
      </c>
      <c r="D938" s="24" t="s">
        <v>57</v>
      </c>
      <c r="E938" s="24" t="s">
        <v>446</v>
      </c>
      <c r="F938" s="25" t="str">
        <f t="shared" si="57"/>
        <v>FLYING MACHINE</v>
      </c>
      <c r="G938" s="24">
        <v>1</v>
      </c>
      <c r="H938" s="25" t="str">
        <f t="shared" si="58"/>
        <v>Pcs.</v>
      </c>
      <c r="I938" s="26">
        <v>999</v>
      </c>
      <c r="J938" s="27">
        <f t="shared" si="59"/>
        <v>999</v>
      </c>
    </row>
    <row r="939" spans="1:10" x14ac:dyDescent="0.3">
      <c r="A939" s="23" t="str">
        <f t="shared" si="56"/>
        <v>01-05-2026</v>
      </c>
      <c r="B939" s="24" t="s">
        <v>35</v>
      </c>
      <c r="C939" s="4">
        <v>8909112970022</v>
      </c>
      <c r="D939" s="24" t="s">
        <v>57</v>
      </c>
      <c r="E939" s="24" t="s">
        <v>40</v>
      </c>
      <c r="F939" s="25" t="str">
        <f t="shared" si="57"/>
        <v>FLYING MACHINE</v>
      </c>
      <c r="G939" s="24">
        <v>1</v>
      </c>
      <c r="H939" s="25" t="str">
        <f t="shared" si="58"/>
        <v>Pcs.</v>
      </c>
      <c r="I939" s="26">
        <v>1499.06</v>
      </c>
      <c r="J939" s="27">
        <f t="shared" si="59"/>
        <v>1499.06</v>
      </c>
    </row>
    <row r="940" spans="1:10" x14ac:dyDescent="0.3">
      <c r="A940" s="23" t="str">
        <f t="shared" si="56"/>
        <v>01-05-2026</v>
      </c>
      <c r="B940" s="24" t="s">
        <v>35</v>
      </c>
      <c r="C940" s="4">
        <v>8909112970084</v>
      </c>
      <c r="D940" s="24" t="s">
        <v>51</v>
      </c>
      <c r="E940" s="24" t="s">
        <v>447</v>
      </c>
      <c r="F940" s="25" t="str">
        <f t="shared" si="57"/>
        <v>FLYING MACHINE</v>
      </c>
      <c r="G940" s="24">
        <v>1</v>
      </c>
      <c r="H940" s="25" t="str">
        <f t="shared" si="58"/>
        <v>Pcs.</v>
      </c>
      <c r="I940" s="26">
        <v>1499.06</v>
      </c>
      <c r="J940" s="27">
        <f t="shared" si="59"/>
        <v>1499.06</v>
      </c>
    </row>
    <row r="941" spans="1:10" x14ac:dyDescent="0.3">
      <c r="A941" s="23" t="str">
        <f t="shared" si="56"/>
        <v>01-05-2026</v>
      </c>
      <c r="B941" s="24" t="s">
        <v>35</v>
      </c>
      <c r="C941" s="4">
        <v>8909112970114</v>
      </c>
      <c r="D941" s="24" t="s">
        <v>57</v>
      </c>
      <c r="E941" s="24" t="s">
        <v>447</v>
      </c>
      <c r="F941" s="25" t="str">
        <f t="shared" si="57"/>
        <v>FLYING MACHINE</v>
      </c>
      <c r="G941" s="24">
        <v>1</v>
      </c>
      <c r="H941" s="25" t="str">
        <f t="shared" si="58"/>
        <v>Pcs.</v>
      </c>
      <c r="I941" s="26">
        <v>1499.06</v>
      </c>
      <c r="J941" s="27">
        <f t="shared" si="59"/>
        <v>1499.06</v>
      </c>
    </row>
    <row r="942" spans="1:10" x14ac:dyDescent="0.3">
      <c r="A942" s="23" t="str">
        <f t="shared" si="56"/>
        <v>01-05-2026</v>
      </c>
      <c r="B942" s="24" t="s">
        <v>35</v>
      </c>
      <c r="C942" s="4">
        <v>8909112970138</v>
      </c>
      <c r="D942" s="24" t="s">
        <v>39</v>
      </c>
      <c r="E942" s="24" t="s">
        <v>447</v>
      </c>
      <c r="F942" s="25" t="str">
        <f t="shared" si="57"/>
        <v>FLYING MACHINE</v>
      </c>
      <c r="G942" s="24">
        <v>1</v>
      </c>
      <c r="H942" s="25" t="str">
        <f t="shared" si="58"/>
        <v>Pcs.</v>
      </c>
      <c r="I942" s="26">
        <v>1499.06</v>
      </c>
      <c r="J942" s="27">
        <f t="shared" si="59"/>
        <v>1499.06</v>
      </c>
    </row>
    <row r="943" spans="1:10" x14ac:dyDescent="0.3">
      <c r="A943" s="23" t="str">
        <f t="shared" si="56"/>
        <v>01-05-2026</v>
      </c>
      <c r="B943" s="24" t="s">
        <v>35</v>
      </c>
      <c r="C943" s="4">
        <v>8909112970176</v>
      </c>
      <c r="D943" s="24" t="s">
        <v>51</v>
      </c>
      <c r="E943" s="24" t="s">
        <v>448</v>
      </c>
      <c r="F943" s="25" t="str">
        <f t="shared" si="57"/>
        <v>FLYING MACHINE</v>
      </c>
      <c r="G943" s="24">
        <v>2</v>
      </c>
      <c r="H943" s="25" t="str">
        <f t="shared" si="58"/>
        <v>Pcs.</v>
      </c>
      <c r="I943" s="26">
        <v>1687</v>
      </c>
      <c r="J943" s="27">
        <f t="shared" si="59"/>
        <v>3374</v>
      </c>
    </row>
    <row r="944" spans="1:10" x14ac:dyDescent="0.3">
      <c r="A944" s="23" t="str">
        <f t="shared" si="56"/>
        <v>01-05-2026</v>
      </c>
      <c r="B944" s="24" t="s">
        <v>35</v>
      </c>
      <c r="C944" s="4">
        <v>8909112970183</v>
      </c>
      <c r="D944" s="24" t="s">
        <v>46</v>
      </c>
      <c r="E944" s="24" t="s">
        <v>448</v>
      </c>
      <c r="F944" s="25" t="str">
        <f t="shared" si="57"/>
        <v>FLYING MACHINE</v>
      </c>
      <c r="G944" s="24">
        <v>2</v>
      </c>
      <c r="H944" s="25" t="str">
        <f t="shared" si="58"/>
        <v>Pcs.</v>
      </c>
      <c r="I944" s="26">
        <v>1686.56</v>
      </c>
      <c r="J944" s="27">
        <f t="shared" si="59"/>
        <v>3373.12</v>
      </c>
    </row>
    <row r="945" spans="1:10" x14ac:dyDescent="0.3">
      <c r="A945" s="23" t="str">
        <f t="shared" si="56"/>
        <v>01-05-2026</v>
      </c>
      <c r="B945" s="24" t="s">
        <v>35</v>
      </c>
      <c r="C945" s="4">
        <v>8909112970190</v>
      </c>
      <c r="D945" s="24" t="s">
        <v>37</v>
      </c>
      <c r="E945" s="24" t="s">
        <v>448</v>
      </c>
      <c r="F945" s="25" t="str">
        <f t="shared" si="57"/>
        <v>FLYING MACHINE</v>
      </c>
      <c r="G945" s="24">
        <v>1</v>
      </c>
      <c r="H945" s="25" t="str">
        <f t="shared" si="58"/>
        <v>Pcs.</v>
      </c>
      <c r="I945" s="26">
        <v>1686.56</v>
      </c>
      <c r="J945" s="27">
        <f t="shared" si="59"/>
        <v>1686.56</v>
      </c>
    </row>
    <row r="946" spans="1:10" x14ac:dyDescent="0.3">
      <c r="A946" s="23" t="str">
        <f t="shared" si="56"/>
        <v>01-05-2026</v>
      </c>
      <c r="B946" s="24" t="s">
        <v>35</v>
      </c>
      <c r="C946" s="4">
        <v>8909112970589</v>
      </c>
      <c r="D946" s="24" t="s">
        <v>39</v>
      </c>
      <c r="E946" s="24" t="s">
        <v>449</v>
      </c>
      <c r="F946" s="25" t="str">
        <f t="shared" si="57"/>
        <v>FLYING MACHINE</v>
      </c>
      <c r="G946" s="24">
        <v>1</v>
      </c>
      <c r="H946" s="25" t="str">
        <f t="shared" si="58"/>
        <v>Pcs.</v>
      </c>
      <c r="I946" s="26">
        <v>1405.31</v>
      </c>
      <c r="J946" s="27">
        <f t="shared" si="59"/>
        <v>1405.31</v>
      </c>
    </row>
    <row r="947" spans="1:10" x14ac:dyDescent="0.3">
      <c r="A947" s="23" t="str">
        <f t="shared" si="56"/>
        <v>01-05-2026</v>
      </c>
      <c r="B947" s="24" t="s">
        <v>35</v>
      </c>
      <c r="C947" s="4">
        <v>8909112970626</v>
      </c>
      <c r="D947" s="24" t="s">
        <v>51</v>
      </c>
      <c r="E947" s="24" t="s">
        <v>450</v>
      </c>
      <c r="F947" s="25" t="str">
        <f t="shared" si="57"/>
        <v>FLYING MACHINE</v>
      </c>
      <c r="G947" s="24">
        <v>1</v>
      </c>
      <c r="H947" s="25" t="str">
        <f t="shared" si="58"/>
        <v>Pcs.</v>
      </c>
      <c r="I947" s="26">
        <v>1405.31</v>
      </c>
      <c r="J947" s="27">
        <f t="shared" si="59"/>
        <v>1405.31</v>
      </c>
    </row>
    <row r="948" spans="1:10" x14ac:dyDescent="0.3">
      <c r="A948" s="23" t="str">
        <f t="shared" si="56"/>
        <v>01-05-2026</v>
      </c>
      <c r="B948" s="24" t="s">
        <v>35</v>
      </c>
      <c r="C948" s="4">
        <v>8909112970800</v>
      </c>
      <c r="D948" s="24" t="s">
        <v>51</v>
      </c>
      <c r="E948" s="24" t="s">
        <v>451</v>
      </c>
      <c r="F948" s="25" t="str">
        <f t="shared" si="57"/>
        <v>FLYING MACHINE</v>
      </c>
      <c r="G948" s="24">
        <v>1</v>
      </c>
      <c r="H948" s="25" t="str">
        <f t="shared" si="58"/>
        <v>Pcs.</v>
      </c>
      <c r="I948" s="26">
        <v>1218</v>
      </c>
      <c r="J948" s="27">
        <f t="shared" si="59"/>
        <v>1218</v>
      </c>
    </row>
    <row r="949" spans="1:10" x14ac:dyDescent="0.3">
      <c r="A949" s="23" t="str">
        <f t="shared" si="56"/>
        <v>01-05-2026</v>
      </c>
      <c r="B949" s="24" t="s">
        <v>35</v>
      </c>
      <c r="C949" s="4">
        <v>8909112970985</v>
      </c>
      <c r="D949" s="24" t="s">
        <v>51</v>
      </c>
      <c r="E949" s="24" t="s">
        <v>452</v>
      </c>
      <c r="F949" s="25" t="str">
        <f t="shared" si="57"/>
        <v>FLYING MACHINE</v>
      </c>
      <c r="G949" s="24">
        <v>1</v>
      </c>
      <c r="H949" s="25" t="str">
        <f t="shared" si="58"/>
        <v>Pcs.</v>
      </c>
      <c r="I949" s="26">
        <v>1218</v>
      </c>
      <c r="J949" s="27">
        <f t="shared" si="59"/>
        <v>1218</v>
      </c>
    </row>
    <row r="950" spans="1:10" x14ac:dyDescent="0.3">
      <c r="A950" s="23" t="str">
        <f t="shared" si="56"/>
        <v>01-05-2026</v>
      </c>
      <c r="B950" s="24" t="s">
        <v>35</v>
      </c>
      <c r="C950" s="4">
        <v>8909112970992</v>
      </c>
      <c r="D950" s="24" t="s">
        <v>46</v>
      </c>
      <c r="E950" s="24" t="s">
        <v>452</v>
      </c>
      <c r="F950" s="25" t="str">
        <f t="shared" si="57"/>
        <v>FLYING MACHINE</v>
      </c>
      <c r="G950" s="24">
        <v>1</v>
      </c>
      <c r="H950" s="25" t="str">
        <f t="shared" si="58"/>
        <v>Pcs.</v>
      </c>
      <c r="I950" s="26">
        <v>1218</v>
      </c>
      <c r="J950" s="27">
        <f t="shared" si="59"/>
        <v>1218</v>
      </c>
    </row>
    <row r="951" spans="1:10" x14ac:dyDescent="0.3">
      <c r="A951" s="23" t="str">
        <f t="shared" si="56"/>
        <v>01-05-2026</v>
      </c>
      <c r="B951" s="24" t="s">
        <v>35</v>
      </c>
      <c r="C951" s="4">
        <v>8909112971005</v>
      </c>
      <c r="D951" s="24" t="s">
        <v>37</v>
      </c>
      <c r="E951" s="24" t="s">
        <v>452</v>
      </c>
      <c r="F951" s="25" t="str">
        <f t="shared" si="57"/>
        <v>FLYING MACHINE</v>
      </c>
      <c r="G951" s="24">
        <v>1</v>
      </c>
      <c r="H951" s="25" t="str">
        <f t="shared" si="58"/>
        <v>Pcs.</v>
      </c>
      <c r="I951" s="26">
        <v>1218</v>
      </c>
      <c r="J951" s="27">
        <f t="shared" si="59"/>
        <v>1218</v>
      </c>
    </row>
    <row r="952" spans="1:10" x14ac:dyDescent="0.3">
      <c r="A952" s="23" t="str">
        <f t="shared" si="56"/>
        <v>01-05-2026</v>
      </c>
      <c r="B952" s="24" t="s">
        <v>35</v>
      </c>
      <c r="C952" s="4">
        <v>8909112971036</v>
      </c>
      <c r="D952" s="24" t="s">
        <v>39</v>
      </c>
      <c r="E952" s="24" t="s">
        <v>452</v>
      </c>
      <c r="F952" s="25" t="str">
        <f t="shared" si="57"/>
        <v>FLYING MACHINE</v>
      </c>
      <c r="G952" s="24">
        <v>1</v>
      </c>
      <c r="H952" s="25" t="str">
        <f t="shared" si="58"/>
        <v>Pcs.</v>
      </c>
      <c r="I952" s="26">
        <v>1218</v>
      </c>
      <c r="J952" s="27">
        <f t="shared" si="59"/>
        <v>1218</v>
      </c>
    </row>
    <row r="953" spans="1:10" x14ac:dyDescent="0.3">
      <c r="A953" s="23" t="str">
        <f t="shared" si="56"/>
        <v>01-05-2026</v>
      </c>
      <c r="B953" s="24" t="s">
        <v>35</v>
      </c>
      <c r="C953" s="4">
        <v>8909112971081</v>
      </c>
      <c r="D953" s="24" t="s">
        <v>46</v>
      </c>
      <c r="E953" s="24" t="s">
        <v>42</v>
      </c>
      <c r="F953" s="25" t="str">
        <f t="shared" si="57"/>
        <v>FLYING MACHINE</v>
      </c>
      <c r="G953" s="24">
        <v>1</v>
      </c>
      <c r="H953" s="25" t="str">
        <f t="shared" si="58"/>
        <v>Pcs.</v>
      </c>
      <c r="I953" s="26">
        <v>1218</v>
      </c>
      <c r="J953" s="27">
        <f t="shared" si="59"/>
        <v>1218</v>
      </c>
    </row>
    <row r="954" spans="1:10" x14ac:dyDescent="0.3">
      <c r="A954" s="23" t="str">
        <f t="shared" si="56"/>
        <v>01-05-2026</v>
      </c>
      <c r="B954" s="24" t="s">
        <v>35</v>
      </c>
      <c r="C954" s="4">
        <v>8909112971104</v>
      </c>
      <c r="D954" s="24" t="s">
        <v>57</v>
      </c>
      <c r="E954" s="24" t="s">
        <v>42</v>
      </c>
      <c r="F954" s="25" t="str">
        <f t="shared" si="57"/>
        <v>FLYING MACHINE</v>
      </c>
      <c r="G954" s="24">
        <v>1</v>
      </c>
      <c r="H954" s="25" t="str">
        <f t="shared" si="58"/>
        <v>Pcs.</v>
      </c>
      <c r="I954" s="26">
        <v>1218</v>
      </c>
      <c r="J954" s="27">
        <f t="shared" si="59"/>
        <v>1218</v>
      </c>
    </row>
    <row r="955" spans="1:10" x14ac:dyDescent="0.3">
      <c r="A955" s="23" t="str">
        <f t="shared" si="56"/>
        <v>01-05-2026</v>
      </c>
      <c r="B955" s="24" t="s">
        <v>35</v>
      </c>
      <c r="C955" s="4">
        <v>8909112971166</v>
      </c>
      <c r="D955" s="24" t="s">
        <v>51</v>
      </c>
      <c r="E955" s="24" t="s">
        <v>453</v>
      </c>
      <c r="F955" s="25" t="str">
        <f t="shared" si="57"/>
        <v>FLYING MACHINE</v>
      </c>
      <c r="G955" s="24">
        <v>1</v>
      </c>
      <c r="H955" s="25" t="str">
        <f t="shared" si="58"/>
        <v>Pcs.</v>
      </c>
      <c r="I955" s="26">
        <v>1218</v>
      </c>
      <c r="J955" s="27">
        <f t="shared" si="59"/>
        <v>1218</v>
      </c>
    </row>
    <row r="956" spans="1:10" x14ac:dyDescent="0.3">
      <c r="A956" s="23" t="str">
        <f t="shared" si="56"/>
        <v>01-05-2026</v>
      </c>
      <c r="B956" s="24" t="s">
        <v>35</v>
      </c>
      <c r="C956" s="4">
        <v>8909112971210</v>
      </c>
      <c r="D956" s="24" t="s">
        <v>39</v>
      </c>
      <c r="E956" s="24" t="s">
        <v>453</v>
      </c>
      <c r="F956" s="25" t="str">
        <f t="shared" si="57"/>
        <v>FLYING MACHINE</v>
      </c>
      <c r="G956" s="24">
        <v>1</v>
      </c>
      <c r="H956" s="25" t="str">
        <f t="shared" si="58"/>
        <v>Pcs.</v>
      </c>
      <c r="I956" s="26">
        <v>1218</v>
      </c>
      <c r="J956" s="27">
        <f t="shared" si="59"/>
        <v>1218</v>
      </c>
    </row>
    <row r="957" spans="1:10" x14ac:dyDescent="0.3">
      <c r="A957" s="23" t="str">
        <f t="shared" si="56"/>
        <v>01-05-2026</v>
      </c>
      <c r="B957" s="24" t="s">
        <v>35</v>
      </c>
      <c r="C957" s="4">
        <v>8909112971289</v>
      </c>
      <c r="D957" s="24" t="s">
        <v>57</v>
      </c>
      <c r="E957" s="24" t="s">
        <v>454</v>
      </c>
      <c r="F957" s="25" t="str">
        <f t="shared" si="57"/>
        <v>FLYING MACHINE</v>
      </c>
      <c r="G957" s="24">
        <v>1</v>
      </c>
      <c r="H957" s="25" t="str">
        <f t="shared" si="58"/>
        <v>Pcs.</v>
      </c>
      <c r="I957" s="26">
        <v>1218</v>
      </c>
      <c r="J957" s="27">
        <f t="shared" si="59"/>
        <v>1218</v>
      </c>
    </row>
    <row r="958" spans="1:10" x14ac:dyDescent="0.3">
      <c r="A958" s="23" t="str">
        <f t="shared" si="56"/>
        <v>01-05-2026</v>
      </c>
      <c r="B958" s="24" t="s">
        <v>35</v>
      </c>
      <c r="C958" s="4">
        <v>8909112971357</v>
      </c>
      <c r="D958" s="24" t="s">
        <v>46</v>
      </c>
      <c r="E958" s="24" t="s">
        <v>455</v>
      </c>
      <c r="F958" s="25" t="str">
        <f t="shared" si="57"/>
        <v>FLYING MACHINE</v>
      </c>
      <c r="G958" s="24">
        <v>1</v>
      </c>
      <c r="H958" s="25" t="str">
        <f t="shared" si="58"/>
        <v>Pcs.</v>
      </c>
      <c r="I958" s="26">
        <v>1218</v>
      </c>
      <c r="J958" s="27">
        <f t="shared" si="59"/>
        <v>1218</v>
      </c>
    </row>
    <row r="959" spans="1:10" x14ac:dyDescent="0.3">
      <c r="A959" s="23" t="str">
        <f t="shared" si="56"/>
        <v>01-05-2026</v>
      </c>
      <c r="B959" s="24" t="s">
        <v>35</v>
      </c>
      <c r="C959" s="4">
        <v>8909112971371</v>
      </c>
      <c r="D959" s="24" t="s">
        <v>57</v>
      </c>
      <c r="E959" s="24" t="s">
        <v>455</v>
      </c>
      <c r="F959" s="25" t="str">
        <f t="shared" si="57"/>
        <v>FLYING MACHINE</v>
      </c>
      <c r="G959" s="24">
        <v>1</v>
      </c>
      <c r="H959" s="25" t="str">
        <f t="shared" si="58"/>
        <v>Pcs.</v>
      </c>
      <c r="I959" s="26">
        <v>1218</v>
      </c>
      <c r="J959" s="27">
        <f t="shared" si="59"/>
        <v>1218</v>
      </c>
    </row>
    <row r="960" spans="1:10" x14ac:dyDescent="0.3">
      <c r="A960" s="23" t="str">
        <f t="shared" si="56"/>
        <v>01-05-2026</v>
      </c>
      <c r="B960" s="24" t="s">
        <v>35</v>
      </c>
      <c r="C960" s="4">
        <v>8909112971395</v>
      </c>
      <c r="D960" s="24" t="s">
        <v>39</v>
      </c>
      <c r="E960" s="24" t="s">
        <v>455</v>
      </c>
      <c r="F960" s="25" t="str">
        <f t="shared" si="57"/>
        <v>FLYING MACHINE</v>
      </c>
      <c r="G960" s="24">
        <v>1</v>
      </c>
      <c r="H960" s="25" t="str">
        <f t="shared" si="58"/>
        <v>Pcs.</v>
      </c>
      <c r="I960" s="26">
        <v>1218</v>
      </c>
      <c r="J960" s="27">
        <f t="shared" si="59"/>
        <v>1218</v>
      </c>
    </row>
    <row r="961" spans="1:10" x14ac:dyDescent="0.3">
      <c r="A961" s="23" t="str">
        <f t="shared" si="56"/>
        <v>01-05-2026</v>
      </c>
      <c r="B961" s="24" t="s">
        <v>35</v>
      </c>
      <c r="C961" s="4">
        <v>8909113044982</v>
      </c>
      <c r="D961" s="24" t="s">
        <v>51</v>
      </c>
      <c r="E961" s="24" t="s">
        <v>456</v>
      </c>
      <c r="F961" s="25" t="str">
        <f t="shared" si="57"/>
        <v>FLYING MACHINE</v>
      </c>
      <c r="G961" s="24">
        <v>1</v>
      </c>
      <c r="H961" s="25" t="str">
        <f t="shared" si="58"/>
        <v>Pcs.</v>
      </c>
      <c r="I961" s="26">
        <v>1405.31</v>
      </c>
      <c r="J961" s="27">
        <f t="shared" si="59"/>
        <v>1405.31</v>
      </c>
    </row>
    <row r="962" spans="1:10" x14ac:dyDescent="0.3">
      <c r="A962" s="23" t="str">
        <f t="shared" si="56"/>
        <v>01-05-2026</v>
      </c>
      <c r="B962" s="24" t="s">
        <v>35</v>
      </c>
      <c r="C962" s="4">
        <v>8909113044999</v>
      </c>
      <c r="D962" s="24" t="s">
        <v>46</v>
      </c>
      <c r="E962" s="24" t="s">
        <v>456</v>
      </c>
      <c r="F962" s="25" t="str">
        <f t="shared" si="57"/>
        <v>FLYING MACHINE</v>
      </c>
      <c r="G962" s="24">
        <v>1</v>
      </c>
      <c r="H962" s="25" t="str">
        <f t="shared" si="58"/>
        <v>Pcs.</v>
      </c>
      <c r="I962" s="26">
        <v>1405.31</v>
      </c>
      <c r="J962" s="27">
        <f t="shared" si="59"/>
        <v>1405.31</v>
      </c>
    </row>
    <row r="963" spans="1:10" x14ac:dyDescent="0.3">
      <c r="A963" s="23" t="str">
        <f t="shared" si="56"/>
        <v>01-05-2026</v>
      </c>
      <c r="B963" s="24" t="s">
        <v>35</v>
      </c>
      <c r="C963" s="4">
        <v>8909113045118</v>
      </c>
      <c r="D963" s="24" t="s">
        <v>57</v>
      </c>
      <c r="E963" s="24" t="s">
        <v>456</v>
      </c>
      <c r="F963" s="25" t="str">
        <f t="shared" si="57"/>
        <v>FLYING MACHINE</v>
      </c>
      <c r="G963" s="24">
        <v>1</v>
      </c>
      <c r="H963" s="25" t="str">
        <f t="shared" si="58"/>
        <v>Pcs.</v>
      </c>
      <c r="I963" s="26">
        <v>1405.31</v>
      </c>
      <c r="J963" s="27">
        <f t="shared" si="59"/>
        <v>1405.31</v>
      </c>
    </row>
    <row r="964" spans="1:10" x14ac:dyDescent="0.3">
      <c r="A964" s="23" t="str">
        <f t="shared" si="56"/>
        <v>01-05-2026</v>
      </c>
      <c r="B964" s="24" t="s">
        <v>35</v>
      </c>
      <c r="C964" s="4">
        <v>8909113045460</v>
      </c>
      <c r="D964" s="24" t="s">
        <v>51</v>
      </c>
      <c r="E964" s="24" t="s">
        <v>457</v>
      </c>
      <c r="F964" s="25" t="str">
        <f t="shared" si="57"/>
        <v>FLYING MACHINE</v>
      </c>
      <c r="G964" s="24">
        <v>2</v>
      </c>
      <c r="H964" s="25" t="str">
        <f t="shared" si="58"/>
        <v>Pcs.</v>
      </c>
      <c r="I964" s="26">
        <v>1499.06</v>
      </c>
      <c r="J964" s="27">
        <f t="shared" si="59"/>
        <v>2998.12</v>
      </c>
    </row>
    <row r="965" spans="1:10" x14ac:dyDescent="0.3">
      <c r="A965" s="23" t="str">
        <f t="shared" ref="A965:A1028" si="60">IF(C965&gt;0,RIGHT($D$3,10)," ")</f>
        <v>01-05-2026</v>
      </c>
      <c r="B965" s="24" t="s">
        <v>35</v>
      </c>
      <c r="C965" s="4">
        <v>8909113045491</v>
      </c>
      <c r="D965" s="24" t="s">
        <v>57</v>
      </c>
      <c r="E965" s="24" t="s">
        <v>457</v>
      </c>
      <c r="F965" s="25" t="str">
        <f t="shared" ref="F965:F1028" si="61">IF(C965&gt;0,$C$3," ")</f>
        <v>FLYING MACHINE</v>
      </c>
      <c r="G965" s="24">
        <v>1</v>
      </c>
      <c r="H965" s="25" t="str">
        <f t="shared" ref="H965:H1028" si="62">IF(G965&gt;0,"Pcs."," ")</f>
        <v>Pcs.</v>
      </c>
      <c r="I965" s="26">
        <v>1499.06</v>
      </c>
      <c r="J965" s="27">
        <f t="shared" ref="J965:J1028" si="63">IF(I965*G965=0," ",I965*G965)</f>
        <v>1499.06</v>
      </c>
    </row>
    <row r="966" spans="1:10" x14ac:dyDescent="0.3">
      <c r="A966" s="23" t="str">
        <f t="shared" si="60"/>
        <v>01-05-2026</v>
      </c>
      <c r="B966" s="24" t="s">
        <v>35</v>
      </c>
      <c r="C966" s="4">
        <v>8909113045842</v>
      </c>
      <c r="D966" s="24" t="s">
        <v>51</v>
      </c>
      <c r="E966" s="24" t="s">
        <v>458</v>
      </c>
      <c r="F966" s="25" t="str">
        <f t="shared" si="61"/>
        <v>FLYING MACHINE</v>
      </c>
      <c r="G966" s="24">
        <v>1</v>
      </c>
      <c r="H966" s="25" t="str">
        <f t="shared" si="62"/>
        <v>Pcs.</v>
      </c>
      <c r="I966" s="26">
        <v>1405.31</v>
      </c>
      <c r="J966" s="27">
        <f t="shared" si="63"/>
        <v>1405.31</v>
      </c>
    </row>
    <row r="967" spans="1:10" x14ac:dyDescent="0.3">
      <c r="A967" s="23" t="str">
        <f t="shared" si="60"/>
        <v>01-05-2026</v>
      </c>
      <c r="B967" s="24" t="s">
        <v>35</v>
      </c>
      <c r="C967" s="4">
        <v>8909113049307</v>
      </c>
      <c r="D967" s="24" t="s">
        <v>46</v>
      </c>
      <c r="E967" s="24" t="s">
        <v>459</v>
      </c>
      <c r="F967" s="25" t="str">
        <f t="shared" si="61"/>
        <v>FLYING MACHINE</v>
      </c>
      <c r="G967" s="24">
        <v>2</v>
      </c>
      <c r="H967" s="25" t="str">
        <f t="shared" si="62"/>
        <v>Pcs.</v>
      </c>
      <c r="I967" s="26">
        <v>1686.56</v>
      </c>
      <c r="J967" s="27">
        <f t="shared" si="63"/>
        <v>3373.12</v>
      </c>
    </row>
    <row r="968" spans="1:10" x14ac:dyDescent="0.3">
      <c r="A968" s="23" t="str">
        <f t="shared" si="60"/>
        <v>01-05-2026</v>
      </c>
      <c r="B968" s="24" t="s">
        <v>35</v>
      </c>
      <c r="C968" s="4">
        <v>8909113049314</v>
      </c>
      <c r="D968" s="24" t="s">
        <v>37</v>
      </c>
      <c r="E968" s="24" t="s">
        <v>459</v>
      </c>
      <c r="F968" s="25" t="str">
        <f t="shared" si="61"/>
        <v>FLYING MACHINE</v>
      </c>
      <c r="G968" s="24">
        <v>1</v>
      </c>
      <c r="H968" s="25" t="str">
        <f t="shared" si="62"/>
        <v>Pcs.</v>
      </c>
      <c r="I968" s="26">
        <v>1686.56</v>
      </c>
      <c r="J968" s="27">
        <f t="shared" si="63"/>
        <v>1686.56</v>
      </c>
    </row>
    <row r="969" spans="1:10" x14ac:dyDescent="0.3">
      <c r="A969" s="23" t="str">
        <f t="shared" si="60"/>
        <v>01-05-2026</v>
      </c>
      <c r="B969" s="24" t="s">
        <v>35</v>
      </c>
      <c r="C969" s="4">
        <v>8909113049321</v>
      </c>
      <c r="D969" s="24" t="s">
        <v>57</v>
      </c>
      <c r="E969" s="24" t="s">
        <v>459</v>
      </c>
      <c r="F969" s="25" t="str">
        <f t="shared" si="61"/>
        <v>FLYING MACHINE</v>
      </c>
      <c r="G969" s="24">
        <v>1</v>
      </c>
      <c r="H969" s="25" t="str">
        <f t="shared" si="62"/>
        <v>Pcs.</v>
      </c>
      <c r="I969" s="26">
        <v>1686.56</v>
      </c>
      <c r="J969" s="27">
        <f t="shared" si="63"/>
        <v>1686.56</v>
      </c>
    </row>
    <row r="970" spans="1:10" x14ac:dyDescent="0.3">
      <c r="A970" s="23" t="str">
        <f t="shared" si="60"/>
        <v>01-05-2026</v>
      </c>
      <c r="B970" s="24" t="s">
        <v>35</v>
      </c>
      <c r="C970" s="4">
        <v>8909113051676</v>
      </c>
      <c r="D970" s="24" t="s">
        <v>51</v>
      </c>
      <c r="E970" s="24" t="s">
        <v>460</v>
      </c>
      <c r="F970" s="25" t="str">
        <f t="shared" si="61"/>
        <v>FLYING MACHINE</v>
      </c>
      <c r="G970" s="24">
        <v>2</v>
      </c>
      <c r="H970" s="25" t="str">
        <f t="shared" si="62"/>
        <v>Pcs.</v>
      </c>
      <c r="I970" s="26">
        <v>1686.56</v>
      </c>
      <c r="J970" s="27">
        <f t="shared" si="63"/>
        <v>3373.12</v>
      </c>
    </row>
    <row r="971" spans="1:10" x14ac:dyDescent="0.3">
      <c r="A971" s="23" t="str">
        <f t="shared" si="60"/>
        <v>01-05-2026</v>
      </c>
      <c r="B971" s="24" t="s">
        <v>35</v>
      </c>
      <c r="C971" s="4">
        <v>8909113051683</v>
      </c>
      <c r="D971" s="24" t="s">
        <v>46</v>
      </c>
      <c r="E971" s="24" t="s">
        <v>460</v>
      </c>
      <c r="F971" s="25" t="str">
        <f t="shared" si="61"/>
        <v>FLYING MACHINE</v>
      </c>
      <c r="G971" s="24">
        <v>1</v>
      </c>
      <c r="H971" s="25" t="str">
        <f t="shared" si="62"/>
        <v>Pcs.</v>
      </c>
      <c r="I971" s="26">
        <v>1686.56</v>
      </c>
      <c r="J971" s="27">
        <f t="shared" si="63"/>
        <v>1686.56</v>
      </c>
    </row>
    <row r="972" spans="1:10" x14ac:dyDescent="0.3">
      <c r="A972" s="23" t="str">
        <f t="shared" si="60"/>
        <v>01-05-2026</v>
      </c>
      <c r="B972" s="24" t="s">
        <v>35</v>
      </c>
      <c r="C972" s="4">
        <v>8909113051690</v>
      </c>
      <c r="D972" s="24" t="s">
        <v>37</v>
      </c>
      <c r="E972" s="24" t="s">
        <v>460</v>
      </c>
      <c r="F972" s="25" t="str">
        <f t="shared" si="61"/>
        <v>FLYING MACHINE</v>
      </c>
      <c r="G972" s="24">
        <v>1</v>
      </c>
      <c r="H972" s="25" t="str">
        <f t="shared" si="62"/>
        <v>Pcs.</v>
      </c>
      <c r="I972" s="26">
        <v>1686.56</v>
      </c>
      <c r="J972" s="27">
        <f t="shared" si="63"/>
        <v>1686.56</v>
      </c>
    </row>
    <row r="973" spans="1:10" x14ac:dyDescent="0.3">
      <c r="A973" s="23" t="str">
        <f t="shared" si="60"/>
        <v>01-05-2026</v>
      </c>
      <c r="B973" s="24" t="s">
        <v>35</v>
      </c>
      <c r="C973" s="4">
        <v>8909113051706</v>
      </c>
      <c r="D973" s="24" t="s">
        <v>57</v>
      </c>
      <c r="E973" s="24" t="s">
        <v>460</v>
      </c>
      <c r="F973" s="25" t="str">
        <f t="shared" si="61"/>
        <v>FLYING MACHINE</v>
      </c>
      <c r="G973" s="24">
        <v>1</v>
      </c>
      <c r="H973" s="25" t="str">
        <f t="shared" si="62"/>
        <v>Pcs.</v>
      </c>
      <c r="I973" s="26">
        <v>1686.56</v>
      </c>
      <c r="J973" s="27">
        <f t="shared" si="63"/>
        <v>1686.56</v>
      </c>
    </row>
    <row r="974" spans="1:10" x14ac:dyDescent="0.3">
      <c r="A974" s="23" t="str">
        <f t="shared" si="60"/>
        <v>01-05-2026</v>
      </c>
      <c r="B974" s="24" t="s">
        <v>35</v>
      </c>
      <c r="C974" s="4">
        <v>8909113052031</v>
      </c>
      <c r="D974" s="24" t="s">
        <v>51</v>
      </c>
      <c r="E974" s="24" t="s">
        <v>461</v>
      </c>
      <c r="F974" s="25" t="str">
        <f t="shared" si="61"/>
        <v>FLYING MACHINE</v>
      </c>
      <c r="G974" s="24">
        <v>1</v>
      </c>
      <c r="H974" s="25" t="str">
        <f t="shared" si="62"/>
        <v>Pcs.</v>
      </c>
      <c r="I974" s="26">
        <v>1405.31</v>
      </c>
      <c r="J974" s="27">
        <f t="shared" si="63"/>
        <v>1405.31</v>
      </c>
    </row>
    <row r="975" spans="1:10" x14ac:dyDescent="0.3">
      <c r="A975" s="23" t="str">
        <f t="shared" si="60"/>
        <v>01-05-2026</v>
      </c>
      <c r="B975" s="24" t="s">
        <v>35</v>
      </c>
      <c r="C975" s="4">
        <v>8909113052048</v>
      </c>
      <c r="D975" s="24" t="s">
        <v>46</v>
      </c>
      <c r="E975" s="24" t="s">
        <v>461</v>
      </c>
      <c r="F975" s="25" t="str">
        <f t="shared" si="61"/>
        <v>FLYING MACHINE</v>
      </c>
      <c r="G975" s="24">
        <v>1</v>
      </c>
      <c r="H975" s="25" t="str">
        <f t="shared" si="62"/>
        <v>Pcs.</v>
      </c>
      <c r="I975" s="26">
        <v>1405.31</v>
      </c>
      <c r="J975" s="27">
        <f t="shared" si="63"/>
        <v>1405.31</v>
      </c>
    </row>
    <row r="976" spans="1:10" x14ac:dyDescent="0.3">
      <c r="A976" s="23" t="str">
        <f t="shared" si="60"/>
        <v>01-05-2026</v>
      </c>
      <c r="B976" s="24" t="s">
        <v>35</v>
      </c>
      <c r="C976" s="4">
        <v>8909113052055</v>
      </c>
      <c r="D976" s="24" t="s">
        <v>37</v>
      </c>
      <c r="E976" s="24" t="s">
        <v>461</v>
      </c>
      <c r="F976" s="25" t="str">
        <f t="shared" si="61"/>
        <v>FLYING MACHINE</v>
      </c>
      <c r="G976" s="24">
        <v>1</v>
      </c>
      <c r="H976" s="25" t="str">
        <f t="shared" si="62"/>
        <v>Pcs.</v>
      </c>
      <c r="I976" s="26">
        <v>1405.31</v>
      </c>
      <c r="J976" s="27">
        <f t="shared" si="63"/>
        <v>1405.31</v>
      </c>
    </row>
    <row r="977" spans="1:10" x14ac:dyDescent="0.3">
      <c r="A977" s="23" t="str">
        <f t="shared" si="60"/>
        <v>01-05-2026</v>
      </c>
      <c r="B977" s="24" t="s">
        <v>35</v>
      </c>
      <c r="C977" s="4">
        <v>8909113052062</v>
      </c>
      <c r="D977" s="24" t="s">
        <v>57</v>
      </c>
      <c r="E977" s="24" t="s">
        <v>461</v>
      </c>
      <c r="F977" s="25" t="str">
        <f t="shared" si="61"/>
        <v>FLYING MACHINE</v>
      </c>
      <c r="G977" s="24">
        <v>1</v>
      </c>
      <c r="H977" s="25" t="str">
        <f t="shared" si="62"/>
        <v>Pcs.</v>
      </c>
      <c r="I977" s="26">
        <v>1405.31</v>
      </c>
      <c r="J977" s="27">
        <f t="shared" si="63"/>
        <v>1405.31</v>
      </c>
    </row>
    <row r="978" spans="1:10" x14ac:dyDescent="0.3">
      <c r="A978" s="23" t="str">
        <f t="shared" si="60"/>
        <v>01-05-2026</v>
      </c>
      <c r="B978" s="24" t="s">
        <v>35</v>
      </c>
      <c r="C978" s="4">
        <v>8909285493427</v>
      </c>
      <c r="D978" s="24" t="s">
        <v>51</v>
      </c>
      <c r="E978" s="24" t="s">
        <v>462</v>
      </c>
      <c r="F978" s="25" t="str">
        <f t="shared" si="61"/>
        <v>FLYING MACHINE</v>
      </c>
      <c r="G978" s="24">
        <v>1</v>
      </c>
      <c r="H978" s="25" t="str">
        <f t="shared" si="62"/>
        <v>Pcs.</v>
      </c>
      <c r="I978" s="26">
        <v>999</v>
      </c>
      <c r="J978" s="27">
        <f t="shared" si="63"/>
        <v>999</v>
      </c>
    </row>
    <row r="979" spans="1:10" x14ac:dyDescent="0.3">
      <c r="A979" s="23" t="str">
        <f t="shared" si="60"/>
        <v>01-05-2026</v>
      </c>
      <c r="B979" s="24" t="s">
        <v>35</v>
      </c>
      <c r="C979" s="4">
        <v>8909285493458</v>
      </c>
      <c r="D979" s="24" t="s">
        <v>57</v>
      </c>
      <c r="E979" s="24" t="s">
        <v>462</v>
      </c>
      <c r="F979" s="25" t="str">
        <f t="shared" si="61"/>
        <v>FLYING MACHINE</v>
      </c>
      <c r="G979" s="24">
        <v>1</v>
      </c>
      <c r="H979" s="25" t="str">
        <f t="shared" si="62"/>
        <v>Pcs.</v>
      </c>
      <c r="I979" s="26">
        <v>999</v>
      </c>
      <c r="J979" s="27">
        <f t="shared" si="63"/>
        <v>999</v>
      </c>
    </row>
    <row r="980" spans="1:10" x14ac:dyDescent="0.3">
      <c r="A980" s="23" t="str">
        <f t="shared" si="60"/>
        <v>01-05-2026</v>
      </c>
      <c r="B980" s="24" t="s">
        <v>35</v>
      </c>
      <c r="C980" s="4">
        <v>8909285493830</v>
      </c>
      <c r="D980" s="24" t="s">
        <v>57</v>
      </c>
      <c r="E980" s="24" t="s">
        <v>463</v>
      </c>
      <c r="F980" s="25" t="str">
        <f t="shared" si="61"/>
        <v>FLYING MACHINE</v>
      </c>
      <c r="G980" s="24">
        <v>1</v>
      </c>
      <c r="H980" s="25" t="str">
        <f t="shared" si="62"/>
        <v>Pcs.</v>
      </c>
      <c r="I980" s="26">
        <v>999</v>
      </c>
      <c r="J980" s="27">
        <f t="shared" si="63"/>
        <v>999</v>
      </c>
    </row>
    <row r="981" spans="1:10" x14ac:dyDescent="0.3">
      <c r="A981" s="23" t="str">
        <f t="shared" si="60"/>
        <v>01-05-2026</v>
      </c>
      <c r="B981" s="24" t="s">
        <v>35</v>
      </c>
      <c r="C981" s="4">
        <v>8909285495520</v>
      </c>
      <c r="D981" s="24" t="s">
        <v>51</v>
      </c>
      <c r="E981" s="24" t="s">
        <v>464</v>
      </c>
      <c r="F981" s="25" t="str">
        <f t="shared" si="61"/>
        <v>FLYING MACHINE</v>
      </c>
      <c r="G981" s="24">
        <v>1</v>
      </c>
      <c r="H981" s="25" t="str">
        <f t="shared" si="62"/>
        <v>Pcs.</v>
      </c>
      <c r="I981" s="26">
        <v>1218</v>
      </c>
      <c r="J981" s="27">
        <f t="shared" si="63"/>
        <v>1218</v>
      </c>
    </row>
    <row r="982" spans="1:10" x14ac:dyDescent="0.3">
      <c r="A982" s="23" t="str">
        <f t="shared" si="60"/>
        <v>01-05-2026</v>
      </c>
      <c r="B982" s="24" t="s">
        <v>35</v>
      </c>
      <c r="C982" s="4">
        <v>8909285495537</v>
      </c>
      <c r="D982" s="24" t="s">
        <v>46</v>
      </c>
      <c r="E982" s="24" t="s">
        <v>464</v>
      </c>
      <c r="F982" s="25" t="str">
        <f t="shared" si="61"/>
        <v>FLYING MACHINE</v>
      </c>
      <c r="G982" s="24">
        <v>1</v>
      </c>
      <c r="H982" s="25" t="str">
        <f t="shared" si="62"/>
        <v>Pcs.</v>
      </c>
      <c r="I982" s="26">
        <v>1218</v>
      </c>
      <c r="J982" s="27">
        <f t="shared" si="63"/>
        <v>1218</v>
      </c>
    </row>
    <row r="983" spans="1:10" x14ac:dyDescent="0.3">
      <c r="A983" s="23" t="str">
        <f t="shared" si="60"/>
        <v>01-05-2026</v>
      </c>
      <c r="B983" s="24" t="s">
        <v>35</v>
      </c>
      <c r="C983" s="4">
        <v>8909285495544</v>
      </c>
      <c r="D983" s="24" t="s">
        <v>37</v>
      </c>
      <c r="E983" s="24" t="s">
        <v>464</v>
      </c>
      <c r="F983" s="25" t="str">
        <f t="shared" si="61"/>
        <v>FLYING MACHINE</v>
      </c>
      <c r="G983" s="24">
        <v>1</v>
      </c>
      <c r="H983" s="25" t="str">
        <f t="shared" si="62"/>
        <v>Pcs.</v>
      </c>
      <c r="I983" s="26">
        <v>1218</v>
      </c>
      <c r="J983" s="27">
        <f t="shared" si="63"/>
        <v>1218</v>
      </c>
    </row>
    <row r="984" spans="1:10" x14ac:dyDescent="0.3">
      <c r="A984" s="23" t="str">
        <f t="shared" si="60"/>
        <v>01-05-2026</v>
      </c>
      <c r="B984" s="24" t="s">
        <v>35</v>
      </c>
      <c r="C984" s="4">
        <v>8909285495551</v>
      </c>
      <c r="D984" s="24" t="s">
        <v>57</v>
      </c>
      <c r="E984" s="24" t="s">
        <v>464</v>
      </c>
      <c r="F984" s="25" t="str">
        <f t="shared" si="61"/>
        <v>FLYING MACHINE</v>
      </c>
      <c r="G984" s="24">
        <v>1</v>
      </c>
      <c r="H984" s="25" t="str">
        <f t="shared" si="62"/>
        <v>Pcs.</v>
      </c>
      <c r="I984" s="26">
        <v>1218</v>
      </c>
      <c r="J984" s="27">
        <f t="shared" si="63"/>
        <v>1218</v>
      </c>
    </row>
    <row r="985" spans="1:10" x14ac:dyDescent="0.3">
      <c r="A985" s="23" t="str">
        <f t="shared" si="60"/>
        <v>01-05-2026</v>
      </c>
      <c r="B985" s="24" t="s">
        <v>35</v>
      </c>
      <c r="C985" s="4">
        <v>8909285495575</v>
      </c>
      <c r="D985" s="24" t="s">
        <v>39</v>
      </c>
      <c r="E985" s="24" t="s">
        <v>464</v>
      </c>
      <c r="F985" s="25" t="str">
        <f t="shared" si="61"/>
        <v>FLYING MACHINE</v>
      </c>
      <c r="G985" s="24">
        <v>1</v>
      </c>
      <c r="H985" s="25" t="str">
        <f t="shared" si="62"/>
        <v>Pcs.</v>
      </c>
      <c r="I985" s="26">
        <v>1218</v>
      </c>
      <c r="J985" s="27">
        <f t="shared" si="63"/>
        <v>1218</v>
      </c>
    </row>
    <row r="986" spans="1:10" x14ac:dyDescent="0.3">
      <c r="A986" s="23" t="str">
        <f t="shared" si="60"/>
        <v>01-05-2026</v>
      </c>
      <c r="B986" s="24" t="s">
        <v>35</v>
      </c>
      <c r="C986" s="4">
        <v>8909285495612</v>
      </c>
      <c r="D986" s="24" t="s">
        <v>51</v>
      </c>
      <c r="E986" s="24" t="s">
        <v>465</v>
      </c>
      <c r="F986" s="25" t="str">
        <f t="shared" si="61"/>
        <v>FLYING MACHINE</v>
      </c>
      <c r="G986" s="24">
        <v>1</v>
      </c>
      <c r="H986" s="25" t="str">
        <f t="shared" si="62"/>
        <v>Pcs.</v>
      </c>
      <c r="I986" s="26">
        <v>1218</v>
      </c>
      <c r="J986" s="27">
        <f t="shared" si="63"/>
        <v>1218</v>
      </c>
    </row>
    <row r="987" spans="1:10" x14ac:dyDescent="0.3">
      <c r="A987" s="23" t="str">
        <f t="shared" si="60"/>
        <v>01-05-2026</v>
      </c>
      <c r="B987" s="24" t="s">
        <v>35</v>
      </c>
      <c r="C987" s="4">
        <v>8909285495636</v>
      </c>
      <c r="D987" s="24" t="s">
        <v>37</v>
      </c>
      <c r="E987" s="24" t="s">
        <v>465</v>
      </c>
      <c r="F987" s="25" t="str">
        <f t="shared" si="61"/>
        <v>FLYING MACHINE</v>
      </c>
      <c r="G987" s="24">
        <v>1</v>
      </c>
      <c r="H987" s="25" t="str">
        <f t="shared" si="62"/>
        <v>Pcs.</v>
      </c>
      <c r="I987" s="26">
        <v>1218</v>
      </c>
      <c r="J987" s="27">
        <f t="shared" si="63"/>
        <v>1218</v>
      </c>
    </row>
    <row r="988" spans="1:10" x14ac:dyDescent="0.3">
      <c r="A988" s="23" t="str">
        <f t="shared" si="60"/>
        <v>01-05-2026</v>
      </c>
      <c r="B988" s="24" t="s">
        <v>35</v>
      </c>
      <c r="C988" s="4">
        <v>8909285495643</v>
      </c>
      <c r="D988" s="24" t="s">
        <v>57</v>
      </c>
      <c r="E988" s="24" t="s">
        <v>465</v>
      </c>
      <c r="F988" s="25" t="str">
        <f t="shared" si="61"/>
        <v>FLYING MACHINE</v>
      </c>
      <c r="G988" s="24">
        <v>1</v>
      </c>
      <c r="H988" s="25" t="str">
        <f t="shared" si="62"/>
        <v>Pcs.</v>
      </c>
      <c r="I988" s="26">
        <v>1218</v>
      </c>
      <c r="J988" s="27">
        <f t="shared" si="63"/>
        <v>1218</v>
      </c>
    </row>
    <row r="989" spans="1:10" x14ac:dyDescent="0.3">
      <c r="A989" s="23" t="str">
        <f t="shared" si="60"/>
        <v>01-05-2026</v>
      </c>
      <c r="B989" s="24" t="s">
        <v>35</v>
      </c>
      <c r="C989" s="4">
        <v>8909285495667</v>
      </c>
      <c r="D989" s="24" t="s">
        <v>39</v>
      </c>
      <c r="E989" s="24" t="s">
        <v>465</v>
      </c>
      <c r="F989" s="25" t="str">
        <f t="shared" si="61"/>
        <v>FLYING MACHINE</v>
      </c>
      <c r="G989" s="24">
        <v>1</v>
      </c>
      <c r="H989" s="25" t="str">
        <f t="shared" si="62"/>
        <v>Pcs.</v>
      </c>
      <c r="I989" s="26">
        <v>1218</v>
      </c>
      <c r="J989" s="27">
        <f t="shared" si="63"/>
        <v>1218</v>
      </c>
    </row>
    <row r="990" spans="1:10" x14ac:dyDescent="0.3">
      <c r="A990" s="23" t="str">
        <f t="shared" si="60"/>
        <v>01-05-2026</v>
      </c>
      <c r="B990" s="24" t="s">
        <v>35</v>
      </c>
      <c r="C990" s="4">
        <v>8909285706763</v>
      </c>
      <c r="D990" s="24" t="s">
        <v>39</v>
      </c>
      <c r="E990" s="24" t="s">
        <v>466</v>
      </c>
      <c r="F990" s="25" t="str">
        <f t="shared" si="61"/>
        <v>FLYING MACHINE</v>
      </c>
      <c r="G990" s="24">
        <v>1</v>
      </c>
      <c r="H990" s="25" t="str">
        <f t="shared" si="62"/>
        <v>Pcs.</v>
      </c>
      <c r="I990" s="26">
        <v>1874</v>
      </c>
      <c r="J990" s="27">
        <f t="shared" si="63"/>
        <v>1874</v>
      </c>
    </row>
    <row r="991" spans="1:10" x14ac:dyDescent="0.3">
      <c r="A991" s="23" t="str">
        <f t="shared" si="60"/>
        <v>01-05-2026</v>
      </c>
      <c r="B991" s="24" t="s">
        <v>35</v>
      </c>
      <c r="C991" s="4">
        <v>8909285707531</v>
      </c>
      <c r="D991" s="24" t="s">
        <v>51</v>
      </c>
      <c r="E991" s="24" t="s">
        <v>64</v>
      </c>
      <c r="F991" s="25" t="str">
        <f t="shared" si="61"/>
        <v>FLYING MACHINE</v>
      </c>
      <c r="G991" s="24">
        <v>2</v>
      </c>
      <c r="H991" s="25" t="str">
        <f t="shared" si="62"/>
        <v>Pcs.</v>
      </c>
      <c r="I991" s="26">
        <v>1593</v>
      </c>
      <c r="J991" s="27">
        <f t="shared" si="63"/>
        <v>3186</v>
      </c>
    </row>
    <row r="992" spans="1:10" x14ac:dyDescent="0.3">
      <c r="A992" s="23" t="str">
        <f t="shared" si="60"/>
        <v>01-05-2026</v>
      </c>
      <c r="B992" s="24" t="s">
        <v>35</v>
      </c>
      <c r="C992" s="4">
        <v>8909285707548</v>
      </c>
      <c r="D992" s="24" t="s">
        <v>46</v>
      </c>
      <c r="E992" s="24" t="s">
        <v>64</v>
      </c>
      <c r="F992" s="25" t="str">
        <f t="shared" si="61"/>
        <v>FLYING MACHINE</v>
      </c>
      <c r="G992" s="24">
        <v>2</v>
      </c>
      <c r="H992" s="25" t="str">
        <f t="shared" si="62"/>
        <v>Pcs.</v>
      </c>
      <c r="I992" s="26">
        <v>1593</v>
      </c>
      <c r="J992" s="27">
        <f t="shared" si="63"/>
        <v>3186</v>
      </c>
    </row>
    <row r="993" spans="1:10" x14ac:dyDescent="0.3">
      <c r="A993" s="23" t="str">
        <f t="shared" si="60"/>
        <v>01-05-2026</v>
      </c>
      <c r="B993" s="24" t="s">
        <v>35</v>
      </c>
      <c r="C993" s="4">
        <v>8909285707555</v>
      </c>
      <c r="D993" s="24" t="s">
        <v>37</v>
      </c>
      <c r="E993" s="24" t="s">
        <v>64</v>
      </c>
      <c r="F993" s="25" t="str">
        <f t="shared" si="61"/>
        <v>FLYING MACHINE</v>
      </c>
      <c r="G993" s="24">
        <v>1</v>
      </c>
      <c r="H993" s="25" t="str">
        <f t="shared" si="62"/>
        <v>Pcs.</v>
      </c>
      <c r="I993" s="26">
        <v>1593</v>
      </c>
      <c r="J993" s="27">
        <f t="shared" si="63"/>
        <v>1593</v>
      </c>
    </row>
    <row r="994" spans="1:10" x14ac:dyDescent="0.3">
      <c r="A994" s="23" t="str">
        <f t="shared" si="60"/>
        <v>01-05-2026</v>
      </c>
      <c r="B994" s="24" t="s">
        <v>35</v>
      </c>
      <c r="C994" s="4">
        <v>8909285707562</v>
      </c>
      <c r="D994" s="24" t="s">
        <v>57</v>
      </c>
      <c r="E994" s="24" t="s">
        <v>64</v>
      </c>
      <c r="F994" s="25" t="str">
        <f t="shared" si="61"/>
        <v>FLYING MACHINE</v>
      </c>
      <c r="G994" s="24">
        <v>1</v>
      </c>
      <c r="H994" s="25" t="str">
        <f t="shared" si="62"/>
        <v>Pcs.</v>
      </c>
      <c r="I994" s="26">
        <v>1593</v>
      </c>
      <c r="J994" s="27">
        <f t="shared" si="63"/>
        <v>1593</v>
      </c>
    </row>
    <row r="995" spans="1:10" x14ac:dyDescent="0.3">
      <c r="A995" s="23" t="str">
        <f t="shared" si="60"/>
        <v>01-05-2026</v>
      </c>
      <c r="B995" s="24" t="s">
        <v>35</v>
      </c>
      <c r="C995" s="4">
        <v>8909285707623</v>
      </c>
      <c r="D995" s="24" t="s">
        <v>51</v>
      </c>
      <c r="E995" s="24" t="s">
        <v>467</v>
      </c>
      <c r="F995" s="25" t="str">
        <f t="shared" si="61"/>
        <v>FLYING MACHINE</v>
      </c>
      <c r="G995" s="24">
        <v>1</v>
      </c>
      <c r="H995" s="25" t="str">
        <f t="shared" si="62"/>
        <v>Pcs.</v>
      </c>
      <c r="I995" s="26">
        <v>1593</v>
      </c>
      <c r="J995" s="27">
        <f t="shared" si="63"/>
        <v>1593</v>
      </c>
    </row>
    <row r="996" spans="1:10" x14ac:dyDescent="0.3">
      <c r="A996" s="23" t="str">
        <f t="shared" si="60"/>
        <v>01-05-2026</v>
      </c>
      <c r="B996" s="24" t="s">
        <v>35</v>
      </c>
      <c r="C996" s="4">
        <v>8909285707630</v>
      </c>
      <c r="D996" s="24" t="s">
        <v>46</v>
      </c>
      <c r="E996" s="24" t="s">
        <v>467</v>
      </c>
      <c r="F996" s="25" t="str">
        <f t="shared" si="61"/>
        <v>FLYING MACHINE</v>
      </c>
      <c r="G996" s="24">
        <v>2</v>
      </c>
      <c r="H996" s="25" t="str">
        <f t="shared" si="62"/>
        <v>Pcs.</v>
      </c>
      <c r="I996" s="26">
        <v>1593</v>
      </c>
      <c r="J996" s="27">
        <f t="shared" si="63"/>
        <v>3186</v>
      </c>
    </row>
    <row r="997" spans="1:10" x14ac:dyDescent="0.3">
      <c r="A997" s="23" t="str">
        <f t="shared" si="60"/>
        <v>01-05-2026</v>
      </c>
      <c r="B997" s="24" t="s">
        <v>35</v>
      </c>
      <c r="C997" s="4">
        <v>8909285707647</v>
      </c>
      <c r="D997" s="24" t="s">
        <v>37</v>
      </c>
      <c r="E997" s="24" t="s">
        <v>467</v>
      </c>
      <c r="F997" s="25" t="str">
        <f t="shared" si="61"/>
        <v>FLYING MACHINE</v>
      </c>
      <c r="G997" s="24">
        <v>1</v>
      </c>
      <c r="H997" s="25" t="str">
        <f t="shared" si="62"/>
        <v>Pcs.</v>
      </c>
      <c r="I997" s="26">
        <v>1593</v>
      </c>
      <c r="J997" s="27">
        <f t="shared" si="63"/>
        <v>1593</v>
      </c>
    </row>
    <row r="998" spans="1:10" x14ac:dyDescent="0.3">
      <c r="A998" s="23" t="str">
        <f t="shared" si="60"/>
        <v>01-05-2026</v>
      </c>
      <c r="B998" s="24" t="s">
        <v>35</v>
      </c>
      <c r="C998" s="4">
        <v>8909285707654</v>
      </c>
      <c r="D998" s="24" t="s">
        <v>57</v>
      </c>
      <c r="E998" s="24" t="s">
        <v>467</v>
      </c>
      <c r="F998" s="25" t="str">
        <f t="shared" si="61"/>
        <v>FLYING MACHINE</v>
      </c>
      <c r="G998" s="24">
        <v>1</v>
      </c>
      <c r="H998" s="25" t="str">
        <f t="shared" si="62"/>
        <v>Pcs.</v>
      </c>
      <c r="I998" s="26">
        <v>1593</v>
      </c>
      <c r="J998" s="27">
        <f t="shared" si="63"/>
        <v>1593</v>
      </c>
    </row>
    <row r="999" spans="1:10" x14ac:dyDescent="0.3">
      <c r="A999" s="23" t="str">
        <f t="shared" si="60"/>
        <v>01-05-2026</v>
      </c>
      <c r="B999" s="24" t="s">
        <v>35</v>
      </c>
      <c r="C999" s="4">
        <v>8909285707678</v>
      </c>
      <c r="D999" s="24" t="s">
        <v>39</v>
      </c>
      <c r="E999" s="24" t="s">
        <v>467</v>
      </c>
      <c r="F999" s="25" t="str">
        <f t="shared" si="61"/>
        <v>FLYING MACHINE</v>
      </c>
      <c r="G999" s="24">
        <v>1</v>
      </c>
      <c r="H999" s="25" t="str">
        <f t="shared" si="62"/>
        <v>Pcs.</v>
      </c>
      <c r="I999" s="26">
        <v>1593</v>
      </c>
      <c r="J999" s="27">
        <f t="shared" si="63"/>
        <v>1593</v>
      </c>
    </row>
    <row r="1000" spans="1:10" x14ac:dyDescent="0.3">
      <c r="A1000" s="23" t="str">
        <f t="shared" si="60"/>
        <v>01-05-2026</v>
      </c>
      <c r="B1000" s="24" t="s">
        <v>35</v>
      </c>
      <c r="C1000" s="4">
        <v>8909285708071</v>
      </c>
      <c r="D1000" s="24" t="s">
        <v>51</v>
      </c>
      <c r="E1000" s="24" t="s">
        <v>112</v>
      </c>
      <c r="F1000" s="25" t="str">
        <f t="shared" si="61"/>
        <v>FLYING MACHINE</v>
      </c>
      <c r="G1000" s="24">
        <v>1</v>
      </c>
      <c r="H1000" s="25" t="str">
        <f t="shared" si="62"/>
        <v>Pcs.</v>
      </c>
      <c r="I1000" s="26">
        <v>1593</v>
      </c>
      <c r="J1000" s="27">
        <f t="shared" si="63"/>
        <v>1593</v>
      </c>
    </row>
    <row r="1001" spans="1:10" x14ac:dyDescent="0.3">
      <c r="A1001" s="23" t="str">
        <f t="shared" si="60"/>
        <v>01-05-2026</v>
      </c>
      <c r="B1001" s="24" t="s">
        <v>35</v>
      </c>
      <c r="C1001" s="4">
        <v>8909285708354</v>
      </c>
      <c r="D1001" s="24" t="s">
        <v>51</v>
      </c>
      <c r="E1001" s="24" t="s">
        <v>468</v>
      </c>
      <c r="F1001" s="25" t="str">
        <f t="shared" si="61"/>
        <v>FLYING MACHINE</v>
      </c>
      <c r="G1001" s="24">
        <v>1</v>
      </c>
      <c r="H1001" s="25" t="str">
        <f t="shared" si="62"/>
        <v>Pcs.</v>
      </c>
      <c r="I1001" s="26">
        <v>999</v>
      </c>
      <c r="J1001" s="27">
        <f t="shared" si="63"/>
        <v>999</v>
      </c>
    </row>
    <row r="1002" spans="1:10" x14ac:dyDescent="0.3">
      <c r="A1002" s="23" t="str">
        <f t="shared" si="60"/>
        <v>01-05-2026</v>
      </c>
      <c r="B1002" s="24" t="s">
        <v>35</v>
      </c>
      <c r="C1002" s="4">
        <v>8909285708378</v>
      </c>
      <c r="D1002" s="24" t="s">
        <v>37</v>
      </c>
      <c r="E1002" s="24" t="s">
        <v>468</v>
      </c>
      <c r="F1002" s="25" t="str">
        <f t="shared" si="61"/>
        <v>FLYING MACHINE</v>
      </c>
      <c r="G1002" s="24">
        <v>1</v>
      </c>
      <c r="H1002" s="25" t="str">
        <f t="shared" si="62"/>
        <v>Pcs.</v>
      </c>
      <c r="I1002" s="26">
        <v>999</v>
      </c>
      <c r="J1002" s="27">
        <f t="shared" si="63"/>
        <v>999</v>
      </c>
    </row>
    <row r="1003" spans="1:10" x14ac:dyDescent="0.3">
      <c r="A1003" s="23" t="str">
        <f t="shared" si="60"/>
        <v>01-05-2026</v>
      </c>
      <c r="B1003" s="24" t="s">
        <v>35</v>
      </c>
      <c r="C1003" s="4">
        <v>8909285708385</v>
      </c>
      <c r="D1003" s="24" t="s">
        <v>57</v>
      </c>
      <c r="E1003" s="24" t="s">
        <v>468</v>
      </c>
      <c r="F1003" s="25" t="str">
        <f t="shared" si="61"/>
        <v>FLYING MACHINE</v>
      </c>
      <c r="G1003" s="24">
        <v>1</v>
      </c>
      <c r="H1003" s="25" t="str">
        <f t="shared" si="62"/>
        <v>Pcs.</v>
      </c>
      <c r="I1003" s="26">
        <v>999</v>
      </c>
      <c r="J1003" s="27">
        <f t="shared" si="63"/>
        <v>999</v>
      </c>
    </row>
    <row r="1004" spans="1:10" x14ac:dyDescent="0.3">
      <c r="A1004" s="23" t="str">
        <f t="shared" si="60"/>
        <v>01-05-2026</v>
      </c>
      <c r="B1004" s="24" t="s">
        <v>35</v>
      </c>
      <c r="C1004" s="4">
        <v>8909285708408</v>
      </c>
      <c r="D1004" s="24" t="s">
        <v>39</v>
      </c>
      <c r="E1004" s="24" t="s">
        <v>468</v>
      </c>
      <c r="F1004" s="25" t="str">
        <f t="shared" si="61"/>
        <v>FLYING MACHINE</v>
      </c>
      <c r="G1004" s="24">
        <v>1</v>
      </c>
      <c r="H1004" s="25" t="str">
        <f t="shared" si="62"/>
        <v>Pcs.</v>
      </c>
      <c r="I1004" s="26">
        <v>999</v>
      </c>
      <c r="J1004" s="27">
        <f t="shared" si="63"/>
        <v>999</v>
      </c>
    </row>
    <row r="1005" spans="1:10" x14ac:dyDescent="0.3">
      <c r="A1005" s="23" t="str">
        <f t="shared" si="60"/>
        <v>01-05-2026</v>
      </c>
      <c r="B1005" s="24" t="s">
        <v>35</v>
      </c>
      <c r="C1005" s="4">
        <v>8909285708446</v>
      </c>
      <c r="D1005" s="24" t="s">
        <v>51</v>
      </c>
      <c r="E1005" s="24" t="s">
        <v>469</v>
      </c>
      <c r="F1005" s="25" t="str">
        <f t="shared" si="61"/>
        <v>FLYING MACHINE</v>
      </c>
      <c r="G1005" s="24">
        <v>1</v>
      </c>
      <c r="H1005" s="25" t="str">
        <f t="shared" si="62"/>
        <v>Pcs.</v>
      </c>
      <c r="I1005" s="26">
        <v>999</v>
      </c>
      <c r="J1005" s="27">
        <f t="shared" si="63"/>
        <v>999</v>
      </c>
    </row>
    <row r="1006" spans="1:10" x14ac:dyDescent="0.3">
      <c r="A1006" s="23" t="str">
        <f t="shared" si="60"/>
        <v>01-05-2026</v>
      </c>
      <c r="B1006" s="24" t="s">
        <v>35</v>
      </c>
      <c r="C1006" s="4">
        <v>8909285708453</v>
      </c>
      <c r="D1006" s="24" t="s">
        <v>46</v>
      </c>
      <c r="E1006" s="24" t="s">
        <v>469</v>
      </c>
      <c r="F1006" s="25" t="str">
        <f t="shared" si="61"/>
        <v>FLYING MACHINE</v>
      </c>
      <c r="G1006" s="24">
        <v>1</v>
      </c>
      <c r="H1006" s="25" t="str">
        <f t="shared" si="62"/>
        <v>Pcs.</v>
      </c>
      <c r="I1006" s="26">
        <v>999</v>
      </c>
      <c r="J1006" s="27">
        <f t="shared" si="63"/>
        <v>999</v>
      </c>
    </row>
    <row r="1007" spans="1:10" x14ac:dyDescent="0.3">
      <c r="A1007" s="23" t="str">
        <f t="shared" si="60"/>
        <v>01-05-2026</v>
      </c>
      <c r="B1007" s="24" t="s">
        <v>35</v>
      </c>
      <c r="C1007" s="4">
        <v>8909285708477</v>
      </c>
      <c r="D1007" s="24" t="s">
        <v>57</v>
      </c>
      <c r="E1007" s="24" t="s">
        <v>469</v>
      </c>
      <c r="F1007" s="25" t="str">
        <f t="shared" si="61"/>
        <v>FLYING MACHINE</v>
      </c>
      <c r="G1007" s="24">
        <v>1</v>
      </c>
      <c r="H1007" s="25" t="str">
        <f t="shared" si="62"/>
        <v>Pcs.</v>
      </c>
      <c r="I1007" s="26">
        <v>999</v>
      </c>
      <c r="J1007" s="27">
        <f t="shared" si="63"/>
        <v>999</v>
      </c>
    </row>
    <row r="1008" spans="1:10" x14ac:dyDescent="0.3">
      <c r="A1008" s="23" t="str">
        <f t="shared" si="60"/>
        <v>01-05-2026</v>
      </c>
      <c r="B1008" s="24" t="s">
        <v>35</v>
      </c>
      <c r="C1008" s="4">
        <v>8909285709443</v>
      </c>
      <c r="D1008" s="24" t="s">
        <v>51</v>
      </c>
      <c r="E1008" s="24" t="s">
        <v>470</v>
      </c>
      <c r="F1008" s="25" t="str">
        <f t="shared" si="61"/>
        <v>FLYING MACHINE</v>
      </c>
      <c r="G1008" s="24">
        <v>2</v>
      </c>
      <c r="H1008" s="25" t="str">
        <f t="shared" si="62"/>
        <v>Pcs.</v>
      </c>
      <c r="I1008" s="26">
        <v>999</v>
      </c>
      <c r="J1008" s="27">
        <f t="shared" si="63"/>
        <v>1998</v>
      </c>
    </row>
    <row r="1009" spans="1:10" x14ac:dyDescent="0.3">
      <c r="A1009" s="23" t="str">
        <f t="shared" si="60"/>
        <v>01-05-2026</v>
      </c>
      <c r="B1009" s="24" t="s">
        <v>35</v>
      </c>
      <c r="C1009" s="4">
        <v>8909285709450</v>
      </c>
      <c r="D1009" s="24" t="s">
        <v>46</v>
      </c>
      <c r="E1009" s="24" t="s">
        <v>470</v>
      </c>
      <c r="F1009" s="25" t="str">
        <f t="shared" si="61"/>
        <v>FLYING MACHINE</v>
      </c>
      <c r="G1009" s="24">
        <v>1</v>
      </c>
      <c r="H1009" s="25" t="str">
        <f t="shared" si="62"/>
        <v>Pcs.</v>
      </c>
      <c r="I1009" s="26">
        <v>999</v>
      </c>
      <c r="J1009" s="27">
        <f t="shared" si="63"/>
        <v>999</v>
      </c>
    </row>
    <row r="1010" spans="1:10" x14ac:dyDescent="0.3">
      <c r="A1010" s="23" t="str">
        <f t="shared" si="60"/>
        <v>01-05-2026</v>
      </c>
      <c r="B1010" s="24" t="s">
        <v>35</v>
      </c>
      <c r="C1010" s="4">
        <v>8909285709467</v>
      </c>
      <c r="D1010" s="24" t="s">
        <v>37</v>
      </c>
      <c r="E1010" s="24" t="s">
        <v>470</v>
      </c>
      <c r="F1010" s="25" t="str">
        <f t="shared" si="61"/>
        <v>FLYING MACHINE</v>
      </c>
      <c r="G1010" s="24">
        <v>1</v>
      </c>
      <c r="H1010" s="25" t="str">
        <f t="shared" si="62"/>
        <v>Pcs.</v>
      </c>
      <c r="I1010" s="26">
        <v>999</v>
      </c>
      <c r="J1010" s="27">
        <f t="shared" si="63"/>
        <v>999</v>
      </c>
    </row>
    <row r="1011" spans="1:10" x14ac:dyDescent="0.3">
      <c r="A1011" s="23" t="str">
        <f t="shared" si="60"/>
        <v>01-05-2026</v>
      </c>
      <c r="B1011" s="24" t="s">
        <v>35</v>
      </c>
      <c r="C1011" s="4">
        <v>8909285709474</v>
      </c>
      <c r="D1011" s="24" t="s">
        <v>57</v>
      </c>
      <c r="E1011" s="24" t="s">
        <v>470</v>
      </c>
      <c r="F1011" s="25" t="str">
        <f t="shared" si="61"/>
        <v>FLYING MACHINE</v>
      </c>
      <c r="G1011" s="24">
        <v>1</v>
      </c>
      <c r="H1011" s="25" t="str">
        <f t="shared" si="62"/>
        <v>Pcs.</v>
      </c>
      <c r="I1011" s="26">
        <v>999</v>
      </c>
      <c r="J1011" s="27">
        <f t="shared" si="63"/>
        <v>999</v>
      </c>
    </row>
    <row r="1012" spans="1:10" x14ac:dyDescent="0.3">
      <c r="A1012" s="23" t="str">
        <f t="shared" si="60"/>
        <v>01-05-2026</v>
      </c>
      <c r="B1012" s="24" t="s">
        <v>35</v>
      </c>
      <c r="C1012" s="4">
        <v>8909285709542</v>
      </c>
      <c r="D1012" s="24" t="s">
        <v>46</v>
      </c>
      <c r="E1012" s="24" t="s">
        <v>471</v>
      </c>
      <c r="F1012" s="25" t="str">
        <f t="shared" si="61"/>
        <v>FLYING MACHINE</v>
      </c>
      <c r="G1012" s="24">
        <v>1</v>
      </c>
      <c r="H1012" s="25" t="str">
        <f t="shared" si="62"/>
        <v>Pcs.</v>
      </c>
      <c r="I1012" s="26">
        <v>999</v>
      </c>
      <c r="J1012" s="27">
        <f t="shared" si="63"/>
        <v>999</v>
      </c>
    </row>
    <row r="1013" spans="1:10" x14ac:dyDescent="0.3">
      <c r="A1013" s="23" t="str">
        <f t="shared" si="60"/>
        <v>01-05-2026</v>
      </c>
      <c r="B1013" s="24" t="s">
        <v>35</v>
      </c>
      <c r="C1013" s="4">
        <v>8909285709566</v>
      </c>
      <c r="D1013" s="24" t="s">
        <v>57</v>
      </c>
      <c r="E1013" s="24" t="s">
        <v>471</v>
      </c>
      <c r="F1013" s="25" t="str">
        <f t="shared" si="61"/>
        <v>FLYING MACHINE</v>
      </c>
      <c r="G1013" s="24">
        <v>1</v>
      </c>
      <c r="H1013" s="25" t="str">
        <f t="shared" si="62"/>
        <v>Pcs.</v>
      </c>
      <c r="I1013" s="26">
        <v>999</v>
      </c>
      <c r="J1013" s="27">
        <f t="shared" si="63"/>
        <v>999</v>
      </c>
    </row>
    <row r="1014" spans="1:10" x14ac:dyDescent="0.3">
      <c r="A1014" s="23" t="str">
        <f t="shared" si="60"/>
        <v>01-05-2026</v>
      </c>
      <c r="B1014" s="24" t="s">
        <v>35</v>
      </c>
      <c r="C1014" s="4">
        <v>8909285709580</v>
      </c>
      <c r="D1014" s="24" t="s">
        <v>39</v>
      </c>
      <c r="E1014" s="24" t="s">
        <v>471</v>
      </c>
      <c r="F1014" s="25" t="str">
        <f t="shared" si="61"/>
        <v>FLYING MACHINE</v>
      </c>
      <c r="G1014" s="24">
        <v>1</v>
      </c>
      <c r="H1014" s="25" t="str">
        <f t="shared" si="62"/>
        <v>Pcs.</v>
      </c>
      <c r="I1014" s="26">
        <v>999</v>
      </c>
      <c r="J1014" s="27">
        <f t="shared" si="63"/>
        <v>999</v>
      </c>
    </row>
    <row r="1015" spans="1:10" x14ac:dyDescent="0.3">
      <c r="A1015" s="23" t="str">
        <f t="shared" si="60"/>
        <v>01-05-2026</v>
      </c>
      <c r="B1015" s="24" t="s">
        <v>35</v>
      </c>
      <c r="C1015" s="4">
        <v>8909285712153</v>
      </c>
      <c r="D1015" s="24" t="s">
        <v>46</v>
      </c>
      <c r="E1015" s="24" t="s">
        <v>130</v>
      </c>
      <c r="F1015" s="25" t="str">
        <f t="shared" si="61"/>
        <v>FLYING MACHINE</v>
      </c>
      <c r="G1015" s="24">
        <v>1</v>
      </c>
      <c r="H1015" s="25" t="str">
        <f t="shared" si="62"/>
        <v>Pcs.</v>
      </c>
      <c r="I1015" s="26">
        <v>1218</v>
      </c>
      <c r="J1015" s="27">
        <f t="shared" si="63"/>
        <v>1218</v>
      </c>
    </row>
    <row r="1016" spans="1:10" x14ac:dyDescent="0.3">
      <c r="A1016" s="23" t="str">
        <f t="shared" si="60"/>
        <v>01-05-2026</v>
      </c>
      <c r="B1016" s="24" t="s">
        <v>35</v>
      </c>
      <c r="C1016" s="4">
        <v>8909285712177</v>
      </c>
      <c r="D1016" s="24" t="s">
        <v>57</v>
      </c>
      <c r="E1016" s="24" t="s">
        <v>130</v>
      </c>
      <c r="F1016" s="25" t="str">
        <f t="shared" si="61"/>
        <v>FLYING MACHINE</v>
      </c>
      <c r="G1016" s="24">
        <v>1</v>
      </c>
      <c r="H1016" s="25" t="str">
        <f t="shared" si="62"/>
        <v>Pcs.</v>
      </c>
      <c r="I1016" s="26">
        <v>1218</v>
      </c>
      <c r="J1016" s="27">
        <f t="shared" si="63"/>
        <v>1218</v>
      </c>
    </row>
    <row r="1017" spans="1:10" x14ac:dyDescent="0.3">
      <c r="A1017" s="23" t="str">
        <f t="shared" si="60"/>
        <v>01-05-2026</v>
      </c>
      <c r="B1017" s="24" t="s">
        <v>35</v>
      </c>
      <c r="C1017" s="4">
        <v>8909285712429</v>
      </c>
      <c r="D1017" s="24" t="s">
        <v>46</v>
      </c>
      <c r="E1017" s="24" t="s">
        <v>472</v>
      </c>
      <c r="F1017" s="25" t="str">
        <f t="shared" si="61"/>
        <v>FLYING MACHINE</v>
      </c>
      <c r="G1017" s="24">
        <v>1</v>
      </c>
      <c r="H1017" s="25" t="str">
        <f t="shared" si="62"/>
        <v>Pcs.</v>
      </c>
      <c r="I1017" s="26">
        <v>1593</v>
      </c>
      <c r="J1017" s="27">
        <f t="shared" si="63"/>
        <v>1593</v>
      </c>
    </row>
    <row r="1018" spans="1:10" x14ac:dyDescent="0.3">
      <c r="A1018" s="23" t="str">
        <f t="shared" si="60"/>
        <v>01-05-2026</v>
      </c>
      <c r="B1018" s="24" t="s">
        <v>35</v>
      </c>
      <c r="C1018" s="4">
        <v>8909285712436</v>
      </c>
      <c r="D1018" s="24" t="s">
        <v>37</v>
      </c>
      <c r="E1018" s="24" t="s">
        <v>472</v>
      </c>
      <c r="F1018" s="25" t="str">
        <f t="shared" si="61"/>
        <v>FLYING MACHINE</v>
      </c>
      <c r="G1018" s="24">
        <v>1</v>
      </c>
      <c r="H1018" s="25" t="str">
        <f t="shared" si="62"/>
        <v>Pcs.</v>
      </c>
      <c r="I1018" s="26">
        <v>1593</v>
      </c>
      <c r="J1018" s="27">
        <f t="shared" si="63"/>
        <v>1593</v>
      </c>
    </row>
    <row r="1019" spans="1:10" x14ac:dyDescent="0.3">
      <c r="A1019" s="23" t="str">
        <f t="shared" si="60"/>
        <v>01-05-2026</v>
      </c>
      <c r="B1019" s="24" t="s">
        <v>35</v>
      </c>
      <c r="C1019" s="4">
        <v>8909285713402</v>
      </c>
      <c r="D1019" s="24" t="s">
        <v>51</v>
      </c>
      <c r="E1019" s="24" t="s">
        <v>473</v>
      </c>
      <c r="F1019" s="25" t="str">
        <f t="shared" si="61"/>
        <v>FLYING MACHINE</v>
      </c>
      <c r="G1019" s="24">
        <v>1</v>
      </c>
      <c r="H1019" s="25" t="str">
        <f t="shared" si="62"/>
        <v>Pcs.</v>
      </c>
      <c r="I1019" s="26">
        <v>1593</v>
      </c>
      <c r="J1019" s="27">
        <f t="shared" si="63"/>
        <v>1593</v>
      </c>
    </row>
    <row r="1020" spans="1:10" x14ac:dyDescent="0.3">
      <c r="A1020" s="23" t="str">
        <f t="shared" si="60"/>
        <v>01-05-2026</v>
      </c>
      <c r="B1020" s="24" t="s">
        <v>35</v>
      </c>
      <c r="C1020" s="4">
        <v>8909285713419</v>
      </c>
      <c r="D1020" s="24" t="s">
        <v>46</v>
      </c>
      <c r="E1020" s="24" t="s">
        <v>473</v>
      </c>
      <c r="F1020" s="25" t="str">
        <f t="shared" si="61"/>
        <v>FLYING MACHINE</v>
      </c>
      <c r="G1020" s="24">
        <v>2</v>
      </c>
      <c r="H1020" s="25" t="str">
        <f t="shared" si="62"/>
        <v>Pcs.</v>
      </c>
      <c r="I1020" s="26">
        <v>1593</v>
      </c>
      <c r="J1020" s="27">
        <f t="shared" si="63"/>
        <v>3186</v>
      </c>
    </row>
    <row r="1021" spans="1:10" x14ac:dyDescent="0.3">
      <c r="A1021" s="23" t="str">
        <f t="shared" si="60"/>
        <v>01-05-2026</v>
      </c>
      <c r="B1021" s="24" t="s">
        <v>35</v>
      </c>
      <c r="C1021" s="4">
        <v>8909285713426</v>
      </c>
      <c r="D1021" s="24" t="s">
        <v>37</v>
      </c>
      <c r="E1021" s="24" t="s">
        <v>473</v>
      </c>
      <c r="F1021" s="25" t="str">
        <f t="shared" si="61"/>
        <v>FLYING MACHINE</v>
      </c>
      <c r="G1021" s="24">
        <v>1</v>
      </c>
      <c r="H1021" s="25" t="str">
        <f t="shared" si="62"/>
        <v>Pcs.</v>
      </c>
      <c r="I1021" s="26">
        <v>1593</v>
      </c>
      <c r="J1021" s="27">
        <f t="shared" si="63"/>
        <v>1593</v>
      </c>
    </row>
    <row r="1022" spans="1:10" x14ac:dyDescent="0.3">
      <c r="A1022" s="23" t="str">
        <f t="shared" si="60"/>
        <v>01-05-2026</v>
      </c>
      <c r="B1022" s="24" t="s">
        <v>35</v>
      </c>
      <c r="C1022" s="4">
        <v>8909285713457</v>
      </c>
      <c r="D1022" s="24" t="s">
        <v>39</v>
      </c>
      <c r="E1022" s="24" t="s">
        <v>473</v>
      </c>
      <c r="F1022" s="25" t="str">
        <f t="shared" si="61"/>
        <v>FLYING MACHINE</v>
      </c>
      <c r="G1022" s="24">
        <v>1</v>
      </c>
      <c r="H1022" s="25" t="str">
        <f t="shared" si="62"/>
        <v>Pcs.</v>
      </c>
      <c r="I1022" s="26">
        <v>1593</v>
      </c>
      <c r="J1022" s="27">
        <f t="shared" si="63"/>
        <v>1593</v>
      </c>
    </row>
    <row r="1023" spans="1:10" x14ac:dyDescent="0.3">
      <c r="A1023" s="23" t="str">
        <f t="shared" si="60"/>
        <v>01-05-2026</v>
      </c>
      <c r="B1023" s="24" t="s">
        <v>35</v>
      </c>
      <c r="C1023" s="4">
        <v>8909285713709</v>
      </c>
      <c r="D1023" s="24" t="s">
        <v>57</v>
      </c>
      <c r="E1023" s="24" t="s">
        <v>474</v>
      </c>
      <c r="F1023" s="25" t="str">
        <f t="shared" si="61"/>
        <v>FLYING MACHINE</v>
      </c>
      <c r="G1023" s="24">
        <v>1</v>
      </c>
      <c r="H1023" s="25" t="str">
        <f t="shared" si="62"/>
        <v>Pcs.</v>
      </c>
      <c r="I1023" s="26">
        <v>1593</v>
      </c>
      <c r="J1023" s="27">
        <f t="shared" si="63"/>
        <v>1593</v>
      </c>
    </row>
    <row r="1024" spans="1:10" x14ac:dyDescent="0.3">
      <c r="A1024" s="23" t="str">
        <f t="shared" si="60"/>
        <v>01-05-2026</v>
      </c>
      <c r="B1024" s="24" t="s">
        <v>35</v>
      </c>
      <c r="C1024" s="4">
        <v>8909286790426</v>
      </c>
      <c r="D1024" s="24" t="s">
        <v>37</v>
      </c>
      <c r="E1024" s="24" t="s">
        <v>124</v>
      </c>
      <c r="F1024" s="25" t="str">
        <f t="shared" si="61"/>
        <v>FLYING MACHINE</v>
      </c>
      <c r="G1024" s="24">
        <v>1</v>
      </c>
      <c r="H1024" s="25" t="str">
        <f t="shared" si="62"/>
        <v>Pcs.</v>
      </c>
      <c r="I1024" s="26">
        <v>1499.06</v>
      </c>
      <c r="J1024" s="27">
        <f t="shared" si="63"/>
        <v>1499.06</v>
      </c>
    </row>
    <row r="1025" spans="1:10" x14ac:dyDescent="0.3">
      <c r="A1025" s="23" t="str">
        <f t="shared" si="60"/>
        <v>01-05-2026</v>
      </c>
      <c r="B1025" s="24" t="s">
        <v>35</v>
      </c>
      <c r="C1025" s="4">
        <v>8909286901822</v>
      </c>
      <c r="D1025" s="24" t="s">
        <v>51</v>
      </c>
      <c r="E1025" s="24" t="s">
        <v>101</v>
      </c>
      <c r="F1025" s="25" t="str">
        <f t="shared" si="61"/>
        <v>FLYING MACHINE</v>
      </c>
      <c r="G1025" s="24">
        <v>1</v>
      </c>
      <c r="H1025" s="25" t="str">
        <f t="shared" si="62"/>
        <v>Pcs.</v>
      </c>
      <c r="I1025" s="26">
        <v>1405.31</v>
      </c>
      <c r="J1025" s="27">
        <f t="shared" si="63"/>
        <v>1405.31</v>
      </c>
    </row>
    <row r="1026" spans="1:10" x14ac:dyDescent="0.3">
      <c r="A1026" s="23" t="str">
        <f t="shared" si="60"/>
        <v>01-05-2026</v>
      </c>
      <c r="B1026" s="24" t="s">
        <v>35</v>
      </c>
      <c r="C1026" s="4">
        <v>8909286901839</v>
      </c>
      <c r="D1026" s="24" t="s">
        <v>46</v>
      </c>
      <c r="E1026" s="24" t="s">
        <v>101</v>
      </c>
      <c r="F1026" s="25" t="str">
        <f t="shared" si="61"/>
        <v>FLYING MACHINE</v>
      </c>
      <c r="G1026" s="24">
        <v>2</v>
      </c>
      <c r="H1026" s="25" t="str">
        <f t="shared" si="62"/>
        <v>Pcs.</v>
      </c>
      <c r="I1026" s="26">
        <v>1405.31</v>
      </c>
      <c r="J1026" s="27">
        <f t="shared" si="63"/>
        <v>2810.62</v>
      </c>
    </row>
    <row r="1027" spans="1:10" x14ac:dyDescent="0.3">
      <c r="A1027" s="23" t="str">
        <f t="shared" si="60"/>
        <v>01-05-2026</v>
      </c>
      <c r="B1027" s="24" t="s">
        <v>35</v>
      </c>
      <c r="C1027" s="4">
        <v>8909286901846</v>
      </c>
      <c r="D1027" s="24" t="s">
        <v>37</v>
      </c>
      <c r="E1027" s="24" t="s">
        <v>101</v>
      </c>
      <c r="F1027" s="25" t="str">
        <f t="shared" si="61"/>
        <v>FLYING MACHINE</v>
      </c>
      <c r="G1027" s="24">
        <v>1</v>
      </c>
      <c r="H1027" s="25" t="str">
        <f t="shared" si="62"/>
        <v>Pcs.</v>
      </c>
      <c r="I1027" s="26">
        <v>1405.31</v>
      </c>
      <c r="J1027" s="27">
        <f t="shared" si="63"/>
        <v>1405.31</v>
      </c>
    </row>
    <row r="1028" spans="1:10" x14ac:dyDescent="0.3">
      <c r="A1028" s="23" t="str">
        <f t="shared" si="60"/>
        <v>01-05-2026</v>
      </c>
      <c r="B1028" s="24" t="s">
        <v>35</v>
      </c>
      <c r="C1028" s="4">
        <v>8909286902270</v>
      </c>
      <c r="D1028" s="24" t="s">
        <v>51</v>
      </c>
      <c r="E1028" s="24" t="s">
        <v>475</v>
      </c>
      <c r="F1028" s="25" t="str">
        <f t="shared" si="61"/>
        <v>FLYING MACHINE</v>
      </c>
      <c r="G1028" s="24">
        <v>2</v>
      </c>
      <c r="H1028" s="25" t="str">
        <f t="shared" si="62"/>
        <v>Pcs.</v>
      </c>
      <c r="I1028" s="26">
        <v>1405.31</v>
      </c>
      <c r="J1028" s="27">
        <f t="shared" si="63"/>
        <v>2810.62</v>
      </c>
    </row>
    <row r="1029" spans="1:10" x14ac:dyDescent="0.3">
      <c r="A1029" s="23" t="str">
        <f t="shared" ref="A1029:A1092" si="64">IF(C1029&gt;0,RIGHT($D$3,10)," ")</f>
        <v>01-05-2026</v>
      </c>
      <c r="B1029" s="24" t="s">
        <v>35</v>
      </c>
      <c r="C1029" s="4">
        <v>8909286902287</v>
      </c>
      <c r="D1029" s="24" t="s">
        <v>46</v>
      </c>
      <c r="E1029" s="24" t="s">
        <v>475</v>
      </c>
      <c r="F1029" s="25" t="str">
        <f t="shared" ref="F1029:F1092" si="65">IF(C1029&gt;0,$C$3," ")</f>
        <v>FLYING MACHINE</v>
      </c>
      <c r="G1029" s="24">
        <v>2</v>
      </c>
      <c r="H1029" s="25" t="str">
        <f t="shared" ref="H1029:H1092" si="66">IF(G1029&gt;0,"Pcs."," ")</f>
        <v>Pcs.</v>
      </c>
      <c r="I1029" s="26">
        <v>1405.31</v>
      </c>
      <c r="J1029" s="27">
        <f t="shared" ref="J1029:J1092" si="67">IF(I1029*G1029=0," ",I1029*G1029)</f>
        <v>2810.62</v>
      </c>
    </row>
    <row r="1030" spans="1:10" x14ac:dyDescent="0.3">
      <c r="A1030" s="23" t="str">
        <f t="shared" si="64"/>
        <v>01-05-2026</v>
      </c>
      <c r="B1030" s="24" t="s">
        <v>35</v>
      </c>
      <c r="C1030" s="4">
        <v>8909286902294</v>
      </c>
      <c r="D1030" s="24" t="s">
        <v>37</v>
      </c>
      <c r="E1030" s="24" t="s">
        <v>475</v>
      </c>
      <c r="F1030" s="25" t="str">
        <f t="shared" si="65"/>
        <v>FLYING MACHINE</v>
      </c>
      <c r="G1030" s="24">
        <v>1</v>
      </c>
      <c r="H1030" s="25" t="str">
        <f t="shared" si="66"/>
        <v>Pcs.</v>
      </c>
      <c r="I1030" s="26">
        <v>1405.31</v>
      </c>
      <c r="J1030" s="27">
        <f t="shared" si="67"/>
        <v>1405.31</v>
      </c>
    </row>
    <row r="1031" spans="1:10" x14ac:dyDescent="0.3">
      <c r="A1031" s="23" t="str">
        <f t="shared" si="64"/>
        <v>01-05-2026</v>
      </c>
      <c r="B1031" s="24" t="s">
        <v>35</v>
      </c>
      <c r="C1031" s="4">
        <v>8909286902300</v>
      </c>
      <c r="D1031" s="24" t="s">
        <v>57</v>
      </c>
      <c r="E1031" s="24" t="s">
        <v>475</v>
      </c>
      <c r="F1031" s="25" t="str">
        <f t="shared" si="65"/>
        <v>FLYING MACHINE</v>
      </c>
      <c r="G1031" s="24">
        <v>1</v>
      </c>
      <c r="H1031" s="25" t="str">
        <f t="shared" si="66"/>
        <v>Pcs.</v>
      </c>
      <c r="I1031" s="26">
        <v>1405.31</v>
      </c>
      <c r="J1031" s="27">
        <f t="shared" si="67"/>
        <v>1405.31</v>
      </c>
    </row>
    <row r="1032" spans="1:10" x14ac:dyDescent="0.3">
      <c r="A1032" s="23" t="str">
        <f t="shared" si="64"/>
        <v>01-05-2026</v>
      </c>
      <c r="B1032" s="24" t="s">
        <v>35</v>
      </c>
      <c r="C1032" s="4">
        <v>8909286903178</v>
      </c>
      <c r="D1032" s="24" t="s">
        <v>51</v>
      </c>
      <c r="E1032" s="24" t="s">
        <v>476</v>
      </c>
      <c r="F1032" s="25" t="str">
        <f t="shared" si="65"/>
        <v>FLYING MACHINE</v>
      </c>
      <c r="G1032" s="24">
        <v>2</v>
      </c>
      <c r="H1032" s="25" t="str">
        <f t="shared" si="66"/>
        <v>Pcs.</v>
      </c>
      <c r="I1032" s="26">
        <v>1217.81</v>
      </c>
      <c r="J1032" s="27">
        <f t="shared" si="67"/>
        <v>2435.62</v>
      </c>
    </row>
    <row r="1033" spans="1:10" x14ac:dyDescent="0.3">
      <c r="A1033" s="23" t="str">
        <f t="shared" si="64"/>
        <v>01-05-2026</v>
      </c>
      <c r="B1033" s="24" t="s">
        <v>35</v>
      </c>
      <c r="C1033" s="4">
        <v>8909286903185</v>
      </c>
      <c r="D1033" s="24" t="s">
        <v>46</v>
      </c>
      <c r="E1033" s="24" t="s">
        <v>476</v>
      </c>
      <c r="F1033" s="25" t="str">
        <f t="shared" si="65"/>
        <v>FLYING MACHINE</v>
      </c>
      <c r="G1033" s="24">
        <v>2</v>
      </c>
      <c r="H1033" s="25" t="str">
        <f t="shared" si="66"/>
        <v>Pcs.</v>
      </c>
      <c r="I1033" s="26">
        <v>1217.81</v>
      </c>
      <c r="J1033" s="27">
        <f t="shared" si="67"/>
        <v>2435.62</v>
      </c>
    </row>
    <row r="1034" spans="1:10" x14ac:dyDescent="0.3">
      <c r="A1034" s="23" t="str">
        <f t="shared" si="64"/>
        <v>01-05-2026</v>
      </c>
      <c r="B1034" s="24" t="s">
        <v>35</v>
      </c>
      <c r="C1034" s="4">
        <v>8909286903192</v>
      </c>
      <c r="D1034" s="24" t="s">
        <v>37</v>
      </c>
      <c r="E1034" s="24" t="s">
        <v>476</v>
      </c>
      <c r="F1034" s="25" t="str">
        <f t="shared" si="65"/>
        <v>FLYING MACHINE</v>
      </c>
      <c r="G1034" s="24">
        <v>1</v>
      </c>
      <c r="H1034" s="25" t="str">
        <f t="shared" si="66"/>
        <v>Pcs.</v>
      </c>
      <c r="I1034" s="26">
        <v>1217.81</v>
      </c>
      <c r="J1034" s="27">
        <f t="shared" si="67"/>
        <v>1217.81</v>
      </c>
    </row>
    <row r="1035" spans="1:10" x14ac:dyDescent="0.3">
      <c r="A1035" s="23" t="str">
        <f t="shared" si="64"/>
        <v>01-05-2026</v>
      </c>
      <c r="B1035" s="24" t="s">
        <v>35</v>
      </c>
      <c r="C1035" s="4">
        <v>8909286903208</v>
      </c>
      <c r="D1035" s="24" t="s">
        <v>57</v>
      </c>
      <c r="E1035" s="24" t="s">
        <v>476</v>
      </c>
      <c r="F1035" s="25" t="str">
        <f t="shared" si="65"/>
        <v>FLYING MACHINE</v>
      </c>
      <c r="G1035" s="24">
        <v>1</v>
      </c>
      <c r="H1035" s="25" t="str">
        <f t="shared" si="66"/>
        <v>Pcs.</v>
      </c>
      <c r="I1035" s="26">
        <v>1217.81</v>
      </c>
      <c r="J1035" s="27">
        <f t="shared" si="67"/>
        <v>1217.81</v>
      </c>
    </row>
    <row r="1036" spans="1:10" x14ac:dyDescent="0.3">
      <c r="A1036" s="23" t="str">
        <f t="shared" si="64"/>
        <v>01-05-2026</v>
      </c>
      <c r="B1036" s="24" t="s">
        <v>35</v>
      </c>
      <c r="C1036" s="4">
        <v>8909286903802</v>
      </c>
      <c r="D1036" s="24" t="s">
        <v>51</v>
      </c>
      <c r="E1036" s="24" t="s">
        <v>477</v>
      </c>
      <c r="F1036" s="25" t="str">
        <f t="shared" si="65"/>
        <v>FLYING MACHINE</v>
      </c>
      <c r="G1036" s="24">
        <v>2</v>
      </c>
      <c r="H1036" s="25" t="str">
        <f t="shared" si="66"/>
        <v>Pcs.</v>
      </c>
      <c r="I1036" s="26">
        <v>1405.31</v>
      </c>
      <c r="J1036" s="27">
        <f t="shared" si="67"/>
        <v>2810.62</v>
      </c>
    </row>
    <row r="1037" spans="1:10" x14ac:dyDescent="0.3">
      <c r="A1037" s="23" t="str">
        <f t="shared" si="64"/>
        <v>01-05-2026</v>
      </c>
      <c r="B1037" s="24" t="s">
        <v>35</v>
      </c>
      <c r="C1037" s="4">
        <v>8909286903819</v>
      </c>
      <c r="D1037" s="24" t="s">
        <v>46</v>
      </c>
      <c r="E1037" s="24" t="s">
        <v>477</v>
      </c>
      <c r="F1037" s="25" t="str">
        <f t="shared" si="65"/>
        <v>FLYING MACHINE</v>
      </c>
      <c r="G1037" s="24">
        <v>2</v>
      </c>
      <c r="H1037" s="25" t="str">
        <f t="shared" si="66"/>
        <v>Pcs.</v>
      </c>
      <c r="I1037" s="26">
        <v>1405.31</v>
      </c>
      <c r="J1037" s="27">
        <f t="shared" si="67"/>
        <v>2810.62</v>
      </c>
    </row>
    <row r="1038" spans="1:10" x14ac:dyDescent="0.3">
      <c r="A1038" s="23" t="str">
        <f t="shared" si="64"/>
        <v>01-05-2026</v>
      </c>
      <c r="B1038" s="24" t="s">
        <v>35</v>
      </c>
      <c r="C1038" s="4">
        <v>8909286903826</v>
      </c>
      <c r="D1038" s="24" t="s">
        <v>37</v>
      </c>
      <c r="E1038" s="24" t="s">
        <v>477</v>
      </c>
      <c r="F1038" s="25" t="str">
        <f t="shared" si="65"/>
        <v>FLYING MACHINE</v>
      </c>
      <c r="G1038" s="24">
        <v>1</v>
      </c>
      <c r="H1038" s="25" t="str">
        <f t="shared" si="66"/>
        <v>Pcs.</v>
      </c>
      <c r="I1038" s="26">
        <v>1405.31</v>
      </c>
      <c r="J1038" s="27">
        <f t="shared" si="67"/>
        <v>1405.31</v>
      </c>
    </row>
    <row r="1039" spans="1:10" x14ac:dyDescent="0.3">
      <c r="A1039" s="23" t="str">
        <f t="shared" si="64"/>
        <v>01-05-2026</v>
      </c>
      <c r="B1039" s="24" t="s">
        <v>35</v>
      </c>
      <c r="C1039" s="4">
        <v>8909286903833</v>
      </c>
      <c r="D1039" s="24" t="s">
        <v>57</v>
      </c>
      <c r="E1039" s="24" t="s">
        <v>477</v>
      </c>
      <c r="F1039" s="25" t="str">
        <f t="shared" si="65"/>
        <v>FLYING MACHINE</v>
      </c>
      <c r="G1039" s="24">
        <v>1</v>
      </c>
      <c r="H1039" s="25" t="str">
        <f t="shared" si="66"/>
        <v>Pcs.</v>
      </c>
      <c r="I1039" s="26">
        <v>1405.31</v>
      </c>
      <c r="J1039" s="27">
        <f t="shared" si="67"/>
        <v>1405.31</v>
      </c>
    </row>
    <row r="1040" spans="1:10" x14ac:dyDescent="0.3">
      <c r="A1040" s="23" t="str">
        <f t="shared" si="64"/>
        <v>01-05-2026</v>
      </c>
      <c r="B1040" s="24" t="s">
        <v>35</v>
      </c>
      <c r="C1040" s="4">
        <v>8909286904441</v>
      </c>
      <c r="D1040" s="24" t="s">
        <v>46</v>
      </c>
      <c r="E1040" s="24" t="s">
        <v>79</v>
      </c>
      <c r="F1040" s="25" t="str">
        <f t="shared" si="65"/>
        <v>FLYING MACHINE</v>
      </c>
      <c r="G1040" s="24">
        <v>2</v>
      </c>
      <c r="H1040" s="25" t="str">
        <f t="shared" si="66"/>
        <v>Pcs.</v>
      </c>
      <c r="I1040" s="26">
        <v>1217.81</v>
      </c>
      <c r="J1040" s="27">
        <f t="shared" si="67"/>
        <v>2435.62</v>
      </c>
    </row>
    <row r="1041" spans="1:10" x14ac:dyDescent="0.3">
      <c r="A1041" s="23" t="str">
        <f t="shared" si="64"/>
        <v>01-05-2026</v>
      </c>
      <c r="B1041" s="24" t="s">
        <v>35</v>
      </c>
      <c r="C1041" s="4">
        <v>8909286904700</v>
      </c>
      <c r="D1041" s="24" t="s">
        <v>51</v>
      </c>
      <c r="E1041" s="24" t="s">
        <v>478</v>
      </c>
      <c r="F1041" s="25" t="str">
        <f t="shared" si="65"/>
        <v>FLYING MACHINE</v>
      </c>
      <c r="G1041" s="24">
        <v>2</v>
      </c>
      <c r="H1041" s="25" t="str">
        <f t="shared" si="66"/>
        <v>Pcs.</v>
      </c>
      <c r="I1041" s="26">
        <v>1217.81</v>
      </c>
      <c r="J1041" s="27">
        <f t="shared" si="67"/>
        <v>2435.62</v>
      </c>
    </row>
    <row r="1042" spans="1:10" x14ac:dyDescent="0.3">
      <c r="A1042" s="23" t="str">
        <f t="shared" si="64"/>
        <v>01-05-2026</v>
      </c>
      <c r="B1042" s="24" t="s">
        <v>35</v>
      </c>
      <c r="C1042" s="4">
        <v>8909286904717</v>
      </c>
      <c r="D1042" s="24" t="s">
        <v>46</v>
      </c>
      <c r="E1042" s="24" t="s">
        <v>478</v>
      </c>
      <c r="F1042" s="25" t="str">
        <f t="shared" si="65"/>
        <v>FLYING MACHINE</v>
      </c>
      <c r="G1042" s="24">
        <v>2</v>
      </c>
      <c r="H1042" s="25" t="str">
        <f t="shared" si="66"/>
        <v>Pcs.</v>
      </c>
      <c r="I1042" s="26">
        <v>1217.81</v>
      </c>
      <c r="J1042" s="27">
        <f t="shared" si="67"/>
        <v>2435.62</v>
      </c>
    </row>
    <row r="1043" spans="1:10" x14ac:dyDescent="0.3">
      <c r="A1043" s="23" t="str">
        <f t="shared" si="64"/>
        <v>01-05-2026</v>
      </c>
      <c r="B1043" s="24" t="s">
        <v>35</v>
      </c>
      <c r="C1043" s="4">
        <v>8909286904731</v>
      </c>
      <c r="D1043" s="24" t="s">
        <v>57</v>
      </c>
      <c r="E1043" s="24" t="s">
        <v>478</v>
      </c>
      <c r="F1043" s="25" t="str">
        <f t="shared" si="65"/>
        <v>FLYING MACHINE</v>
      </c>
      <c r="G1043" s="24">
        <v>1</v>
      </c>
      <c r="H1043" s="25" t="str">
        <f t="shared" si="66"/>
        <v>Pcs.</v>
      </c>
      <c r="I1043" s="26">
        <v>1217.81</v>
      </c>
      <c r="J1043" s="27">
        <f t="shared" si="67"/>
        <v>1217.81</v>
      </c>
    </row>
    <row r="1044" spans="1:10" x14ac:dyDescent="0.3">
      <c r="A1044" s="23" t="str">
        <f t="shared" si="64"/>
        <v>01-05-2026</v>
      </c>
      <c r="B1044" s="24" t="s">
        <v>35</v>
      </c>
      <c r="C1044" s="4">
        <v>8909286905240</v>
      </c>
      <c r="D1044" s="24" t="s">
        <v>51</v>
      </c>
      <c r="E1044" s="24" t="s">
        <v>479</v>
      </c>
      <c r="F1044" s="25" t="str">
        <f t="shared" si="65"/>
        <v>FLYING MACHINE</v>
      </c>
      <c r="G1044" s="24">
        <v>2</v>
      </c>
      <c r="H1044" s="25" t="str">
        <f t="shared" si="66"/>
        <v>Pcs.</v>
      </c>
      <c r="I1044" s="26">
        <v>999</v>
      </c>
      <c r="J1044" s="27">
        <f t="shared" si="67"/>
        <v>1998</v>
      </c>
    </row>
    <row r="1045" spans="1:10" x14ac:dyDescent="0.3">
      <c r="A1045" s="23" t="str">
        <f t="shared" si="64"/>
        <v>01-05-2026</v>
      </c>
      <c r="B1045" s="24" t="s">
        <v>35</v>
      </c>
      <c r="C1045" s="4">
        <v>8909286905257</v>
      </c>
      <c r="D1045" s="24" t="s">
        <v>46</v>
      </c>
      <c r="E1045" s="24" t="s">
        <v>479</v>
      </c>
      <c r="F1045" s="25" t="str">
        <f t="shared" si="65"/>
        <v>FLYING MACHINE</v>
      </c>
      <c r="G1045" s="24">
        <v>2</v>
      </c>
      <c r="H1045" s="25" t="str">
        <f t="shared" si="66"/>
        <v>Pcs.</v>
      </c>
      <c r="I1045" s="26">
        <v>999</v>
      </c>
      <c r="J1045" s="27">
        <f t="shared" si="67"/>
        <v>1998</v>
      </c>
    </row>
    <row r="1046" spans="1:10" x14ac:dyDescent="0.3">
      <c r="A1046" s="23" t="str">
        <f t="shared" si="64"/>
        <v>01-05-2026</v>
      </c>
      <c r="B1046" s="24" t="s">
        <v>35</v>
      </c>
      <c r="C1046" s="4">
        <v>8909286905264</v>
      </c>
      <c r="D1046" s="24" t="s">
        <v>37</v>
      </c>
      <c r="E1046" s="24" t="s">
        <v>479</v>
      </c>
      <c r="F1046" s="25" t="str">
        <f t="shared" si="65"/>
        <v>FLYING MACHINE</v>
      </c>
      <c r="G1046" s="24">
        <v>1</v>
      </c>
      <c r="H1046" s="25" t="str">
        <f t="shared" si="66"/>
        <v>Pcs.</v>
      </c>
      <c r="I1046" s="26">
        <v>999</v>
      </c>
      <c r="J1046" s="27">
        <f t="shared" si="67"/>
        <v>999</v>
      </c>
    </row>
    <row r="1047" spans="1:10" x14ac:dyDescent="0.3">
      <c r="A1047" s="23" t="str">
        <f t="shared" si="64"/>
        <v>01-05-2026</v>
      </c>
      <c r="B1047" s="24" t="s">
        <v>35</v>
      </c>
      <c r="C1047" s="4">
        <v>8909286905271</v>
      </c>
      <c r="D1047" s="24" t="s">
        <v>57</v>
      </c>
      <c r="E1047" s="24" t="s">
        <v>479</v>
      </c>
      <c r="F1047" s="25" t="str">
        <f t="shared" si="65"/>
        <v>FLYING MACHINE</v>
      </c>
      <c r="G1047" s="24">
        <v>1</v>
      </c>
      <c r="H1047" s="25" t="str">
        <f t="shared" si="66"/>
        <v>Pcs.</v>
      </c>
      <c r="I1047" s="26">
        <v>999</v>
      </c>
      <c r="J1047" s="27">
        <f t="shared" si="67"/>
        <v>999</v>
      </c>
    </row>
    <row r="1048" spans="1:10" x14ac:dyDescent="0.3">
      <c r="A1048" s="23" t="str">
        <f t="shared" si="64"/>
        <v>01-05-2026</v>
      </c>
      <c r="B1048" s="24" t="s">
        <v>35</v>
      </c>
      <c r="C1048" s="4">
        <v>8909286905783</v>
      </c>
      <c r="D1048" s="24" t="s">
        <v>51</v>
      </c>
      <c r="E1048" s="24" t="s">
        <v>87</v>
      </c>
      <c r="F1048" s="25" t="str">
        <f t="shared" si="65"/>
        <v>FLYING MACHINE</v>
      </c>
      <c r="G1048" s="24">
        <v>2</v>
      </c>
      <c r="H1048" s="25" t="str">
        <f t="shared" si="66"/>
        <v>Pcs.</v>
      </c>
      <c r="I1048" s="26">
        <v>999</v>
      </c>
      <c r="J1048" s="27">
        <f t="shared" si="67"/>
        <v>1998</v>
      </c>
    </row>
    <row r="1049" spans="1:10" x14ac:dyDescent="0.3">
      <c r="A1049" s="23" t="str">
        <f t="shared" si="64"/>
        <v>01-05-2026</v>
      </c>
      <c r="B1049" s="24" t="s">
        <v>35</v>
      </c>
      <c r="C1049" s="4">
        <v>8909286905790</v>
      </c>
      <c r="D1049" s="24" t="s">
        <v>46</v>
      </c>
      <c r="E1049" s="24" t="s">
        <v>87</v>
      </c>
      <c r="F1049" s="25" t="str">
        <f t="shared" si="65"/>
        <v>FLYING MACHINE</v>
      </c>
      <c r="G1049" s="24">
        <v>2</v>
      </c>
      <c r="H1049" s="25" t="str">
        <f t="shared" si="66"/>
        <v>Pcs.</v>
      </c>
      <c r="I1049" s="26">
        <v>999</v>
      </c>
      <c r="J1049" s="27">
        <f t="shared" si="67"/>
        <v>1998</v>
      </c>
    </row>
    <row r="1050" spans="1:10" x14ac:dyDescent="0.3">
      <c r="A1050" s="23" t="str">
        <f t="shared" si="64"/>
        <v>01-05-2026</v>
      </c>
      <c r="B1050" s="24" t="s">
        <v>35</v>
      </c>
      <c r="C1050" s="4">
        <v>8909286905813</v>
      </c>
      <c r="D1050" s="24" t="s">
        <v>57</v>
      </c>
      <c r="E1050" s="24" t="s">
        <v>87</v>
      </c>
      <c r="F1050" s="25" t="str">
        <f t="shared" si="65"/>
        <v>FLYING MACHINE</v>
      </c>
      <c r="G1050" s="24">
        <v>1</v>
      </c>
      <c r="H1050" s="25" t="str">
        <f t="shared" si="66"/>
        <v>Pcs.</v>
      </c>
      <c r="I1050" s="26">
        <v>999</v>
      </c>
      <c r="J1050" s="27">
        <f t="shared" si="67"/>
        <v>999</v>
      </c>
    </row>
    <row r="1051" spans="1:10" x14ac:dyDescent="0.3">
      <c r="A1051" s="23" t="str">
        <f t="shared" si="64"/>
        <v>01-05-2026</v>
      </c>
      <c r="B1051" s="24" t="s">
        <v>35</v>
      </c>
      <c r="C1051" s="4">
        <v>8909286907138</v>
      </c>
      <c r="D1051" s="24" t="s">
        <v>51</v>
      </c>
      <c r="E1051" s="24" t="s">
        <v>92</v>
      </c>
      <c r="F1051" s="25" t="str">
        <f t="shared" si="65"/>
        <v>FLYING MACHINE</v>
      </c>
      <c r="G1051" s="24">
        <v>1</v>
      </c>
      <c r="H1051" s="25" t="str">
        <f t="shared" si="66"/>
        <v>Pcs.</v>
      </c>
      <c r="I1051" s="26">
        <v>999</v>
      </c>
      <c r="J1051" s="27">
        <f t="shared" si="67"/>
        <v>999</v>
      </c>
    </row>
    <row r="1052" spans="1:10" x14ac:dyDescent="0.3">
      <c r="A1052" s="23" t="str">
        <f t="shared" si="64"/>
        <v>01-05-2026</v>
      </c>
      <c r="B1052" s="24" t="s">
        <v>35</v>
      </c>
      <c r="C1052" s="4">
        <v>8909286907145</v>
      </c>
      <c r="D1052" s="24" t="s">
        <v>46</v>
      </c>
      <c r="E1052" s="24" t="s">
        <v>92</v>
      </c>
      <c r="F1052" s="25" t="str">
        <f t="shared" si="65"/>
        <v>FLYING MACHINE</v>
      </c>
      <c r="G1052" s="24">
        <v>1</v>
      </c>
      <c r="H1052" s="25" t="str">
        <f t="shared" si="66"/>
        <v>Pcs.</v>
      </c>
      <c r="I1052" s="26">
        <v>999</v>
      </c>
      <c r="J1052" s="27">
        <f t="shared" si="67"/>
        <v>999</v>
      </c>
    </row>
    <row r="1053" spans="1:10" x14ac:dyDescent="0.3">
      <c r="A1053" s="23" t="str">
        <f t="shared" si="64"/>
        <v>01-05-2026</v>
      </c>
      <c r="B1053" s="24" t="s">
        <v>35</v>
      </c>
      <c r="C1053" s="4">
        <v>8909286907169</v>
      </c>
      <c r="D1053" s="24" t="s">
        <v>57</v>
      </c>
      <c r="E1053" s="24" t="s">
        <v>92</v>
      </c>
      <c r="F1053" s="25" t="str">
        <f t="shared" si="65"/>
        <v>FLYING MACHINE</v>
      </c>
      <c r="G1053" s="24">
        <v>1</v>
      </c>
      <c r="H1053" s="25" t="str">
        <f t="shared" si="66"/>
        <v>Pcs.</v>
      </c>
      <c r="I1053" s="26">
        <v>999</v>
      </c>
      <c r="J1053" s="27">
        <f t="shared" si="67"/>
        <v>999</v>
      </c>
    </row>
    <row r="1054" spans="1:10" x14ac:dyDescent="0.3">
      <c r="A1054" s="23" t="str">
        <f t="shared" si="64"/>
        <v>01-05-2026</v>
      </c>
      <c r="B1054" s="24" t="s">
        <v>35</v>
      </c>
      <c r="C1054" s="4">
        <v>8909286907220</v>
      </c>
      <c r="D1054" s="24" t="s">
        <v>51</v>
      </c>
      <c r="E1054" s="24" t="s">
        <v>99</v>
      </c>
      <c r="F1054" s="25" t="str">
        <f t="shared" si="65"/>
        <v>FLYING MACHINE</v>
      </c>
      <c r="G1054" s="24">
        <v>1</v>
      </c>
      <c r="H1054" s="25" t="str">
        <f t="shared" si="66"/>
        <v>Pcs.</v>
      </c>
      <c r="I1054" s="26">
        <v>999</v>
      </c>
      <c r="J1054" s="27">
        <f t="shared" si="67"/>
        <v>999</v>
      </c>
    </row>
    <row r="1055" spans="1:10" x14ac:dyDescent="0.3">
      <c r="A1055" s="23" t="str">
        <f t="shared" si="64"/>
        <v>01-05-2026</v>
      </c>
      <c r="B1055" s="24" t="s">
        <v>35</v>
      </c>
      <c r="C1055" s="4">
        <v>8909286907237</v>
      </c>
      <c r="D1055" s="24" t="s">
        <v>46</v>
      </c>
      <c r="E1055" s="24" t="s">
        <v>99</v>
      </c>
      <c r="F1055" s="25" t="str">
        <f t="shared" si="65"/>
        <v>FLYING MACHINE</v>
      </c>
      <c r="G1055" s="24">
        <v>2</v>
      </c>
      <c r="H1055" s="25" t="str">
        <f t="shared" si="66"/>
        <v>Pcs.</v>
      </c>
      <c r="I1055" s="26">
        <v>999</v>
      </c>
      <c r="J1055" s="27">
        <f t="shared" si="67"/>
        <v>1998</v>
      </c>
    </row>
    <row r="1056" spans="1:10" x14ac:dyDescent="0.3">
      <c r="A1056" s="23" t="str">
        <f t="shared" si="64"/>
        <v>01-05-2026</v>
      </c>
      <c r="B1056" s="24" t="s">
        <v>35</v>
      </c>
      <c r="C1056" s="4">
        <v>8909286907244</v>
      </c>
      <c r="D1056" s="24" t="s">
        <v>37</v>
      </c>
      <c r="E1056" s="24" t="s">
        <v>99</v>
      </c>
      <c r="F1056" s="25" t="str">
        <f t="shared" si="65"/>
        <v>FLYING MACHINE</v>
      </c>
      <c r="G1056" s="24">
        <v>1</v>
      </c>
      <c r="H1056" s="25" t="str">
        <f t="shared" si="66"/>
        <v>Pcs.</v>
      </c>
      <c r="I1056" s="26">
        <v>999</v>
      </c>
      <c r="J1056" s="27">
        <f t="shared" si="67"/>
        <v>999</v>
      </c>
    </row>
    <row r="1057" spans="1:10" x14ac:dyDescent="0.3">
      <c r="A1057" s="23" t="str">
        <f t="shared" si="64"/>
        <v>01-05-2026</v>
      </c>
      <c r="B1057" s="24" t="s">
        <v>35</v>
      </c>
      <c r="C1057" s="4">
        <v>8909286907312</v>
      </c>
      <c r="D1057" s="24" t="s">
        <v>51</v>
      </c>
      <c r="E1057" s="24" t="s">
        <v>480</v>
      </c>
      <c r="F1057" s="25" t="str">
        <f t="shared" si="65"/>
        <v>FLYING MACHINE</v>
      </c>
      <c r="G1057" s="24">
        <v>2</v>
      </c>
      <c r="H1057" s="25" t="str">
        <f t="shared" si="66"/>
        <v>Pcs.</v>
      </c>
      <c r="I1057" s="26">
        <v>999</v>
      </c>
      <c r="J1057" s="27">
        <f t="shared" si="67"/>
        <v>1998</v>
      </c>
    </row>
    <row r="1058" spans="1:10" x14ac:dyDescent="0.3">
      <c r="A1058" s="23" t="str">
        <f t="shared" si="64"/>
        <v>01-05-2026</v>
      </c>
      <c r="B1058" s="24" t="s">
        <v>35</v>
      </c>
      <c r="C1058" s="4">
        <v>8909286907329</v>
      </c>
      <c r="D1058" s="24" t="s">
        <v>46</v>
      </c>
      <c r="E1058" s="24" t="s">
        <v>480</v>
      </c>
      <c r="F1058" s="25" t="str">
        <f t="shared" si="65"/>
        <v>FLYING MACHINE</v>
      </c>
      <c r="G1058" s="24">
        <v>2</v>
      </c>
      <c r="H1058" s="25" t="str">
        <f t="shared" si="66"/>
        <v>Pcs.</v>
      </c>
      <c r="I1058" s="26">
        <v>999</v>
      </c>
      <c r="J1058" s="27">
        <f t="shared" si="67"/>
        <v>1998</v>
      </c>
    </row>
    <row r="1059" spans="1:10" x14ac:dyDescent="0.3">
      <c r="A1059" s="23" t="str">
        <f t="shared" si="64"/>
        <v>01-05-2026</v>
      </c>
      <c r="B1059" s="24" t="s">
        <v>35</v>
      </c>
      <c r="C1059" s="4">
        <v>8909286907336</v>
      </c>
      <c r="D1059" s="24" t="s">
        <v>37</v>
      </c>
      <c r="E1059" s="24" t="s">
        <v>480</v>
      </c>
      <c r="F1059" s="25" t="str">
        <f t="shared" si="65"/>
        <v>FLYING MACHINE</v>
      </c>
      <c r="G1059" s="24">
        <v>1</v>
      </c>
      <c r="H1059" s="25" t="str">
        <f t="shared" si="66"/>
        <v>Pcs.</v>
      </c>
      <c r="I1059" s="26">
        <v>999</v>
      </c>
      <c r="J1059" s="27">
        <f t="shared" si="67"/>
        <v>999</v>
      </c>
    </row>
    <row r="1060" spans="1:10" x14ac:dyDescent="0.3">
      <c r="A1060" s="23" t="str">
        <f t="shared" si="64"/>
        <v>01-05-2026</v>
      </c>
      <c r="B1060" s="24" t="s">
        <v>35</v>
      </c>
      <c r="C1060" s="4">
        <v>8909286907343</v>
      </c>
      <c r="D1060" s="24" t="s">
        <v>57</v>
      </c>
      <c r="E1060" s="24" t="s">
        <v>480</v>
      </c>
      <c r="F1060" s="25" t="str">
        <f t="shared" si="65"/>
        <v>FLYING MACHINE</v>
      </c>
      <c r="G1060" s="24">
        <v>1</v>
      </c>
      <c r="H1060" s="25" t="str">
        <f t="shared" si="66"/>
        <v>Pcs.</v>
      </c>
      <c r="I1060" s="26">
        <v>999</v>
      </c>
      <c r="J1060" s="27">
        <f t="shared" si="67"/>
        <v>999</v>
      </c>
    </row>
    <row r="1061" spans="1:10" x14ac:dyDescent="0.3">
      <c r="A1061" s="23" t="str">
        <f t="shared" si="64"/>
        <v>01-05-2026</v>
      </c>
      <c r="B1061" s="24" t="s">
        <v>35</v>
      </c>
      <c r="C1061" s="4">
        <v>8909286907404</v>
      </c>
      <c r="D1061" s="24" t="s">
        <v>51</v>
      </c>
      <c r="E1061" s="24" t="s">
        <v>93</v>
      </c>
      <c r="F1061" s="25" t="str">
        <f t="shared" si="65"/>
        <v>FLYING MACHINE</v>
      </c>
      <c r="G1061" s="24">
        <v>1</v>
      </c>
      <c r="H1061" s="25" t="str">
        <f t="shared" si="66"/>
        <v>Pcs.</v>
      </c>
      <c r="I1061" s="26">
        <v>999</v>
      </c>
      <c r="J1061" s="27">
        <f t="shared" si="67"/>
        <v>999</v>
      </c>
    </row>
    <row r="1062" spans="1:10" x14ac:dyDescent="0.3">
      <c r="A1062" s="23" t="str">
        <f t="shared" si="64"/>
        <v>01-05-2026</v>
      </c>
      <c r="B1062" s="24" t="s">
        <v>35</v>
      </c>
      <c r="C1062" s="4">
        <v>8909286907411</v>
      </c>
      <c r="D1062" s="24" t="s">
        <v>46</v>
      </c>
      <c r="E1062" s="24" t="s">
        <v>93</v>
      </c>
      <c r="F1062" s="25" t="str">
        <f t="shared" si="65"/>
        <v>FLYING MACHINE</v>
      </c>
      <c r="G1062" s="24">
        <v>2</v>
      </c>
      <c r="H1062" s="25" t="str">
        <f t="shared" si="66"/>
        <v>Pcs.</v>
      </c>
      <c r="I1062" s="26">
        <v>999</v>
      </c>
      <c r="J1062" s="27">
        <f t="shared" si="67"/>
        <v>1998</v>
      </c>
    </row>
    <row r="1063" spans="1:10" x14ac:dyDescent="0.3">
      <c r="A1063" s="23" t="str">
        <f t="shared" si="64"/>
        <v>01-05-2026</v>
      </c>
      <c r="B1063" s="24" t="s">
        <v>35</v>
      </c>
      <c r="C1063" s="4">
        <v>8909286908210</v>
      </c>
      <c r="D1063" s="24" t="s">
        <v>51</v>
      </c>
      <c r="E1063" s="24" t="s">
        <v>47</v>
      </c>
      <c r="F1063" s="25" t="str">
        <f t="shared" si="65"/>
        <v>FLYING MACHINE</v>
      </c>
      <c r="G1063" s="24">
        <v>2</v>
      </c>
      <c r="H1063" s="25" t="str">
        <f t="shared" si="66"/>
        <v>Pcs.</v>
      </c>
      <c r="I1063" s="26">
        <v>1592.81</v>
      </c>
      <c r="J1063" s="27">
        <f t="shared" si="67"/>
        <v>3185.62</v>
      </c>
    </row>
    <row r="1064" spans="1:10" x14ac:dyDescent="0.3">
      <c r="A1064" s="23" t="str">
        <f t="shared" si="64"/>
        <v>01-05-2026</v>
      </c>
      <c r="B1064" s="24" t="s">
        <v>35</v>
      </c>
      <c r="C1064" s="4">
        <v>8909286908227</v>
      </c>
      <c r="D1064" s="24" t="s">
        <v>46</v>
      </c>
      <c r="E1064" s="24" t="s">
        <v>47</v>
      </c>
      <c r="F1064" s="25" t="str">
        <f t="shared" si="65"/>
        <v>FLYING MACHINE</v>
      </c>
      <c r="G1064" s="24">
        <v>1</v>
      </c>
      <c r="H1064" s="25" t="str">
        <f t="shared" si="66"/>
        <v>Pcs.</v>
      </c>
      <c r="I1064" s="26">
        <v>1592.81</v>
      </c>
      <c r="J1064" s="27">
        <f t="shared" si="67"/>
        <v>1592.81</v>
      </c>
    </row>
    <row r="1065" spans="1:10" x14ac:dyDescent="0.3">
      <c r="A1065" s="23" t="str">
        <f t="shared" si="64"/>
        <v>01-05-2026</v>
      </c>
      <c r="B1065" s="24" t="s">
        <v>35</v>
      </c>
      <c r="C1065" s="4">
        <v>8909286908234</v>
      </c>
      <c r="D1065" s="24" t="s">
        <v>37</v>
      </c>
      <c r="E1065" s="24" t="s">
        <v>47</v>
      </c>
      <c r="F1065" s="25" t="str">
        <f t="shared" si="65"/>
        <v>FLYING MACHINE</v>
      </c>
      <c r="G1065" s="24">
        <v>1</v>
      </c>
      <c r="H1065" s="25" t="str">
        <f t="shared" si="66"/>
        <v>Pcs.</v>
      </c>
      <c r="I1065" s="26">
        <v>1592.81</v>
      </c>
      <c r="J1065" s="27">
        <f t="shared" si="67"/>
        <v>1592.81</v>
      </c>
    </row>
    <row r="1066" spans="1:10" x14ac:dyDescent="0.3">
      <c r="A1066" s="23" t="str">
        <f t="shared" si="64"/>
        <v>01-05-2026</v>
      </c>
      <c r="B1066" s="24" t="s">
        <v>35</v>
      </c>
      <c r="C1066" s="4">
        <v>8909286908241</v>
      </c>
      <c r="D1066" s="24" t="s">
        <v>57</v>
      </c>
      <c r="E1066" s="24" t="s">
        <v>47</v>
      </c>
      <c r="F1066" s="25" t="str">
        <f t="shared" si="65"/>
        <v>FLYING MACHINE</v>
      </c>
      <c r="G1066" s="24">
        <v>1</v>
      </c>
      <c r="H1066" s="25" t="str">
        <f t="shared" si="66"/>
        <v>Pcs.</v>
      </c>
      <c r="I1066" s="26">
        <v>1592.81</v>
      </c>
      <c r="J1066" s="27">
        <f t="shared" si="67"/>
        <v>1592.81</v>
      </c>
    </row>
    <row r="1067" spans="1:10" x14ac:dyDescent="0.3">
      <c r="A1067" s="23" t="str">
        <f t="shared" si="64"/>
        <v>01-05-2026</v>
      </c>
      <c r="B1067" s="24" t="s">
        <v>35</v>
      </c>
      <c r="C1067" s="4">
        <v>8909286912170</v>
      </c>
      <c r="D1067" s="24" t="s">
        <v>51</v>
      </c>
      <c r="E1067" s="24" t="s">
        <v>481</v>
      </c>
      <c r="F1067" s="25" t="str">
        <f t="shared" si="65"/>
        <v>FLYING MACHINE</v>
      </c>
      <c r="G1067" s="24">
        <v>2</v>
      </c>
      <c r="H1067" s="25" t="str">
        <f t="shared" si="66"/>
        <v>Pcs.</v>
      </c>
      <c r="I1067" s="26">
        <v>1217.81</v>
      </c>
      <c r="J1067" s="27">
        <f t="shared" si="67"/>
        <v>2435.62</v>
      </c>
    </row>
    <row r="1068" spans="1:10" x14ac:dyDescent="0.3">
      <c r="A1068" s="23" t="str">
        <f t="shared" si="64"/>
        <v>01-05-2026</v>
      </c>
      <c r="B1068" s="24" t="s">
        <v>35</v>
      </c>
      <c r="C1068" s="4">
        <v>8909286912187</v>
      </c>
      <c r="D1068" s="24" t="s">
        <v>46</v>
      </c>
      <c r="E1068" s="24" t="s">
        <v>481</v>
      </c>
      <c r="F1068" s="25" t="str">
        <f t="shared" si="65"/>
        <v>FLYING MACHINE</v>
      </c>
      <c r="G1068" s="24">
        <v>2</v>
      </c>
      <c r="H1068" s="25" t="str">
        <f t="shared" si="66"/>
        <v>Pcs.</v>
      </c>
      <c r="I1068" s="26">
        <v>1217.81</v>
      </c>
      <c r="J1068" s="27">
        <f t="shared" si="67"/>
        <v>2435.62</v>
      </c>
    </row>
    <row r="1069" spans="1:10" x14ac:dyDescent="0.3">
      <c r="A1069" s="23" t="str">
        <f t="shared" si="64"/>
        <v>01-05-2026</v>
      </c>
      <c r="B1069" s="24" t="s">
        <v>35</v>
      </c>
      <c r="C1069" s="4">
        <v>8909286912200</v>
      </c>
      <c r="D1069" s="24" t="s">
        <v>57</v>
      </c>
      <c r="E1069" s="24" t="s">
        <v>481</v>
      </c>
      <c r="F1069" s="25" t="str">
        <f t="shared" si="65"/>
        <v>FLYING MACHINE</v>
      </c>
      <c r="G1069" s="24">
        <v>1</v>
      </c>
      <c r="H1069" s="25" t="str">
        <f t="shared" si="66"/>
        <v>Pcs.</v>
      </c>
      <c r="I1069" s="26">
        <v>1217.81</v>
      </c>
      <c r="J1069" s="27">
        <f t="shared" si="67"/>
        <v>1217.81</v>
      </c>
    </row>
    <row r="1070" spans="1:10" x14ac:dyDescent="0.3">
      <c r="A1070" s="23" t="str">
        <f t="shared" si="64"/>
        <v>01-05-2026</v>
      </c>
      <c r="B1070" s="24" t="s">
        <v>35</v>
      </c>
      <c r="C1070" s="4">
        <v>8909286912446</v>
      </c>
      <c r="D1070" s="24" t="s">
        <v>51</v>
      </c>
      <c r="E1070" s="24" t="s">
        <v>83</v>
      </c>
      <c r="F1070" s="25" t="str">
        <f t="shared" si="65"/>
        <v>FLYING MACHINE</v>
      </c>
      <c r="G1070" s="24">
        <v>2</v>
      </c>
      <c r="H1070" s="25" t="str">
        <f t="shared" si="66"/>
        <v>Pcs.</v>
      </c>
      <c r="I1070" s="26">
        <v>1217.81</v>
      </c>
      <c r="J1070" s="27">
        <f t="shared" si="67"/>
        <v>2435.62</v>
      </c>
    </row>
    <row r="1071" spans="1:10" x14ac:dyDescent="0.3">
      <c r="A1071" s="23" t="str">
        <f t="shared" si="64"/>
        <v>01-05-2026</v>
      </c>
      <c r="B1071" s="24" t="s">
        <v>35</v>
      </c>
      <c r="C1071" s="4">
        <v>8909286912460</v>
      </c>
      <c r="D1071" s="24" t="s">
        <v>37</v>
      </c>
      <c r="E1071" s="24" t="s">
        <v>83</v>
      </c>
      <c r="F1071" s="25" t="str">
        <f t="shared" si="65"/>
        <v>FLYING MACHINE</v>
      </c>
      <c r="G1071" s="24">
        <v>1</v>
      </c>
      <c r="H1071" s="25" t="str">
        <f t="shared" si="66"/>
        <v>Pcs.</v>
      </c>
      <c r="I1071" s="26">
        <v>1217.81</v>
      </c>
      <c r="J1071" s="27">
        <f t="shared" si="67"/>
        <v>1217.81</v>
      </c>
    </row>
    <row r="1072" spans="1:10" x14ac:dyDescent="0.3">
      <c r="A1072" s="23" t="str">
        <f t="shared" si="64"/>
        <v xml:space="preserve"> </v>
      </c>
      <c r="B1072" s="24"/>
      <c r="C1072" s="4"/>
      <c r="D1072" s="24"/>
      <c r="E1072" s="24"/>
      <c r="F1072" s="25" t="str">
        <f t="shared" si="65"/>
        <v xml:space="preserve"> </v>
      </c>
      <c r="G1072" s="24"/>
      <c r="H1072" s="25" t="str">
        <f t="shared" si="66"/>
        <v xml:space="preserve"> </v>
      </c>
      <c r="I1072" s="26"/>
      <c r="J1072" s="27" t="str">
        <f t="shared" si="67"/>
        <v xml:space="preserve"> </v>
      </c>
    </row>
    <row r="1073" spans="1:10" x14ac:dyDescent="0.3">
      <c r="A1073" s="23" t="str">
        <f t="shared" si="64"/>
        <v xml:space="preserve"> </v>
      </c>
      <c r="B1073" s="24"/>
      <c r="C1073" s="4"/>
      <c r="D1073" s="24"/>
      <c r="E1073" s="24"/>
      <c r="F1073" s="25" t="str">
        <f t="shared" si="65"/>
        <v xml:space="preserve"> </v>
      </c>
      <c r="G1073" s="24"/>
      <c r="H1073" s="25" t="str">
        <f t="shared" si="66"/>
        <v xml:space="preserve"> </v>
      </c>
      <c r="I1073" s="26"/>
      <c r="J1073" s="27" t="str">
        <f t="shared" si="67"/>
        <v xml:space="preserve"> </v>
      </c>
    </row>
    <row r="1074" spans="1:10" x14ac:dyDescent="0.3">
      <c r="A1074" s="23" t="str">
        <f t="shared" si="64"/>
        <v xml:space="preserve"> </v>
      </c>
      <c r="B1074" s="24"/>
      <c r="C1074" s="4"/>
      <c r="D1074" s="24"/>
      <c r="E1074" s="24"/>
      <c r="F1074" s="25" t="str">
        <f t="shared" si="65"/>
        <v xml:space="preserve"> </v>
      </c>
      <c r="G1074" s="24"/>
      <c r="H1074" s="25" t="str">
        <f t="shared" si="66"/>
        <v xml:space="preserve"> </v>
      </c>
      <c r="I1074" s="26"/>
      <c r="J1074" s="27" t="str">
        <f t="shared" si="67"/>
        <v xml:space="preserve"> </v>
      </c>
    </row>
    <row r="1075" spans="1:10" x14ac:dyDescent="0.3">
      <c r="A1075" s="23" t="str">
        <f t="shared" si="64"/>
        <v xml:space="preserve"> </v>
      </c>
      <c r="B1075" s="24"/>
      <c r="C1075" s="4"/>
      <c r="D1075" s="24"/>
      <c r="E1075" s="24"/>
      <c r="F1075" s="25" t="str">
        <f t="shared" si="65"/>
        <v xml:space="preserve"> </v>
      </c>
      <c r="G1075" s="24"/>
      <c r="H1075" s="25" t="str">
        <f t="shared" si="66"/>
        <v xml:space="preserve"> </v>
      </c>
      <c r="I1075" s="26"/>
      <c r="J1075" s="27" t="str">
        <f t="shared" si="67"/>
        <v xml:space="preserve"> </v>
      </c>
    </row>
    <row r="1076" spans="1:10" x14ac:dyDescent="0.3">
      <c r="A1076" s="23" t="str">
        <f t="shared" si="64"/>
        <v xml:space="preserve"> </v>
      </c>
      <c r="B1076" s="24"/>
      <c r="C1076" s="4"/>
      <c r="D1076" s="24"/>
      <c r="E1076" s="24"/>
      <c r="F1076" s="25" t="str">
        <f t="shared" si="65"/>
        <v xml:space="preserve"> </v>
      </c>
      <c r="G1076" s="24"/>
      <c r="H1076" s="25" t="str">
        <f t="shared" si="66"/>
        <v xml:space="preserve"> </v>
      </c>
      <c r="I1076" s="26"/>
      <c r="J1076" s="27" t="str">
        <f t="shared" si="67"/>
        <v xml:space="preserve"> </v>
      </c>
    </row>
    <row r="1077" spans="1:10" x14ac:dyDescent="0.3">
      <c r="A1077" s="23" t="str">
        <f t="shared" si="64"/>
        <v xml:space="preserve"> </v>
      </c>
      <c r="B1077" s="24"/>
      <c r="C1077" s="4"/>
      <c r="D1077" s="24"/>
      <c r="E1077" s="24"/>
      <c r="F1077" s="25" t="str">
        <f t="shared" si="65"/>
        <v xml:space="preserve"> </v>
      </c>
      <c r="G1077" s="24"/>
      <c r="H1077" s="25" t="str">
        <f t="shared" si="66"/>
        <v xml:space="preserve"> </v>
      </c>
      <c r="I1077" s="26"/>
      <c r="J1077" s="27" t="str">
        <f t="shared" si="67"/>
        <v xml:space="preserve"> </v>
      </c>
    </row>
    <row r="1078" spans="1:10" x14ac:dyDescent="0.3">
      <c r="A1078" s="23" t="str">
        <f t="shared" si="64"/>
        <v xml:space="preserve"> </v>
      </c>
      <c r="B1078" s="24"/>
      <c r="C1078" s="4"/>
      <c r="D1078" s="24"/>
      <c r="E1078" s="24"/>
      <c r="F1078" s="25" t="str">
        <f t="shared" si="65"/>
        <v xml:space="preserve"> </v>
      </c>
      <c r="G1078" s="24"/>
      <c r="H1078" s="25" t="str">
        <f t="shared" si="66"/>
        <v xml:space="preserve"> </v>
      </c>
      <c r="I1078" s="26"/>
      <c r="J1078" s="27" t="str">
        <f t="shared" si="67"/>
        <v xml:space="preserve"> </v>
      </c>
    </row>
    <row r="1079" spans="1:10" x14ac:dyDescent="0.3">
      <c r="A1079" s="23" t="str">
        <f t="shared" si="64"/>
        <v xml:space="preserve"> </v>
      </c>
      <c r="B1079" s="24"/>
      <c r="C1079" s="4"/>
      <c r="D1079" s="24"/>
      <c r="E1079" s="24"/>
      <c r="F1079" s="25" t="str">
        <f t="shared" si="65"/>
        <v xml:space="preserve"> </v>
      </c>
      <c r="G1079" s="24"/>
      <c r="H1079" s="25" t="str">
        <f t="shared" si="66"/>
        <v xml:space="preserve"> </v>
      </c>
      <c r="I1079" s="26"/>
      <c r="J1079" s="27" t="str">
        <f t="shared" si="67"/>
        <v xml:space="preserve"> </v>
      </c>
    </row>
    <row r="1080" spans="1:10" x14ac:dyDescent="0.3">
      <c r="A1080" s="23" t="str">
        <f t="shared" si="64"/>
        <v xml:space="preserve"> </v>
      </c>
      <c r="B1080" s="24"/>
      <c r="C1080" s="4"/>
      <c r="D1080" s="24"/>
      <c r="E1080" s="24"/>
      <c r="F1080" s="25" t="str">
        <f t="shared" si="65"/>
        <v xml:space="preserve"> </v>
      </c>
      <c r="G1080" s="24"/>
      <c r="H1080" s="25" t="str">
        <f t="shared" si="66"/>
        <v xml:space="preserve"> </v>
      </c>
      <c r="I1080" s="26"/>
      <c r="J1080" s="27" t="str">
        <f t="shared" si="67"/>
        <v xml:space="preserve"> </v>
      </c>
    </row>
    <row r="1081" spans="1:10" x14ac:dyDescent="0.3">
      <c r="A1081" s="23" t="str">
        <f t="shared" si="64"/>
        <v xml:space="preserve"> </v>
      </c>
      <c r="B1081" s="24"/>
      <c r="C1081" s="4"/>
      <c r="D1081" s="24"/>
      <c r="E1081" s="24"/>
      <c r="F1081" s="25" t="str">
        <f t="shared" si="65"/>
        <v xml:space="preserve"> </v>
      </c>
      <c r="G1081" s="24"/>
      <c r="H1081" s="25" t="str">
        <f t="shared" si="66"/>
        <v xml:space="preserve"> </v>
      </c>
      <c r="I1081" s="26"/>
      <c r="J1081" s="27" t="str">
        <f t="shared" si="67"/>
        <v xml:space="preserve"> </v>
      </c>
    </row>
    <row r="1082" spans="1:10" x14ac:dyDescent="0.3">
      <c r="A1082" s="23" t="str">
        <f t="shared" si="64"/>
        <v xml:space="preserve"> </v>
      </c>
      <c r="B1082" s="24"/>
      <c r="C1082" s="4"/>
      <c r="D1082" s="24"/>
      <c r="E1082" s="24"/>
      <c r="F1082" s="25" t="str">
        <f t="shared" si="65"/>
        <v xml:space="preserve"> </v>
      </c>
      <c r="G1082" s="24"/>
      <c r="H1082" s="25" t="str">
        <f t="shared" si="66"/>
        <v xml:space="preserve"> </v>
      </c>
      <c r="I1082" s="26"/>
      <c r="J1082" s="27" t="str">
        <f t="shared" si="67"/>
        <v xml:space="preserve"> </v>
      </c>
    </row>
    <row r="1083" spans="1:10" x14ac:dyDescent="0.3">
      <c r="A1083" s="23" t="str">
        <f t="shared" si="64"/>
        <v xml:space="preserve"> </v>
      </c>
      <c r="B1083" s="24"/>
      <c r="C1083" s="4"/>
      <c r="D1083" s="24"/>
      <c r="E1083" s="24"/>
      <c r="F1083" s="25" t="str">
        <f t="shared" si="65"/>
        <v xml:space="preserve"> </v>
      </c>
      <c r="G1083" s="24"/>
      <c r="H1083" s="25" t="str">
        <f t="shared" si="66"/>
        <v xml:space="preserve"> </v>
      </c>
      <c r="I1083" s="26"/>
      <c r="J1083" s="27" t="str">
        <f t="shared" si="67"/>
        <v xml:space="preserve"> </v>
      </c>
    </row>
    <row r="1084" spans="1:10" x14ac:dyDescent="0.3">
      <c r="A1084" s="23" t="str">
        <f t="shared" si="64"/>
        <v xml:space="preserve"> </v>
      </c>
      <c r="B1084" s="24"/>
      <c r="C1084" s="4"/>
      <c r="D1084" s="24"/>
      <c r="E1084" s="24"/>
      <c r="F1084" s="25" t="str">
        <f t="shared" si="65"/>
        <v xml:space="preserve"> </v>
      </c>
      <c r="G1084" s="24"/>
      <c r="H1084" s="25" t="str">
        <f t="shared" si="66"/>
        <v xml:space="preserve"> </v>
      </c>
      <c r="I1084" s="26"/>
      <c r="J1084" s="27" t="str">
        <f t="shared" si="67"/>
        <v xml:space="preserve"> </v>
      </c>
    </row>
    <row r="1085" spans="1:10" x14ac:dyDescent="0.3">
      <c r="A1085" s="23" t="str">
        <f t="shared" si="64"/>
        <v xml:space="preserve"> </v>
      </c>
      <c r="B1085" s="24"/>
      <c r="C1085" s="4"/>
      <c r="D1085" s="24"/>
      <c r="E1085" s="24"/>
      <c r="F1085" s="25" t="str">
        <f t="shared" si="65"/>
        <v xml:space="preserve"> </v>
      </c>
      <c r="G1085" s="24"/>
      <c r="H1085" s="25" t="str">
        <f t="shared" si="66"/>
        <v xml:space="preserve"> </v>
      </c>
      <c r="I1085" s="26"/>
      <c r="J1085" s="27" t="str">
        <f t="shared" si="67"/>
        <v xml:space="preserve"> </v>
      </c>
    </row>
    <row r="1086" spans="1:10" x14ac:dyDescent="0.3">
      <c r="A1086" s="23" t="str">
        <f t="shared" si="64"/>
        <v xml:space="preserve"> </v>
      </c>
      <c r="B1086" s="24"/>
      <c r="C1086" s="4"/>
      <c r="D1086" s="24"/>
      <c r="E1086" s="24"/>
      <c r="F1086" s="25" t="str">
        <f t="shared" si="65"/>
        <v xml:space="preserve"> </v>
      </c>
      <c r="G1086" s="24"/>
      <c r="H1086" s="25" t="str">
        <f t="shared" si="66"/>
        <v xml:space="preserve"> </v>
      </c>
      <c r="I1086" s="26"/>
      <c r="J1086" s="27" t="str">
        <f t="shared" si="67"/>
        <v xml:space="preserve"> </v>
      </c>
    </row>
    <row r="1087" spans="1:10" x14ac:dyDescent="0.3">
      <c r="A1087" s="23" t="str">
        <f t="shared" si="64"/>
        <v xml:space="preserve"> </v>
      </c>
      <c r="B1087" s="24"/>
      <c r="C1087" s="4"/>
      <c r="D1087" s="24"/>
      <c r="E1087" s="24"/>
      <c r="F1087" s="25" t="str">
        <f t="shared" si="65"/>
        <v xml:space="preserve"> </v>
      </c>
      <c r="G1087" s="24"/>
      <c r="H1087" s="25" t="str">
        <f t="shared" si="66"/>
        <v xml:space="preserve"> </v>
      </c>
      <c r="I1087" s="26"/>
      <c r="J1087" s="27" t="str">
        <f t="shared" si="67"/>
        <v xml:space="preserve"> </v>
      </c>
    </row>
    <row r="1088" spans="1:10" x14ac:dyDescent="0.3">
      <c r="A1088" s="23" t="str">
        <f t="shared" si="64"/>
        <v xml:space="preserve"> </v>
      </c>
      <c r="B1088" s="24"/>
      <c r="C1088" s="4"/>
      <c r="D1088" s="24"/>
      <c r="E1088" s="24"/>
      <c r="F1088" s="25" t="str">
        <f t="shared" si="65"/>
        <v xml:space="preserve"> </v>
      </c>
      <c r="G1088" s="24"/>
      <c r="H1088" s="25" t="str">
        <f t="shared" si="66"/>
        <v xml:space="preserve"> </v>
      </c>
      <c r="I1088" s="26"/>
      <c r="J1088" s="27" t="str">
        <f t="shared" si="67"/>
        <v xml:space="preserve"> </v>
      </c>
    </row>
    <row r="1089" spans="1:10" x14ac:dyDescent="0.3">
      <c r="A1089" s="23" t="str">
        <f t="shared" si="64"/>
        <v xml:space="preserve"> </v>
      </c>
      <c r="B1089" s="24"/>
      <c r="C1089" s="4"/>
      <c r="D1089" s="24"/>
      <c r="E1089" s="24"/>
      <c r="F1089" s="25" t="str">
        <f t="shared" si="65"/>
        <v xml:space="preserve"> </v>
      </c>
      <c r="G1089" s="24"/>
      <c r="H1089" s="25" t="str">
        <f t="shared" si="66"/>
        <v xml:space="preserve"> </v>
      </c>
      <c r="I1089" s="26"/>
      <c r="J1089" s="27" t="str">
        <f t="shared" si="67"/>
        <v xml:space="preserve"> </v>
      </c>
    </row>
    <row r="1090" spans="1:10" x14ac:dyDescent="0.3">
      <c r="A1090" s="23" t="str">
        <f t="shared" si="64"/>
        <v xml:space="preserve"> </v>
      </c>
      <c r="B1090" s="24"/>
      <c r="C1090" s="4"/>
      <c r="D1090" s="24"/>
      <c r="E1090" s="24"/>
      <c r="F1090" s="25" t="str">
        <f t="shared" si="65"/>
        <v xml:space="preserve"> </v>
      </c>
      <c r="G1090" s="24"/>
      <c r="H1090" s="25" t="str">
        <f t="shared" si="66"/>
        <v xml:space="preserve"> </v>
      </c>
      <c r="I1090" s="26"/>
      <c r="J1090" s="27" t="str">
        <f t="shared" si="67"/>
        <v xml:space="preserve"> </v>
      </c>
    </row>
    <row r="1091" spans="1:10" x14ac:dyDescent="0.3">
      <c r="A1091" s="23" t="str">
        <f t="shared" si="64"/>
        <v xml:space="preserve"> </v>
      </c>
      <c r="B1091" s="24"/>
      <c r="C1091" s="4"/>
      <c r="D1091" s="24"/>
      <c r="E1091" s="24"/>
      <c r="F1091" s="25" t="str">
        <f t="shared" si="65"/>
        <v xml:space="preserve"> </v>
      </c>
      <c r="G1091" s="24"/>
      <c r="H1091" s="25" t="str">
        <f t="shared" si="66"/>
        <v xml:space="preserve"> </v>
      </c>
      <c r="I1091" s="26"/>
      <c r="J1091" s="27" t="str">
        <f t="shared" si="67"/>
        <v xml:space="preserve"> </v>
      </c>
    </row>
    <row r="1092" spans="1:10" x14ac:dyDescent="0.3">
      <c r="A1092" s="23" t="str">
        <f t="shared" si="64"/>
        <v xml:space="preserve"> </v>
      </c>
      <c r="B1092" s="24"/>
      <c r="C1092" s="4"/>
      <c r="D1092" s="24"/>
      <c r="E1092" s="24"/>
      <c r="F1092" s="25" t="str">
        <f t="shared" si="65"/>
        <v xml:space="preserve"> </v>
      </c>
      <c r="G1092" s="24"/>
      <c r="H1092" s="25" t="str">
        <f t="shared" si="66"/>
        <v xml:space="preserve"> </v>
      </c>
      <c r="I1092" s="26"/>
      <c r="J1092" s="27" t="str">
        <f t="shared" si="67"/>
        <v xml:space="preserve"> </v>
      </c>
    </row>
    <row r="1093" spans="1:10" x14ac:dyDescent="0.3">
      <c r="A1093" s="23" t="str">
        <f t="shared" ref="A1093:A1156" si="68">IF(C1093&gt;0,RIGHT($D$3,10)," ")</f>
        <v xml:space="preserve"> </v>
      </c>
      <c r="B1093" s="24"/>
      <c r="C1093" s="4"/>
      <c r="D1093" s="24"/>
      <c r="E1093" s="24"/>
      <c r="F1093" s="25" t="str">
        <f t="shared" ref="F1093:F1156" si="69">IF(C1093&gt;0,$C$3," ")</f>
        <v xml:space="preserve"> </v>
      </c>
      <c r="G1093" s="24"/>
      <c r="H1093" s="25" t="str">
        <f t="shared" ref="H1093:H1156" si="70">IF(G1093&gt;0,"Pcs."," ")</f>
        <v xml:space="preserve"> </v>
      </c>
      <c r="I1093" s="26"/>
      <c r="J1093" s="27" t="str">
        <f t="shared" ref="J1093:J1156" si="71">IF(I1093*G1093=0," ",I1093*G1093)</f>
        <v xml:space="preserve"> </v>
      </c>
    </row>
    <row r="1094" spans="1:10" x14ac:dyDescent="0.3">
      <c r="A1094" s="23" t="str">
        <f t="shared" si="68"/>
        <v xml:space="preserve"> </v>
      </c>
      <c r="B1094" s="24"/>
      <c r="C1094" s="4"/>
      <c r="D1094" s="24"/>
      <c r="E1094" s="24"/>
      <c r="F1094" s="25" t="str">
        <f t="shared" si="69"/>
        <v xml:space="preserve"> </v>
      </c>
      <c r="G1094" s="24"/>
      <c r="H1094" s="25" t="str">
        <f t="shared" si="70"/>
        <v xml:space="preserve"> </v>
      </c>
      <c r="I1094" s="26"/>
      <c r="J1094" s="27" t="str">
        <f t="shared" si="71"/>
        <v xml:space="preserve"> </v>
      </c>
    </row>
    <row r="1095" spans="1:10" x14ac:dyDescent="0.3">
      <c r="A1095" s="23" t="str">
        <f t="shared" si="68"/>
        <v xml:space="preserve"> </v>
      </c>
      <c r="B1095" s="24"/>
      <c r="C1095" s="4"/>
      <c r="D1095" s="24"/>
      <c r="E1095" s="24"/>
      <c r="F1095" s="25" t="str">
        <f t="shared" si="69"/>
        <v xml:space="preserve"> </v>
      </c>
      <c r="G1095" s="24"/>
      <c r="H1095" s="25" t="str">
        <f t="shared" si="70"/>
        <v xml:space="preserve"> </v>
      </c>
      <c r="I1095" s="26"/>
      <c r="J1095" s="27" t="str">
        <f t="shared" si="71"/>
        <v xml:space="preserve"> </v>
      </c>
    </row>
    <row r="1096" spans="1:10" x14ac:dyDescent="0.3">
      <c r="A1096" s="23" t="str">
        <f t="shared" si="68"/>
        <v xml:space="preserve"> </v>
      </c>
      <c r="B1096" s="24"/>
      <c r="C1096" s="4"/>
      <c r="D1096" s="24"/>
      <c r="E1096" s="24"/>
      <c r="F1096" s="25" t="str">
        <f t="shared" si="69"/>
        <v xml:space="preserve"> </v>
      </c>
      <c r="G1096" s="24"/>
      <c r="H1096" s="25" t="str">
        <f t="shared" si="70"/>
        <v xml:space="preserve"> </v>
      </c>
      <c r="I1096" s="26"/>
      <c r="J1096" s="27" t="str">
        <f t="shared" si="71"/>
        <v xml:space="preserve"> </v>
      </c>
    </row>
    <row r="1097" spans="1:10" x14ac:dyDescent="0.3">
      <c r="A1097" s="23" t="str">
        <f t="shared" si="68"/>
        <v xml:space="preserve"> </v>
      </c>
      <c r="B1097" s="24"/>
      <c r="C1097" s="4"/>
      <c r="D1097" s="24"/>
      <c r="E1097" s="24"/>
      <c r="F1097" s="25" t="str">
        <f t="shared" si="69"/>
        <v xml:space="preserve"> </v>
      </c>
      <c r="G1097" s="24"/>
      <c r="H1097" s="25" t="str">
        <f t="shared" si="70"/>
        <v xml:space="preserve"> </v>
      </c>
      <c r="I1097" s="26"/>
      <c r="J1097" s="27" t="str">
        <f t="shared" si="71"/>
        <v xml:space="preserve"> </v>
      </c>
    </row>
    <row r="1098" spans="1:10" x14ac:dyDescent="0.3">
      <c r="A1098" s="23" t="str">
        <f t="shared" si="68"/>
        <v xml:space="preserve"> </v>
      </c>
      <c r="B1098" s="24"/>
      <c r="C1098" s="4"/>
      <c r="D1098" s="24"/>
      <c r="E1098" s="24"/>
      <c r="F1098" s="25" t="str">
        <f t="shared" si="69"/>
        <v xml:space="preserve"> </v>
      </c>
      <c r="G1098" s="24"/>
      <c r="H1098" s="25" t="str">
        <f t="shared" si="70"/>
        <v xml:space="preserve"> </v>
      </c>
      <c r="I1098" s="26"/>
      <c r="J1098" s="27" t="str">
        <f t="shared" si="71"/>
        <v xml:space="preserve"> </v>
      </c>
    </row>
    <row r="1099" spans="1:10" x14ac:dyDescent="0.3">
      <c r="A1099" s="23" t="str">
        <f t="shared" si="68"/>
        <v xml:space="preserve"> </v>
      </c>
      <c r="B1099" s="24"/>
      <c r="C1099" s="4"/>
      <c r="D1099" s="24"/>
      <c r="E1099" s="24"/>
      <c r="F1099" s="25" t="str">
        <f t="shared" si="69"/>
        <v xml:space="preserve"> </v>
      </c>
      <c r="G1099" s="24"/>
      <c r="H1099" s="25" t="str">
        <f t="shared" si="70"/>
        <v xml:space="preserve"> </v>
      </c>
      <c r="I1099" s="26"/>
      <c r="J1099" s="27" t="str">
        <f t="shared" si="71"/>
        <v xml:space="preserve"> </v>
      </c>
    </row>
    <row r="1100" spans="1:10" x14ac:dyDescent="0.3">
      <c r="A1100" s="23" t="str">
        <f t="shared" si="68"/>
        <v xml:space="preserve"> </v>
      </c>
      <c r="B1100" s="24"/>
      <c r="C1100" s="4"/>
      <c r="D1100" s="24"/>
      <c r="E1100" s="24"/>
      <c r="F1100" s="25" t="str">
        <f t="shared" si="69"/>
        <v xml:space="preserve"> </v>
      </c>
      <c r="G1100" s="24"/>
      <c r="H1100" s="25" t="str">
        <f t="shared" si="70"/>
        <v xml:space="preserve"> </v>
      </c>
      <c r="I1100" s="26"/>
      <c r="J1100" s="27" t="str">
        <f t="shared" si="71"/>
        <v xml:space="preserve"> </v>
      </c>
    </row>
    <row r="1101" spans="1:10" x14ac:dyDescent="0.3">
      <c r="A1101" s="23" t="str">
        <f t="shared" si="68"/>
        <v xml:space="preserve"> </v>
      </c>
      <c r="B1101" s="24"/>
      <c r="C1101" s="4"/>
      <c r="D1101" s="24"/>
      <c r="E1101" s="24"/>
      <c r="F1101" s="25" t="str">
        <f t="shared" si="69"/>
        <v xml:space="preserve"> </v>
      </c>
      <c r="G1101" s="24"/>
      <c r="H1101" s="25" t="str">
        <f t="shared" si="70"/>
        <v xml:space="preserve"> </v>
      </c>
      <c r="I1101" s="26"/>
      <c r="J1101" s="27" t="str">
        <f t="shared" si="71"/>
        <v xml:space="preserve"> </v>
      </c>
    </row>
    <row r="1102" spans="1:10" x14ac:dyDescent="0.3">
      <c r="A1102" s="23" t="str">
        <f t="shared" si="68"/>
        <v xml:space="preserve"> </v>
      </c>
      <c r="B1102" s="24"/>
      <c r="C1102" s="4"/>
      <c r="D1102" s="24"/>
      <c r="E1102" s="24"/>
      <c r="F1102" s="25" t="str">
        <f t="shared" si="69"/>
        <v xml:space="preserve"> </v>
      </c>
      <c r="G1102" s="24"/>
      <c r="H1102" s="25" t="str">
        <f t="shared" si="70"/>
        <v xml:space="preserve"> </v>
      </c>
      <c r="I1102" s="26"/>
      <c r="J1102" s="27" t="str">
        <f t="shared" si="71"/>
        <v xml:space="preserve"> </v>
      </c>
    </row>
    <row r="1103" spans="1:10" x14ac:dyDescent="0.3">
      <c r="A1103" s="23" t="str">
        <f t="shared" si="68"/>
        <v xml:space="preserve"> </v>
      </c>
      <c r="B1103" s="24"/>
      <c r="C1103" s="4"/>
      <c r="D1103" s="24"/>
      <c r="E1103" s="24"/>
      <c r="F1103" s="25" t="str">
        <f t="shared" si="69"/>
        <v xml:space="preserve"> </v>
      </c>
      <c r="G1103" s="24"/>
      <c r="H1103" s="25" t="str">
        <f t="shared" si="70"/>
        <v xml:space="preserve"> </v>
      </c>
      <c r="I1103" s="26"/>
      <c r="J1103" s="27" t="str">
        <f t="shared" si="71"/>
        <v xml:space="preserve"> </v>
      </c>
    </row>
    <row r="1104" spans="1:10" x14ac:dyDescent="0.3">
      <c r="A1104" s="23" t="str">
        <f t="shared" si="68"/>
        <v xml:space="preserve"> </v>
      </c>
      <c r="B1104" s="24"/>
      <c r="C1104" s="4"/>
      <c r="D1104" s="24"/>
      <c r="E1104" s="24"/>
      <c r="F1104" s="25" t="str">
        <f t="shared" si="69"/>
        <v xml:space="preserve"> </v>
      </c>
      <c r="G1104" s="24"/>
      <c r="H1104" s="25" t="str">
        <f t="shared" si="70"/>
        <v xml:space="preserve"> </v>
      </c>
      <c r="I1104" s="26"/>
      <c r="J1104" s="27" t="str">
        <f t="shared" si="71"/>
        <v xml:space="preserve"> </v>
      </c>
    </row>
    <row r="1105" spans="1:10" x14ac:dyDescent="0.3">
      <c r="A1105" s="23" t="str">
        <f t="shared" si="68"/>
        <v xml:space="preserve"> </v>
      </c>
      <c r="B1105" s="24"/>
      <c r="C1105" s="4"/>
      <c r="D1105" s="24"/>
      <c r="E1105" s="24"/>
      <c r="F1105" s="25" t="str">
        <f t="shared" si="69"/>
        <v xml:space="preserve"> </v>
      </c>
      <c r="G1105" s="24"/>
      <c r="H1105" s="25" t="str">
        <f t="shared" si="70"/>
        <v xml:space="preserve"> </v>
      </c>
      <c r="I1105" s="26"/>
      <c r="J1105" s="27" t="str">
        <f t="shared" si="71"/>
        <v xml:space="preserve"> </v>
      </c>
    </row>
    <row r="1106" spans="1:10" x14ac:dyDescent="0.3">
      <c r="A1106" s="23" t="str">
        <f t="shared" si="68"/>
        <v xml:space="preserve"> </v>
      </c>
      <c r="B1106" s="24"/>
      <c r="C1106" s="4"/>
      <c r="D1106" s="24"/>
      <c r="E1106" s="24"/>
      <c r="F1106" s="25" t="str">
        <f t="shared" si="69"/>
        <v xml:space="preserve"> </v>
      </c>
      <c r="G1106" s="24"/>
      <c r="H1106" s="25" t="str">
        <f t="shared" si="70"/>
        <v xml:space="preserve"> </v>
      </c>
      <c r="I1106" s="26"/>
      <c r="J1106" s="27" t="str">
        <f t="shared" si="71"/>
        <v xml:space="preserve"> </v>
      </c>
    </row>
    <row r="1107" spans="1:10" x14ac:dyDescent="0.3">
      <c r="A1107" s="23" t="str">
        <f t="shared" si="68"/>
        <v xml:space="preserve"> </v>
      </c>
      <c r="B1107" s="24"/>
      <c r="C1107" s="4"/>
      <c r="D1107" s="24"/>
      <c r="E1107" s="24"/>
      <c r="F1107" s="25" t="str">
        <f t="shared" si="69"/>
        <v xml:space="preserve"> </v>
      </c>
      <c r="G1107" s="24"/>
      <c r="H1107" s="25" t="str">
        <f t="shared" si="70"/>
        <v xml:space="preserve"> </v>
      </c>
      <c r="I1107" s="26"/>
      <c r="J1107" s="27" t="str">
        <f t="shared" si="71"/>
        <v xml:space="preserve"> </v>
      </c>
    </row>
    <row r="1108" spans="1:10" x14ac:dyDescent="0.3">
      <c r="A1108" s="23" t="str">
        <f t="shared" si="68"/>
        <v xml:space="preserve"> </v>
      </c>
      <c r="B1108" s="24"/>
      <c r="C1108" s="4"/>
      <c r="D1108" s="24"/>
      <c r="E1108" s="24"/>
      <c r="F1108" s="25" t="str">
        <f t="shared" si="69"/>
        <v xml:space="preserve"> </v>
      </c>
      <c r="G1108" s="24"/>
      <c r="H1108" s="25" t="str">
        <f t="shared" si="70"/>
        <v xml:space="preserve"> </v>
      </c>
      <c r="I1108" s="26"/>
      <c r="J1108" s="27" t="str">
        <f t="shared" si="71"/>
        <v xml:space="preserve"> </v>
      </c>
    </row>
    <row r="1109" spans="1:10" x14ac:dyDescent="0.3">
      <c r="A1109" s="23" t="str">
        <f t="shared" si="68"/>
        <v xml:space="preserve"> </v>
      </c>
      <c r="B1109" s="24"/>
      <c r="C1109" s="4"/>
      <c r="D1109" s="24"/>
      <c r="E1109" s="24"/>
      <c r="F1109" s="25" t="str">
        <f t="shared" si="69"/>
        <v xml:space="preserve"> </v>
      </c>
      <c r="G1109" s="24"/>
      <c r="H1109" s="25" t="str">
        <f t="shared" si="70"/>
        <v xml:space="preserve"> </v>
      </c>
      <c r="I1109" s="26"/>
      <c r="J1109" s="27" t="str">
        <f t="shared" si="71"/>
        <v xml:space="preserve"> </v>
      </c>
    </row>
    <row r="1110" spans="1:10" x14ac:dyDescent="0.3">
      <c r="A1110" s="23" t="str">
        <f t="shared" si="68"/>
        <v xml:space="preserve"> </v>
      </c>
      <c r="B1110" s="24"/>
      <c r="C1110" s="4"/>
      <c r="D1110" s="24"/>
      <c r="E1110" s="24"/>
      <c r="F1110" s="25" t="str">
        <f t="shared" si="69"/>
        <v xml:space="preserve"> </v>
      </c>
      <c r="G1110" s="24"/>
      <c r="H1110" s="25" t="str">
        <f t="shared" si="70"/>
        <v xml:space="preserve"> </v>
      </c>
      <c r="I1110" s="26"/>
      <c r="J1110" s="27" t="str">
        <f t="shared" si="71"/>
        <v xml:space="preserve"> </v>
      </c>
    </row>
    <row r="1111" spans="1:10" x14ac:dyDescent="0.3">
      <c r="A1111" s="23" t="str">
        <f t="shared" si="68"/>
        <v xml:space="preserve"> </v>
      </c>
      <c r="B1111" s="24"/>
      <c r="C1111" s="4"/>
      <c r="D1111" s="24"/>
      <c r="E1111" s="24"/>
      <c r="F1111" s="25" t="str">
        <f t="shared" si="69"/>
        <v xml:space="preserve"> </v>
      </c>
      <c r="G1111" s="24"/>
      <c r="H1111" s="25" t="str">
        <f t="shared" si="70"/>
        <v xml:space="preserve"> </v>
      </c>
      <c r="I1111" s="26"/>
      <c r="J1111" s="27" t="str">
        <f t="shared" si="71"/>
        <v xml:space="preserve"> </v>
      </c>
    </row>
    <row r="1112" spans="1:10" x14ac:dyDescent="0.3">
      <c r="A1112" s="23" t="str">
        <f t="shared" si="68"/>
        <v xml:space="preserve"> </v>
      </c>
      <c r="B1112" s="24"/>
      <c r="C1112" s="4"/>
      <c r="D1112" s="24"/>
      <c r="E1112" s="24"/>
      <c r="F1112" s="25" t="str">
        <f t="shared" si="69"/>
        <v xml:space="preserve"> </v>
      </c>
      <c r="G1112" s="24"/>
      <c r="H1112" s="25" t="str">
        <f t="shared" si="70"/>
        <v xml:space="preserve"> </v>
      </c>
      <c r="I1112" s="26"/>
      <c r="J1112" s="27" t="str">
        <f t="shared" si="71"/>
        <v xml:space="preserve"> </v>
      </c>
    </row>
    <row r="1113" spans="1:10" x14ac:dyDescent="0.3">
      <c r="A1113" s="23" t="str">
        <f t="shared" si="68"/>
        <v xml:space="preserve"> </v>
      </c>
      <c r="B1113" s="24"/>
      <c r="C1113" s="4"/>
      <c r="D1113" s="24"/>
      <c r="E1113" s="24"/>
      <c r="F1113" s="25" t="str">
        <f t="shared" si="69"/>
        <v xml:space="preserve"> </v>
      </c>
      <c r="G1113" s="24"/>
      <c r="H1113" s="25" t="str">
        <f t="shared" si="70"/>
        <v xml:space="preserve"> </v>
      </c>
      <c r="I1113" s="26"/>
      <c r="J1113" s="27" t="str">
        <f t="shared" si="71"/>
        <v xml:space="preserve"> </v>
      </c>
    </row>
    <row r="1114" spans="1:10" x14ac:dyDescent="0.3">
      <c r="A1114" s="23" t="str">
        <f t="shared" si="68"/>
        <v xml:space="preserve"> </v>
      </c>
      <c r="B1114" s="24"/>
      <c r="C1114" s="4"/>
      <c r="D1114" s="24"/>
      <c r="E1114" s="24"/>
      <c r="F1114" s="25" t="str">
        <f t="shared" si="69"/>
        <v xml:space="preserve"> </v>
      </c>
      <c r="G1114" s="24"/>
      <c r="H1114" s="25" t="str">
        <f t="shared" si="70"/>
        <v xml:space="preserve"> </v>
      </c>
      <c r="I1114" s="26"/>
      <c r="J1114" s="27" t="str">
        <f t="shared" si="71"/>
        <v xml:space="preserve"> </v>
      </c>
    </row>
    <row r="1115" spans="1:10" x14ac:dyDescent="0.3">
      <c r="A1115" s="23" t="str">
        <f t="shared" si="68"/>
        <v xml:space="preserve"> </v>
      </c>
      <c r="B1115" s="24"/>
      <c r="C1115" s="4"/>
      <c r="D1115" s="24"/>
      <c r="E1115" s="24"/>
      <c r="F1115" s="25" t="str">
        <f t="shared" si="69"/>
        <v xml:space="preserve"> </v>
      </c>
      <c r="G1115" s="24"/>
      <c r="H1115" s="25" t="str">
        <f t="shared" si="70"/>
        <v xml:space="preserve"> </v>
      </c>
      <c r="I1115" s="26"/>
      <c r="J1115" s="27" t="str">
        <f t="shared" si="71"/>
        <v xml:space="preserve"> </v>
      </c>
    </row>
    <row r="1116" spans="1:10" x14ac:dyDescent="0.3">
      <c r="A1116" s="23" t="str">
        <f t="shared" si="68"/>
        <v xml:space="preserve"> </v>
      </c>
      <c r="B1116" s="24"/>
      <c r="C1116" s="4"/>
      <c r="D1116" s="24"/>
      <c r="E1116" s="24"/>
      <c r="F1116" s="25" t="str">
        <f t="shared" si="69"/>
        <v xml:space="preserve"> </v>
      </c>
      <c r="G1116" s="24"/>
      <c r="H1116" s="25" t="str">
        <f t="shared" si="70"/>
        <v xml:space="preserve"> </v>
      </c>
      <c r="I1116" s="26"/>
      <c r="J1116" s="27" t="str">
        <f t="shared" si="71"/>
        <v xml:space="preserve"> </v>
      </c>
    </row>
    <row r="1117" spans="1:10" x14ac:dyDescent="0.3">
      <c r="A1117" s="23" t="str">
        <f t="shared" si="68"/>
        <v xml:space="preserve"> </v>
      </c>
      <c r="B1117" s="24"/>
      <c r="C1117" s="4"/>
      <c r="D1117" s="24"/>
      <c r="E1117" s="24"/>
      <c r="F1117" s="25" t="str">
        <f t="shared" si="69"/>
        <v xml:space="preserve"> </v>
      </c>
      <c r="G1117" s="24"/>
      <c r="H1117" s="25" t="str">
        <f t="shared" si="70"/>
        <v xml:space="preserve"> </v>
      </c>
      <c r="I1117" s="26"/>
      <c r="J1117" s="27" t="str">
        <f t="shared" si="71"/>
        <v xml:space="preserve"> </v>
      </c>
    </row>
    <row r="1118" spans="1:10" x14ac:dyDescent="0.3">
      <c r="A1118" s="23" t="str">
        <f t="shared" si="68"/>
        <v xml:space="preserve"> </v>
      </c>
      <c r="B1118" s="24"/>
      <c r="C1118" s="4"/>
      <c r="D1118" s="24"/>
      <c r="E1118" s="24"/>
      <c r="F1118" s="25" t="str">
        <f t="shared" si="69"/>
        <v xml:space="preserve"> </v>
      </c>
      <c r="G1118" s="24"/>
      <c r="H1118" s="25" t="str">
        <f t="shared" si="70"/>
        <v xml:space="preserve"> </v>
      </c>
      <c r="I1118" s="26"/>
      <c r="J1118" s="27" t="str">
        <f t="shared" si="71"/>
        <v xml:space="preserve"> </v>
      </c>
    </row>
    <row r="1119" spans="1:10" x14ac:dyDescent="0.3">
      <c r="A1119" s="23" t="str">
        <f t="shared" si="68"/>
        <v xml:space="preserve"> </v>
      </c>
      <c r="B1119" s="24"/>
      <c r="C1119" s="4"/>
      <c r="D1119" s="24"/>
      <c r="E1119" s="24"/>
      <c r="F1119" s="25" t="str">
        <f t="shared" si="69"/>
        <v xml:space="preserve"> </v>
      </c>
      <c r="G1119" s="24"/>
      <c r="H1119" s="25" t="str">
        <f t="shared" si="70"/>
        <v xml:space="preserve"> </v>
      </c>
      <c r="I1119" s="26"/>
      <c r="J1119" s="27" t="str">
        <f t="shared" si="71"/>
        <v xml:space="preserve"> </v>
      </c>
    </row>
    <row r="1120" spans="1:10" x14ac:dyDescent="0.3">
      <c r="A1120" s="23" t="str">
        <f t="shared" si="68"/>
        <v xml:space="preserve"> </v>
      </c>
      <c r="B1120" s="24"/>
      <c r="C1120" s="4"/>
      <c r="D1120" s="24"/>
      <c r="E1120" s="24"/>
      <c r="F1120" s="25" t="str">
        <f t="shared" si="69"/>
        <v xml:space="preserve"> </v>
      </c>
      <c r="G1120" s="24"/>
      <c r="H1120" s="25" t="str">
        <f t="shared" si="70"/>
        <v xml:space="preserve"> </v>
      </c>
      <c r="I1120" s="26"/>
      <c r="J1120" s="27" t="str">
        <f t="shared" si="71"/>
        <v xml:space="preserve"> </v>
      </c>
    </row>
    <row r="1121" spans="1:10" x14ac:dyDescent="0.3">
      <c r="A1121" s="23" t="str">
        <f t="shared" si="68"/>
        <v xml:space="preserve"> </v>
      </c>
      <c r="B1121" s="24"/>
      <c r="C1121" s="4"/>
      <c r="D1121" s="24"/>
      <c r="E1121" s="24"/>
      <c r="F1121" s="25" t="str">
        <f t="shared" si="69"/>
        <v xml:space="preserve"> </v>
      </c>
      <c r="G1121" s="24"/>
      <c r="H1121" s="25" t="str">
        <f t="shared" si="70"/>
        <v xml:space="preserve"> </v>
      </c>
      <c r="I1121" s="26"/>
      <c r="J1121" s="27" t="str">
        <f t="shared" si="71"/>
        <v xml:space="preserve"> </v>
      </c>
    </row>
    <row r="1122" spans="1:10" x14ac:dyDescent="0.3">
      <c r="A1122" s="23" t="str">
        <f t="shared" si="68"/>
        <v xml:space="preserve"> </v>
      </c>
      <c r="B1122" s="24"/>
      <c r="C1122" s="4"/>
      <c r="D1122" s="24"/>
      <c r="E1122" s="24"/>
      <c r="F1122" s="25" t="str">
        <f t="shared" si="69"/>
        <v xml:space="preserve"> </v>
      </c>
      <c r="G1122" s="24"/>
      <c r="H1122" s="25" t="str">
        <f t="shared" si="70"/>
        <v xml:space="preserve"> </v>
      </c>
      <c r="I1122" s="26"/>
      <c r="J1122" s="27" t="str">
        <f t="shared" si="71"/>
        <v xml:space="preserve"> </v>
      </c>
    </row>
    <row r="1123" spans="1:10" x14ac:dyDescent="0.3">
      <c r="A1123" s="23" t="str">
        <f t="shared" si="68"/>
        <v xml:space="preserve"> </v>
      </c>
      <c r="B1123" s="24"/>
      <c r="C1123" s="4"/>
      <c r="D1123" s="24"/>
      <c r="E1123" s="24"/>
      <c r="F1123" s="25" t="str">
        <f t="shared" si="69"/>
        <v xml:space="preserve"> </v>
      </c>
      <c r="G1123" s="24"/>
      <c r="H1123" s="25" t="str">
        <f t="shared" si="70"/>
        <v xml:space="preserve"> </v>
      </c>
      <c r="I1123" s="26"/>
      <c r="J1123" s="27" t="str">
        <f t="shared" si="71"/>
        <v xml:space="preserve"> </v>
      </c>
    </row>
    <row r="1124" spans="1:10" x14ac:dyDescent="0.3">
      <c r="A1124" s="23" t="str">
        <f t="shared" si="68"/>
        <v xml:space="preserve"> </v>
      </c>
      <c r="B1124" s="24"/>
      <c r="C1124" s="4"/>
      <c r="D1124" s="24"/>
      <c r="E1124" s="24"/>
      <c r="F1124" s="25" t="str">
        <f t="shared" si="69"/>
        <v xml:space="preserve"> </v>
      </c>
      <c r="G1124" s="24"/>
      <c r="H1124" s="25" t="str">
        <f t="shared" si="70"/>
        <v xml:space="preserve"> </v>
      </c>
      <c r="I1124" s="26"/>
      <c r="J1124" s="27" t="str">
        <f t="shared" si="71"/>
        <v xml:space="preserve"> </v>
      </c>
    </row>
    <row r="1125" spans="1:10" x14ac:dyDescent="0.3">
      <c r="A1125" s="23" t="str">
        <f t="shared" si="68"/>
        <v xml:space="preserve"> </v>
      </c>
      <c r="B1125" s="24"/>
      <c r="C1125" s="4"/>
      <c r="D1125" s="24"/>
      <c r="E1125" s="24"/>
      <c r="F1125" s="25" t="str">
        <f t="shared" si="69"/>
        <v xml:space="preserve"> </v>
      </c>
      <c r="G1125" s="24"/>
      <c r="H1125" s="25" t="str">
        <f t="shared" si="70"/>
        <v xml:space="preserve"> </v>
      </c>
      <c r="I1125" s="26"/>
      <c r="J1125" s="27" t="str">
        <f t="shared" si="71"/>
        <v xml:space="preserve"> </v>
      </c>
    </row>
    <row r="1126" spans="1:10" x14ac:dyDescent="0.3">
      <c r="A1126" s="23" t="str">
        <f t="shared" si="68"/>
        <v xml:space="preserve"> </v>
      </c>
      <c r="B1126" s="24"/>
      <c r="C1126" s="4"/>
      <c r="D1126" s="24"/>
      <c r="E1126" s="24"/>
      <c r="F1126" s="25" t="str">
        <f t="shared" si="69"/>
        <v xml:space="preserve"> </v>
      </c>
      <c r="G1126" s="24"/>
      <c r="H1126" s="25" t="str">
        <f t="shared" si="70"/>
        <v xml:space="preserve"> </v>
      </c>
      <c r="I1126" s="26"/>
      <c r="J1126" s="27" t="str">
        <f t="shared" si="71"/>
        <v xml:space="preserve"> </v>
      </c>
    </row>
    <row r="1127" spans="1:10" x14ac:dyDescent="0.3">
      <c r="A1127" s="23" t="str">
        <f t="shared" si="68"/>
        <v xml:space="preserve"> </v>
      </c>
      <c r="B1127" s="24"/>
      <c r="C1127" s="4"/>
      <c r="D1127" s="24"/>
      <c r="E1127" s="24"/>
      <c r="F1127" s="25" t="str">
        <f t="shared" si="69"/>
        <v xml:space="preserve"> </v>
      </c>
      <c r="G1127" s="24"/>
      <c r="H1127" s="25" t="str">
        <f t="shared" si="70"/>
        <v xml:space="preserve"> </v>
      </c>
      <c r="I1127" s="26"/>
      <c r="J1127" s="27" t="str">
        <f t="shared" si="71"/>
        <v xml:space="preserve"> </v>
      </c>
    </row>
    <row r="1128" spans="1:10" x14ac:dyDescent="0.3">
      <c r="A1128" s="23" t="str">
        <f t="shared" si="68"/>
        <v xml:space="preserve"> </v>
      </c>
      <c r="B1128" s="24"/>
      <c r="C1128" s="4"/>
      <c r="D1128" s="24"/>
      <c r="E1128" s="24"/>
      <c r="F1128" s="25" t="str">
        <f t="shared" si="69"/>
        <v xml:space="preserve"> </v>
      </c>
      <c r="G1128" s="24"/>
      <c r="H1128" s="25" t="str">
        <f t="shared" si="70"/>
        <v xml:space="preserve"> </v>
      </c>
      <c r="I1128" s="26"/>
      <c r="J1128" s="27" t="str">
        <f t="shared" si="71"/>
        <v xml:space="preserve"> </v>
      </c>
    </row>
    <row r="1129" spans="1:10" x14ac:dyDescent="0.3">
      <c r="A1129" s="23" t="str">
        <f t="shared" si="68"/>
        <v xml:space="preserve"> </v>
      </c>
      <c r="B1129" s="24"/>
      <c r="C1129" s="4"/>
      <c r="D1129" s="24"/>
      <c r="E1129" s="24"/>
      <c r="F1129" s="25" t="str">
        <f t="shared" si="69"/>
        <v xml:space="preserve"> </v>
      </c>
      <c r="G1129" s="24"/>
      <c r="H1129" s="25" t="str">
        <f t="shared" si="70"/>
        <v xml:space="preserve"> </v>
      </c>
      <c r="I1129" s="26"/>
      <c r="J1129" s="27" t="str">
        <f t="shared" si="71"/>
        <v xml:space="preserve"> </v>
      </c>
    </row>
    <row r="1130" spans="1:10" x14ac:dyDescent="0.3">
      <c r="A1130" s="23" t="str">
        <f t="shared" si="68"/>
        <v xml:space="preserve"> </v>
      </c>
      <c r="B1130" s="24"/>
      <c r="C1130" s="4"/>
      <c r="D1130" s="24"/>
      <c r="E1130" s="24"/>
      <c r="F1130" s="25" t="str">
        <f t="shared" si="69"/>
        <v xml:space="preserve"> </v>
      </c>
      <c r="G1130" s="24"/>
      <c r="H1130" s="25" t="str">
        <f t="shared" si="70"/>
        <v xml:space="preserve"> </v>
      </c>
      <c r="I1130" s="26"/>
      <c r="J1130" s="27" t="str">
        <f t="shared" si="71"/>
        <v xml:space="preserve"> </v>
      </c>
    </row>
    <row r="1131" spans="1:10" x14ac:dyDescent="0.3">
      <c r="A1131" s="23" t="str">
        <f t="shared" si="68"/>
        <v xml:space="preserve"> </v>
      </c>
      <c r="B1131" s="24"/>
      <c r="C1131" s="4"/>
      <c r="D1131" s="24"/>
      <c r="E1131" s="24"/>
      <c r="F1131" s="25" t="str">
        <f t="shared" si="69"/>
        <v xml:space="preserve"> </v>
      </c>
      <c r="G1131" s="24"/>
      <c r="H1131" s="25" t="str">
        <f t="shared" si="70"/>
        <v xml:space="preserve"> </v>
      </c>
      <c r="I1131" s="26"/>
      <c r="J1131" s="27" t="str">
        <f t="shared" si="71"/>
        <v xml:space="preserve"> </v>
      </c>
    </row>
    <row r="1132" spans="1:10" x14ac:dyDescent="0.3">
      <c r="A1132" s="23" t="str">
        <f t="shared" si="68"/>
        <v xml:space="preserve"> </v>
      </c>
      <c r="B1132" s="24"/>
      <c r="C1132" s="4"/>
      <c r="D1132" s="24"/>
      <c r="E1132" s="24"/>
      <c r="F1132" s="25" t="str">
        <f t="shared" si="69"/>
        <v xml:space="preserve"> </v>
      </c>
      <c r="G1132" s="24"/>
      <c r="H1132" s="25" t="str">
        <f t="shared" si="70"/>
        <v xml:space="preserve"> </v>
      </c>
      <c r="I1132" s="26"/>
      <c r="J1132" s="27" t="str">
        <f t="shared" si="71"/>
        <v xml:space="preserve"> </v>
      </c>
    </row>
    <row r="1133" spans="1:10" x14ac:dyDescent="0.3">
      <c r="A1133" s="23" t="str">
        <f t="shared" si="68"/>
        <v xml:space="preserve"> </v>
      </c>
      <c r="B1133" s="24"/>
      <c r="C1133" s="4"/>
      <c r="D1133" s="24"/>
      <c r="E1133" s="24"/>
      <c r="F1133" s="25" t="str">
        <f t="shared" si="69"/>
        <v xml:space="preserve"> </v>
      </c>
      <c r="G1133" s="24"/>
      <c r="H1133" s="25" t="str">
        <f t="shared" si="70"/>
        <v xml:space="preserve"> </v>
      </c>
      <c r="I1133" s="26"/>
      <c r="J1133" s="27" t="str">
        <f t="shared" si="71"/>
        <v xml:space="preserve"> </v>
      </c>
    </row>
    <row r="1134" spans="1:10" x14ac:dyDescent="0.3">
      <c r="A1134" s="23" t="str">
        <f t="shared" si="68"/>
        <v xml:space="preserve"> </v>
      </c>
      <c r="B1134" s="24"/>
      <c r="C1134" s="4"/>
      <c r="D1134" s="24"/>
      <c r="E1134" s="24"/>
      <c r="F1134" s="25" t="str">
        <f t="shared" si="69"/>
        <v xml:space="preserve"> </v>
      </c>
      <c r="G1134" s="24"/>
      <c r="H1134" s="25" t="str">
        <f t="shared" si="70"/>
        <v xml:space="preserve"> </v>
      </c>
      <c r="I1134" s="26"/>
      <c r="J1134" s="27" t="str">
        <f t="shared" si="71"/>
        <v xml:space="preserve"> </v>
      </c>
    </row>
    <row r="1135" spans="1:10" x14ac:dyDescent="0.3">
      <c r="A1135" s="23" t="str">
        <f t="shared" si="68"/>
        <v xml:space="preserve"> </v>
      </c>
      <c r="B1135" s="24"/>
      <c r="C1135" s="4"/>
      <c r="D1135" s="24"/>
      <c r="E1135" s="24"/>
      <c r="F1135" s="25" t="str">
        <f t="shared" si="69"/>
        <v xml:space="preserve"> </v>
      </c>
      <c r="G1135" s="24"/>
      <c r="H1135" s="25" t="str">
        <f t="shared" si="70"/>
        <v xml:space="preserve"> </v>
      </c>
      <c r="I1135" s="26"/>
      <c r="J1135" s="27" t="str">
        <f t="shared" si="71"/>
        <v xml:space="preserve"> </v>
      </c>
    </row>
    <row r="1136" spans="1:10" x14ac:dyDescent="0.3">
      <c r="A1136" s="23" t="str">
        <f t="shared" si="68"/>
        <v xml:space="preserve"> </v>
      </c>
      <c r="B1136" s="24"/>
      <c r="C1136" s="4"/>
      <c r="D1136" s="24"/>
      <c r="E1136" s="24"/>
      <c r="F1136" s="25" t="str">
        <f t="shared" si="69"/>
        <v xml:space="preserve"> </v>
      </c>
      <c r="G1136" s="24"/>
      <c r="H1136" s="25" t="str">
        <f t="shared" si="70"/>
        <v xml:space="preserve"> </v>
      </c>
      <c r="I1136" s="26"/>
      <c r="J1136" s="27" t="str">
        <f t="shared" si="71"/>
        <v xml:space="preserve"> </v>
      </c>
    </row>
    <row r="1137" spans="1:10" x14ac:dyDescent="0.3">
      <c r="A1137" s="23" t="str">
        <f t="shared" si="68"/>
        <v xml:space="preserve"> </v>
      </c>
      <c r="B1137" s="24"/>
      <c r="C1137" s="4"/>
      <c r="D1137" s="24"/>
      <c r="E1137" s="24"/>
      <c r="F1137" s="25" t="str">
        <f t="shared" si="69"/>
        <v xml:space="preserve"> </v>
      </c>
      <c r="G1137" s="24"/>
      <c r="H1137" s="25" t="str">
        <f t="shared" si="70"/>
        <v xml:space="preserve"> </v>
      </c>
      <c r="I1137" s="26"/>
      <c r="J1137" s="27" t="str">
        <f t="shared" si="71"/>
        <v xml:space="preserve"> </v>
      </c>
    </row>
    <row r="1138" spans="1:10" x14ac:dyDescent="0.3">
      <c r="A1138" s="23" t="str">
        <f t="shared" si="68"/>
        <v xml:space="preserve"> </v>
      </c>
      <c r="B1138" s="24"/>
      <c r="C1138" s="4"/>
      <c r="D1138" s="24"/>
      <c r="E1138" s="24"/>
      <c r="F1138" s="25" t="str">
        <f t="shared" si="69"/>
        <v xml:space="preserve"> </v>
      </c>
      <c r="G1138" s="24"/>
      <c r="H1138" s="25" t="str">
        <f t="shared" si="70"/>
        <v xml:space="preserve"> </v>
      </c>
      <c r="I1138" s="26"/>
      <c r="J1138" s="27" t="str">
        <f t="shared" si="71"/>
        <v xml:space="preserve"> </v>
      </c>
    </row>
    <row r="1139" spans="1:10" x14ac:dyDescent="0.3">
      <c r="A1139" s="23" t="str">
        <f t="shared" si="68"/>
        <v xml:space="preserve"> </v>
      </c>
      <c r="B1139" s="24"/>
      <c r="C1139" s="4"/>
      <c r="D1139" s="24"/>
      <c r="E1139" s="24"/>
      <c r="F1139" s="25" t="str">
        <f t="shared" si="69"/>
        <v xml:space="preserve"> </v>
      </c>
      <c r="G1139" s="24"/>
      <c r="H1139" s="25" t="str">
        <f t="shared" si="70"/>
        <v xml:space="preserve"> </v>
      </c>
      <c r="I1139" s="26"/>
      <c r="J1139" s="27" t="str">
        <f t="shared" si="71"/>
        <v xml:space="preserve"> </v>
      </c>
    </row>
    <row r="1140" spans="1:10" x14ac:dyDescent="0.3">
      <c r="A1140" s="23" t="str">
        <f t="shared" si="68"/>
        <v xml:space="preserve"> </v>
      </c>
      <c r="B1140" s="24"/>
      <c r="C1140" s="4"/>
      <c r="D1140" s="24"/>
      <c r="E1140" s="24"/>
      <c r="F1140" s="25" t="str">
        <f t="shared" si="69"/>
        <v xml:space="preserve"> </v>
      </c>
      <c r="G1140" s="24"/>
      <c r="H1140" s="25" t="str">
        <f t="shared" si="70"/>
        <v xml:space="preserve"> </v>
      </c>
      <c r="I1140" s="26"/>
      <c r="J1140" s="27" t="str">
        <f t="shared" si="71"/>
        <v xml:space="preserve"> </v>
      </c>
    </row>
    <row r="1141" spans="1:10" x14ac:dyDescent="0.3">
      <c r="A1141" s="23" t="str">
        <f t="shared" si="68"/>
        <v xml:space="preserve"> </v>
      </c>
      <c r="B1141" s="24"/>
      <c r="C1141" s="4"/>
      <c r="D1141" s="24"/>
      <c r="E1141" s="24"/>
      <c r="F1141" s="25" t="str">
        <f t="shared" si="69"/>
        <v xml:space="preserve"> </v>
      </c>
      <c r="G1141" s="24"/>
      <c r="H1141" s="25" t="str">
        <f t="shared" si="70"/>
        <v xml:space="preserve"> </v>
      </c>
      <c r="I1141" s="26"/>
      <c r="J1141" s="27" t="str">
        <f t="shared" si="71"/>
        <v xml:space="preserve"> </v>
      </c>
    </row>
    <row r="1142" spans="1:10" x14ac:dyDescent="0.3">
      <c r="A1142" s="23" t="str">
        <f t="shared" si="68"/>
        <v xml:space="preserve"> </v>
      </c>
      <c r="B1142" s="24"/>
      <c r="C1142" s="4"/>
      <c r="D1142" s="24"/>
      <c r="E1142" s="24"/>
      <c r="F1142" s="25" t="str">
        <f t="shared" si="69"/>
        <v xml:space="preserve"> </v>
      </c>
      <c r="G1142" s="24"/>
      <c r="H1142" s="25" t="str">
        <f t="shared" si="70"/>
        <v xml:space="preserve"> </v>
      </c>
      <c r="I1142" s="26"/>
      <c r="J1142" s="27" t="str">
        <f t="shared" si="71"/>
        <v xml:space="preserve"> </v>
      </c>
    </row>
    <row r="1143" spans="1:10" x14ac:dyDescent="0.3">
      <c r="A1143" s="23" t="str">
        <f t="shared" si="68"/>
        <v xml:space="preserve"> </v>
      </c>
      <c r="B1143" s="24"/>
      <c r="C1143" s="4"/>
      <c r="D1143" s="24"/>
      <c r="E1143" s="24"/>
      <c r="F1143" s="25" t="str">
        <f t="shared" si="69"/>
        <v xml:space="preserve"> </v>
      </c>
      <c r="G1143" s="24"/>
      <c r="H1143" s="25" t="str">
        <f t="shared" si="70"/>
        <v xml:space="preserve"> </v>
      </c>
      <c r="I1143" s="26"/>
      <c r="J1143" s="27" t="str">
        <f t="shared" si="71"/>
        <v xml:space="preserve"> </v>
      </c>
    </row>
    <row r="1144" spans="1:10" x14ac:dyDescent="0.3">
      <c r="A1144" s="23" t="str">
        <f t="shared" si="68"/>
        <v xml:space="preserve"> </v>
      </c>
      <c r="B1144" s="24"/>
      <c r="C1144" s="4"/>
      <c r="D1144" s="24"/>
      <c r="E1144" s="24"/>
      <c r="F1144" s="25" t="str">
        <f t="shared" si="69"/>
        <v xml:space="preserve"> </v>
      </c>
      <c r="G1144" s="24"/>
      <c r="H1144" s="25" t="str">
        <f t="shared" si="70"/>
        <v xml:space="preserve"> </v>
      </c>
      <c r="I1144" s="26"/>
      <c r="J1144" s="27" t="str">
        <f t="shared" si="71"/>
        <v xml:space="preserve"> </v>
      </c>
    </row>
    <row r="1145" spans="1:10" x14ac:dyDescent="0.3">
      <c r="A1145" s="23" t="str">
        <f t="shared" si="68"/>
        <v xml:space="preserve"> </v>
      </c>
      <c r="B1145" s="24"/>
      <c r="C1145" s="4"/>
      <c r="D1145" s="24"/>
      <c r="E1145" s="24"/>
      <c r="F1145" s="25" t="str">
        <f t="shared" si="69"/>
        <v xml:space="preserve"> </v>
      </c>
      <c r="G1145" s="24"/>
      <c r="H1145" s="25" t="str">
        <f t="shared" si="70"/>
        <v xml:space="preserve"> </v>
      </c>
      <c r="I1145" s="26"/>
      <c r="J1145" s="27" t="str">
        <f t="shared" si="71"/>
        <v xml:space="preserve"> </v>
      </c>
    </row>
    <row r="1146" spans="1:10" x14ac:dyDescent="0.3">
      <c r="A1146" s="23" t="str">
        <f t="shared" si="68"/>
        <v xml:space="preserve"> </v>
      </c>
      <c r="B1146" s="24"/>
      <c r="C1146" s="4"/>
      <c r="D1146" s="24"/>
      <c r="E1146" s="24"/>
      <c r="F1146" s="25" t="str">
        <f t="shared" si="69"/>
        <v xml:space="preserve"> </v>
      </c>
      <c r="G1146" s="24"/>
      <c r="H1146" s="25" t="str">
        <f t="shared" si="70"/>
        <v xml:space="preserve"> </v>
      </c>
      <c r="I1146" s="26"/>
      <c r="J1146" s="27" t="str">
        <f t="shared" si="71"/>
        <v xml:space="preserve"> </v>
      </c>
    </row>
    <row r="1147" spans="1:10" x14ac:dyDescent="0.3">
      <c r="A1147" s="23" t="str">
        <f t="shared" si="68"/>
        <v xml:space="preserve"> </v>
      </c>
      <c r="B1147" s="24"/>
      <c r="C1147" s="4"/>
      <c r="D1147" s="24"/>
      <c r="E1147" s="24"/>
      <c r="F1147" s="25" t="str">
        <f t="shared" si="69"/>
        <v xml:space="preserve"> </v>
      </c>
      <c r="G1147" s="24"/>
      <c r="H1147" s="25" t="str">
        <f t="shared" si="70"/>
        <v xml:space="preserve"> </v>
      </c>
      <c r="I1147" s="26"/>
      <c r="J1147" s="27" t="str">
        <f t="shared" si="71"/>
        <v xml:space="preserve"> </v>
      </c>
    </row>
    <row r="1148" spans="1:10" x14ac:dyDescent="0.3">
      <c r="A1148" s="23" t="str">
        <f t="shared" si="68"/>
        <v xml:space="preserve"> </v>
      </c>
      <c r="B1148" s="24"/>
      <c r="C1148" s="4"/>
      <c r="D1148" s="24"/>
      <c r="E1148" s="24"/>
      <c r="F1148" s="25" t="str">
        <f t="shared" si="69"/>
        <v xml:space="preserve"> </v>
      </c>
      <c r="G1148" s="24"/>
      <c r="H1148" s="25" t="str">
        <f t="shared" si="70"/>
        <v xml:space="preserve"> </v>
      </c>
      <c r="I1148" s="26"/>
      <c r="J1148" s="27" t="str">
        <f t="shared" si="71"/>
        <v xml:space="preserve"> </v>
      </c>
    </row>
    <row r="1149" spans="1:10" x14ac:dyDescent="0.3">
      <c r="A1149" s="23" t="str">
        <f t="shared" si="68"/>
        <v xml:space="preserve"> </v>
      </c>
      <c r="B1149" s="24"/>
      <c r="C1149" s="4"/>
      <c r="D1149" s="24"/>
      <c r="E1149" s="24"/>
      <c r="F1149" s="25" t="str">
        <f t="shared" si="69"/>
        <v xml:space="preserve"> </v>
      </c>
      <c r="G1149" s="24"/>
      <c r="H1149" s="25" t="str">
        <f t="shared" si="70"/>
        <v xml:space="preserve"> </v>
      </c>
      <c r="I1149" s="26"/>
      <c r="J1149" s="27" t="str">
        <f t="shared" si="71"/>
        <v xml:space="preserve"> </v>
      </c>
    </row>
    <row r="1150" spans="1:10" x14ac:dyDescent="0.3">
      <c r="A1150" s="23" t="str">
        <f t="shared" si="68"/>
        <v xml:space="preserve"> </v>
      </c>
      <c r="B1150" s="24"/>
      <c r="C1150" s="4"/>
      <c r="D1150" s="24"/>
      <c r="E1150" s="24"/>
      <c r="F1150" s="25" t="str">
        <f t="shared" si="69"/>
        <v xml:space="preserve"> </v>
      </c>
      <c r="G1150" s="24"/>
      <c r="H1150" s="25" t="str">
        <f t="shared" si="70"/>
        <v xml:space="preserve"> </v>
      </c>
      <c r="I1150" s="26"/>
      <c r="J1150" s="27" t="str">
        <f t="shared" si="71"/>
        <v xml:space="preserve"> </v>
      </c>
    </row>
    <row r="1151" spans="1:10" x14ac:dyDescent="0.3">
      <c r="A1151" s="23" t="str">
        <f t="shared" si="68"/>
        <v xml:space="preserve"> </v>
      </c>
      <c r="B1151" s="24"/>
      <c r="C1151" s="4"/>
      <c r="D1151" s="24"/>
      <c r="E1151" s="24"/>
      <c r="F1151" s="25" t="str">
        <f t="shared" si="69"/>
        <v xml:space="preserve"> </v>
      </c>
      <c r="G1151" s="24"/>
      <c r="H1151" s="25" t="str">
        <f t="shared" si="70"/>
        <v xml:space="preserve"> </v>
      </c>
      <c r="I1151" s="26"/>
      <c r="J1151" s="27" t="str">
        <f t="shared" si="71"/>
        <v xml:space="preserve"> </v>
      </c>
    </row>
    <row r="1152" spans="1:10" x14ac:dyDescent="0.3">
      <c r="A1152" s="23" t="str">
        <f t="shared" si="68"/>
        <v xml:space="preserve"> </v>
      </c>
      <c r="B1152" s="24"/>
      <c r="C1152" s="4"/>
      <c r="D1152" s="24"/>
      <c r="E1152" s="24"/>
      <c r="F1152" s="25" t="str">
        <f t="shared" si="69"/>
        <v xml:space="preserve"> </v>
      </c>
      <c r="G1152" s="24"/>
      <c r="H1152" s="25" t="str">
        <f t="shared" si="70"/>
        <v xml:space="preserve"> </v>
      </c>
      <c r="I1152" s="26"/>
      <c r="J1152" s="27" t="str">
        <f t="shared" si="71"/>
        <v xml:space="preserve"> </v>
      </c>
    </row>
    <row r="1153" spans="1:10" x14ac:dyDescent="0.3">
      <c r="A1153" s="23" t="str">
        <f t="shared" si="68"/>
        <v xml:space="preserve"> </v>
      </c>
      <c r="B1153" s="24"/>
      <c r="C1153" s="4"/>
      <c r="D1153" s="24"/>
      <c r="E1153" s="24"/>
      <c r="F1153" s="25" t="str">
        <f t="shared" si="69"/>
        <v xml:space="preserve"> </v>
      </c>
      <c r="G1153" s="24"/>
      <c r="H1153" s="25" t="str">
        <f t="shared" si="70"/>
        <v xml:space="preserve"> </v>
      </c>
      <c r="I1153" s="26"/>
      <c r="J1153" s="27" t="str">
        <f t="shared" si="71"/>
        <v xml:space="preserve"> </v>
      </c>
    </row>
    <row r="1154" spans="1:10" x14ac:dyDescent="0.3">
      <c r="A1154" s="23" t="str">
        <f t="shared" si="68"/>
        <v xml:space="preserve"> </v>
      </c>
      <c r="B1154" s="24"/>
      <c r="C1154" s="4"/>
      <c r="D1154" s="24"/>
      <c r="E1154" s="24"/>
      <c r="F1154" s="25" t="str">
        <f t="shared" si="69"/>
        <v xml:space="preserve"> </v>
      </c>
      <c r="G1154" s="24"/>
      <c r="H1154" s="25" t="str">
        <f t="shared" si="70"/>
        <v xml:space="preserve"> </v>
      </c>
      <c r="I1154" s="26"/>
      <c r="J1154" s="27" t="str">
        <f t="shared" si="71"/>
        <v xml:space="preserve"> </v>
      </c>
    </row>
    <row r="1155" spans="1:10" x14ac:dyDescent="0.3">
      <c r="A1155" s="23" t="str">
        <f t="shared" si="68"/>
        <v xml:space="preserve"> </v>
      </c>
      <c r="B1155" s="24"/>
      <c r="C1155" s="4"/>
      <c r="D1155" s="24"/>
      <c r="E1155" s="24"/>
      <c r="F1155" s="25" t="str">
        <f t="shared" si="69"/>
        <v xml:space="preserve"> </v>
      </c>
      <c r="G1155" s="24"/>
      <c r="H1155" s="25" t="str">
        <f t="shared" si="70"/>
        <v xml:space="preserve"> </v>
      </c>
      <c r="I1155" s="26"/>
      <c r="J1155" s="27" t="str">
        <f t="shared" si="71"/>
        <v xml:space="preserve"> </v>
      </c>
    </row>
    <row r="1156" spans="1:10" x14ac:dyDescent="0.3">
      <c r="A1156" s="23" t="str">
        <f t="shared" si="68"/>
        <v xml:space="preserve"> </v>
      </c>
      <c r="B1156" s="24"/>
      <c r="C1156" s="4"/>
      <c r="D1156" s="24"/>
      <c r="E1156" s="24"/>
      <c r="F1156" s="25" t="str">
        <f t="shared" si="69"/>
        <v xml:space="preserve"> </v>
      </c>
      <c r="G1156" s="24"/>
      <c r="H1156" s="25" t="str">
        <f t="shared" si="70"/>
        <v xml:space="preserve"> </v>
      </c>
      <c r="I1156" s="26"/>
      <c r="J1156" s="27" t="str">
        <f t="shared" si="71"/>
        <v xml:space="preserve"> </v>
      </c>
    </row>
    <row r="1157" spans="1:10" x14ac:dyDescent="0.3">
      <c r="A1157" s="23" t="str">
        <f t="shared" ref="A1157:A1220" si="72">IF(C1157&gt;0,RIGHT($D$3,10)," ")</f>
        <v xml:space="preserve"> </v>
      </c>
      <c r="B1157" s="24"/>
      <c r="C1157" s="4"/>
      <c r="D1157" s="24"/>
      <c r="E1157" s="24"/>
      <c r="F1157" s="25" t="str">
        <f t="shared" ref="F1157:F1220" si="73">IF(C1157&gt;0,$C$3," ")</f>
        <v xml:space="preserve"> </v>
      </c>
      <c r="G1157" s="24"/>
      <c r="H1157" s="25" t="str">
        <f t="shared" ref="H1157:H1220" si="74">IF(G1157&gt;0,"Pcs."," ")</f>
        <v xml:space="preserve"> </v>
      </c>
      <c r="I1157" s="26"/>
      <c r="J1157" s="27" t="str">
        <f t="shared" ref="J1157:J1220" si="75">IF(I1157*G1157=0," ",I1157*G1157)</f>
        <v xml:space="preserve"> </v>
      </c>
    </row>
    <row r="1158" spans="1:10" x14ac:dyDescent="0.3">
      <c r="A1158" s="23" t="str">
        <f t="shared" si="72"/>
        <v xml:space="preserve"> </v>
      </c>
      <c r="B1158" s="24"/>
      <c r="C1158" s="4"/>
      <c r="D1158" s="24"/>
      <c r="E1158" s="24"/>
      <c r="F1158" s="25" t="str">
        <f t="shared" si="73"/>
        <v xml:space="preserve"> </v>
      </c>
      <c r="G1158" s="24"/>
      <c r="H1158" s="25" t="str">
        <f t="shared" si="74"/>
        <v xml:space="preserve"> </v>
      </c>
      <c r="I1158" s="26"/>
      <c r="J1158" s="27" t="str">
        <f t="shared" si="75"/>
        <v xml:space="preserve"> </v>
      </c>
    </row>
    <row r="1159" spans="1:10" x14ac:dyDescent="0.3">
      <c r="A1159" s="23" t="str">
        <f t="shared" si="72"/>
        <v xml:space="preserve"> </v>
      </c>
      <c r="B1159" s="24"/>
      <c r="C1159" s="4"/>
      <c r="D1159" s="24"/>
      <c r="E1159" s="24"/>
      <c r="F1159" s="25" t="str">
        <f t="shared" si="73"/>
        <v xml:space="preserve"> </v>
      </c>
      <c r="G1159" s="24"/>
      <c r="H1159" s="25" t="str">
        <f t="shared" si="74"/>
        <v xml:space="preserve"> </v>
      </c>
      <c r="I1159" s="26"/>
      <c r="J1159" s="27" t="str">
        <f t="shared" si="75"/>
        <v xml:space="preserve"> </v>
      </c>
    </row>
    <row r="1160" spans="1:10" x14ac:dyDescent="0.3">
      <c r="A1160" s="23" t="str">
        <f t="shared" si="72"/>
        <v xml:space="preserve"> </v>
      </c>
      <c r="B1160" s="24"/>
      <c r="C1160" s="4"/>
      <c r="D1160" s="24"/>
      <c r="E1160" s="24"/>
      <c r="F1160" s="25" t="str">
        <f t="shared" si="73"/>
        <v xml:space="preserve"> </v>
      </c>
      <c r="G1160" s="24"/>
      <c r="H1160" s="25" t="str">
        <f t="shared" si="74"/>
        <v xml:space="preserve"> </v>
      </c>
      <c r="I1160" s="26"/>
      <c r="J1160" s="27" t="str">
        <f t="shared" si="75"/>
        <v xml:space="preserve"> </v>
      </c>
    </row>
    <row r="1161" spans="1:10" x14ac:dyDescent="0.3">
      <c r="A1161" s="23" t="str">
        <f t="shared" si="72"/>
        <v xml:space="preserve"> </v>
      </c>
      <c r="B1161" s="24"/>
      <c r="C1161" s="4"/>
      <c r="D1161" s="24"/>
      <c r="E1161" s="24"/>
      <c r="F1161" s="25" t="str">
        <f t="shared" si="73"/>
        <v xml:space="preserve"> </v>
      </c>
      <c r="G1161" s="24"/>
      <c r="H1161" s="25" t="str">
        <f t="shared" si="74"/>
        <v xml:space="preserve"> </v>
      </c>
      <c r="I1161" s="26"/>
      <c r="J1161" s="27" t="str">
        <f t="shared" si="75"/>
        <v xml:space="preserve"> </v>
      </c>
    </row>
    <row r="1162" spans="1:10" x14ac:dyDescent="0.3">
      <c r="A1162" s="23" t="str">
        <f t="shared" si="72"/>
        <v xml:space="preserve"> </v>
      </c>
      <c r="B1162" s="24"/>
      <c r="C1162" s="4"/>
      <c r="D1162" s="24"/>
      <c r="E1162" s="24"/>
      <c r="F1162" s="25" t="str">
        <f t="shared" si="73"/>
        <v xml:space="preserve"> </v>
      </c>
      <c r="G1162" s="24"/>
      <c r="H1162" s="25" t="str">
        <f t="shared" si="74"/>
        <v xml:space="preserve"> </v>
      </c>
      <c r="I1162" s="26"/>
      <c r="J1162" s="27" t="str">
        <f t="shared" si="75"/>
        <v xml:space="preserve"> </v>
      </c>
    </row>
    <row r="1163" spans="1:10" x14ac:dyDescent="0.3">
      <c r="A1163" s="23" t="str">
        <f t="shared" si="72"/>
        <v xml:space="preserve"> </v>
      </c>
      <c r="B1163" s="24"/>
      <c r="C1163" s="4"/>
      <c r="D1163" s="24"/>
      <c r="E1163" s="24"/>
      <c r="F1163" s="25" t="str">
        <f t="shared" si="73"/>
        <v xml:space="preserve"> </v>
      </c>
      <c r="G1163" s="24"/>
      <c r="H1163" s="25" t="str">
        <f t="shared" si="74"/>
        <v xml:space="preserve"> </v>
      </c>
      <c r="I1163" s="26"/>
      <c r="J1163" s="27" t="str">
        <f t="shared" si="75"/>
        <v xml:space="preserve"> </v>
      </c>
    </row>
    <row r="1164" spans="1:10" x14ac:dyDescent="0.3">
      <c r="A1164" s="23" t="str">
        <f t="shared" si="72"/>
        <v xml:space="preserve"> </v>
      </c>
      <c r="B1164" s="24"/>
      <c r="C1164" s="4"/>
      <c r="D1164" s="24"/>
      <c r="E1164" s="24"/>
      <c r="F1164" s="25" t="str">
        <f t="shared" si="73"/>
        <v xml:space="preserve"> </v>
      </c>
      <c r="G1164" s="24"/>
      <c r="H1164" s="25" t="str">
        <f t="shared" si="74"/>
        <v xml:space="preserve"> </v>
      </c>
      <c r="I1164" s="26"/>
      <c r="J1164" s="27" t="str">
        <f t="shared" si="75"/>
        <v xml:space="preserve"> </v>
      </c>
    </row>
    <row r="1165" spans="1:10" x14ac:dyDescent="0.3">
      <c r="A1165" s="23" t="str">
        <f t="shared" si="72"/>
        <v xml:space="preserve"> </v>
      </c>
      <c r="B1165" s="24"/>
      <c r="C1165" s="4"/>
      <c r="D1165" s="24"/>
      <c r="E1165" s="24"/>
      <c r="F1165" s="25" t="str">
        <f t="shared" si="73"/>
        <v xml:space="preserve"> </v>
      </c>
      <c r="G1165" s="24"/>
      <c r="H1165" s="25" t="str">
        <f t="shared" si="74"/>
        <v xml:space="preserve"> </v>
      </c>
      <c r="I1165" s="26"/>
      <c r="J1165" s="27" t="str">
        <f t="shared" si="75"/>
        <v xml:space="preserve"> </v>
      </c>
    </row>
    <row r="1166" spans="1:10" x14ac:dyDescent="0.3">
      <c r="A1166" s="23" t="str">
        <f t="shared" si="72"/>
        <v xml:space="preserve"> </v>
      </c>
      <c r="B1166" s="24"/>
      <c r="C1166" s="4"/>
      <c r="D1166" s="24"/>
      <c r="E1166" s="24"/>
      <c r="F1166" s="25" t="str">
        <f t="shared" si="73"/>
        <v xml:space="preserve"> </v>
      </c>
      <c r="G1166" s="24"/>
      <c r="H1166" s="25" t="str">
        <f t="shared" si="74"/>
        <v xml:space="preserve"> </v>
      </c>
      <c r="I1166" s="26"/>
      <c r="J1166" s="27" t="str">
        <f t="shared" si="75"/>
        <v xml:space="preserve"> </v>
      </c>
    </row>
    <row r="1167" spans="1:10" x14ac:dyDescent="0.3">
      <c r="A1167" s="23" t="str">
        <f t="shared" si="72"/>
        <v xml:space="preserve"> </v>
      </c>
      <c r="B1167" s="24"/>
      <c r="C1167" s="4"/>
      <c r="D1167" s="24"/>
      <c r="E1167" s="24"/>
      <c r="F1167" s="25" t="str">
        <f t="shared" si="73"/>
        <v xml:space="preserve"> </v>
      </c>
      <c r="G1167" s="24"/>
      <c r="H1167" s="25" t="str">
        <f t="shared" si="74"/>
        <v xml:space="preserve"> </v>
      </c>
      <c r="I1167" s="26"/>
      <c r="J1167" s="27" t="str">
        <f t="shared" si="75"/>
        <v xml:space="preserve"> </v>
      </c>
    </row>
    <row r="1168" spans="1:10" x14ac:dyDescent="0.3">
      <c r="A1168" s="23" t="str">
        <f t="shared" si="72"/>
        <v xml:space="preserve"> </v>
      </c>
      <c r="B1168" s="24"/>
      <c r="C1168" s="4"/>
      <c r="D1168" s="24"/>
      <c r="E1168" s="24"/>
      <c r="F1168" s="25" t="str">
        <f t="shared" si="73"/>
        <v xml:space="preserve"> </v>
      </c>
      <c r="G1168" s="24"/>
      <c r="H1168" s="25" t="str">
        <f t="shared" si="74"/>
        <v xml:space="preserve"> </v>
      </c>
      <c r="I1168" s="26"/>
      <c r="J1168" s="27" t="str">
        <f t="shared" si="75"/>
        <v xml:space="preserve"> </v>
      </c>
    </row>
    <row r="1169" spans="1:10" x14ac:dyDescent="0.3">
      <c r="A1169" s="23" t="str">
        <f t="shared" si="72"/>
        <v xml:space="preserve"> </v>
      </c>
      <c r="B1169" s="24"/>
      <c r="C1169" s="4"/>
      <c r="D1169" s="24"/>
      <c r="E1169" s="24"/>
      <c r="F1169" s="25" t="str">
        <f t="shared" si="73"/>
        <v xml:space="preserve"> </v>
      </c>
      <c r="G1169" s="24"/>
      <c r="H1169" s="25" t="str">
        <f t="shared" si="74"/>
        <v xml:space="preserve"> </v>
      </c>
      <c r="I1169" s="26"/>
      <c r="J1169" s="27" t="str">
        <f t="shared" si="75"/>
        <v xml:space="preserve"> </v>
      </c>
    </row>
    <row r="1170" spans="1:10" x14ac:dyDescent="0.3">
      <c r="A1170" s="23" t="str">
        <f t="shared" si="72"/>
        <v xml:space="preserve"> </v>
      </c>
      <c r="B1170" s="24"/>
      <c r="C1170" s="4"/>
      <c r="D1170" s="24"/>
      <c r="E1170" s="24"/>
      <c r="F1170" s="25" t="str">
        <f t="shared" si="73"/>
        <v xml:space="preserve"> </v>
      </c>
      <c r="G1170" s="24"/>
      <c r="H1170" s="25" t="str">
        <f t="shared" si="74"/>
        <v xml:space="preserve"> </v>
      </c>
      <c r="I1170" s="26"/>
      <c r="J1170" s="27" t="str">
        <f t="shared" si="75"/>
        <v xml:space="preserve"> </v>
      </c>
    </row>
    <row r="1171" spans="1:10" x14ac:dyDescent="0.3">
      <c r="A1171" s="23" t="str">
        <f t="shared" si="72"/>
        <v xml:space="preserve"> </v>
      </c>
      <c r="B1171" s="24"/>
      <c r="C1171" s="4"/>
      <c r="D1171" s="24"/>
      <c r="E1171" s="24"/>
      <c r="F1171" s="25" t="str">
        <f t="shared" si="73"/>
        <v xml:space="preserve"> </v>
      </c>
      <c r="G1171" s="24"/>
      <c r="H1171" s="25" t="str">
        <f t="shared" si="74"/>
        <v xml:space="preserve"> </v>
      </c>
      <c r="I1171" s="26"/>
      <c r="J1171" s="27" t="str">
        <f t="shared" si="75"/>
        <v xml:space="preserve"> </v>
      </c>
    </row>
    <row r="1172" spans="1:10" x14ac:dyDescent="0.3">
      <c r="A1172" s="23" t="str">
        <f t="shared" si="72"/>
        <v xml:space="preserve"> </v>
      </c>
      <c r="B1172" s="24"/>
      <c r="C1172" s="4"/>
      <c r="D1172" s="24"/>
      <c r="E1172" s="24"/>
      <c r="F1172" s="25" t="str">
        <f t="shared" si="73"/>
        <v xml:space="preserve"> </v>
      </c>
      <c r="G1172" s="24"/>
      <c r="H1172" s="25" t="str">
        <f t="shared" si="74"/>
        <v xml:space="preserve"> </v>
      </c>
      <c r="I1172" s="26"/>
      <c r="J1172" s="27" t="str">
        <f t="shared" si="75"/>
        <v xml:space="preserve"> </v>
      </c>
    </row>
    <row r="1173" spans="1:10" x14ac:dyDescent="0.3">
      <c r="A1173" s="23" t="str">
        <f t="shared" si="72"/>
        <v xml:space="preserve"> </v>
      </c>
      <c r="B1173" s="24"/>
      <c r="C1173" s="4"/>
      <c r="D1173" s="24"/>
      <c r="E1173" s="24"/>
      <c r="F1173" s="25" t="str">
        <f t="shared" si="73"/>
        <v xml:space="preserve"> </v>
      </c>
      <c r="G1173" s="24"/>
      <c r="H1173" s="25" t="str">
        <f t="shared" si="74"/>
        <v xml:space="preserve"> </v>
      </c>
      <c r="I1173" s="26"/>
      <c r="J1173" s="27" t="str">
        <f t="shared" si="75"/>
        <v xml:space="preserve"> </v>
      </c>
    </row>
    <row r="1174" spans="1:10" x14ac:dyDescent="0.3">
      <c r="A1174" s="23" t="str">
        <f t="shared" si="72"/>
        <v xml:space="preserve"> </v>
      </c>
      <c r="B1174" s="24"/>
      <c r="C1174" s="4"/>
      <c r="D1174" s="24"/>
      <c r="E1174" s="24"/>
      <c r="F1174" s="25" t="str">
        <f t="shared" si="73"/>
        <v xml:space="preserve"> </v>
      </c>
      <c r="G1174" s="24"/>
      <c r="H1174" s="25" t="str">
        <f t="shared" si="74"/>
        <v xml:space="preserve"> </v>
      </c>
      <c r="I1174" s="26"/>
      <c r="J1174" s="27" t="str">
        <f t="shared" si="75"/>
        <v xml:space="preserve"> </v>
      </c>
    </row>
    <row r="1175" spans="1:10" x14ac:dyDescent="0.3">
      <c r="A1175" s="23" t="str">
        <f t="shared" si="72"/>
        <v xml:space="preserve"> </v>
      </c>
      <c r="B1175" s="24"/>
      <c r="C1175" s="4"/>
      <c r="D1175" s="24"/>
      <c r="E1175" s="24"/>
      <c r="F1175" s="25" t="str">
        <f t="shared" si="73"/>
        <v xml:space="preserve"> </v>
      </c>
      <c r="G1175" s="24"/>
      <c r="H1175" s="25" t="str">
        <f t="shared" si="74"/>
        <v xml:space="preserve"> </v>
      </c>
      <c r="I1175" s="26"/>
      <c r="J1175" s="27" t="str">
        <f t="shared" si="75"/>
        <v xml:space="preserve"> </v>
      </c>
    </row>
    <row r="1176" spans="1:10" x14ac:dyDescent="0.3">
      <c r="A1176" s="23" t="str">
        <f t="shared" si="72"/>
        <v xml:space="preserve"> </v>
      </c>
      <c r="B1176" s="24"/>
      <c r="C1176" s="4"/>
      <c r="D1176" s="24"/>
      <c r="E1176" s="24"/>
      <c r="F1176" s="25" t="str">
        <f t="shared" si="73"/>
        <v xml:space="preserve"> </v>
      </c>
      <c r="G1176" s="24"/>
      <c r="H1176" s="25" t="str">
        <f t="shared" si="74"/>
        <v xml:space="preserve"> </v>
      </c>
      <c r="I1176" s="26"/>
      <c r="J1176" s="27" t="str">
        <f t="shared" si="75"/>
        <v xml:space="preserve"> </v>
      </c>
    </row>
    <row r="1177" spans="1:10" x14ac:dyDescent="0.3">
      <c r="A1177" s="23" t="str">
        <f t="shared" si="72"/>
        <v xml:space="preserve"> </v>
      </c>
      <c r="B1177" s="24"/>
      <c r="C1177" s="4"/>
      <c r="D1177" s="24"/>
      <c r="E1177" s="24"/>
      <c r="F1177" s="25" t="str">
        <f t="shared" si="73"/>
        <v xml:space="preserve"> </v>
      </c>
      <c r="G1177" s="24"/>
      <c r="H1177" s="25" t="str">
        <f t="shared" si="74"/>
        <v xml:space="preserve"> </v>
      </c>
      <c r="I1177" s="26"/>
      <c r="J1177" s="27" t="str">
        <f t="shared" si="75"/>
        <v xml:space="preserve"> </v>
      </c>
    </row>
    <row r="1178" spans="1:10" x14ac:dyDescent="0.3">
      <c r="A1178" s="23" t="str">
        <f t="shared" si="72"/>
        <v xml:space="preserve"> </v>
      </c>
      <c r="B1178" s="24"/>
      <c r="C1178" s="4"/>
      <c r="D1178" s="24"/>
      <c r="E1178" s="24"/>
      <c r="F1178" s="25" t="str">
        <f t="shared" si="73"/>
        <v xml:space="preserve"> </v>
      </c>
      <c r="G1178" s="24"/>
      <c r="H1178" s="25" t="str">
        <f t="shared" si="74"/>
        <v xml:space="preserve"> </v>
      </c>
      <c r="I1178" s="26"/>
      <c r="J1178" s="27" t="str">
        <f t="shared" si="75"/>
        <v xml:space="preserve"> </v>
      </c>
    </row>
    <row r="1179" spans="1:10" x14ac:dyDescent="0.3">
      <c r="A1179" s="23" t="str">
        <f t="shared" si="72"/>
        <v xml:space="preserve"> </v>
      </c>
      <c r="B1179" s="24"/>
      <c r="C1179" s="4"/>
      <c r="D1179" s="24"/>
      <c r="E1179" s="24"/>
      <c r="F1179" s="25" t="str">
        <f t="shared" si="73"/>
        <v xml:space="preserve"> </v>
      </c>
      <c r="G1179" s="24"/>
      <c r="H1179" s="25" t="str">
        <f t="shared" si="74"/>
        <v xml:space="preserve"> </v>
      </c>
      <c r="I1179" s="26"/>
      <c r="J1179" s="27" t="str">
        <f t="shared" si="75"/>
        <v xml:space="preserve"> </v>
      </c>
    </row>
    <row r="1180" spans="1:10" x14ac:dyDescent="0.3">
      <c r="A1180" s="23" t="str">
        <f t="shared" si="72"/>
        <v xml:space="preserve"> </v>
      </c>
      <c r="B1180" s="24"/>
      <c r="C1180" s="4"/>
      <c r="D1180" s="24"/>
      <c r="E1180" s="24"/>
      <c r="F1180" s="25" t="str">
        <f t="shared" si="73"/>
        <v xml:space="preserve"> </v>
      </c>
      <c r="G1180" s="24"/>
      <c r="H1180" s="25" t="str">
        <f t="shared" si="74"/>
        <v xml:space="preserve"> </v>
      </c>
      <c r="I1180" s="26"/>
      <c r="J1180" s="27" t="str">
        <f t="shared" si="75"/>
        <v xml:space="preserve"> </v>
      </c>
    </row>
    <row r="1181" spans="1:10" x14ac:dyDescent="0.3">
      <c r="A1181" s="23" t="str">
        <f t="shared" si="72"/>
        <v xml:space="preserve"> </v>
      </c>
      <c r="B1181" s="24"/>
      <c r="C1181" s="4"/>
      <c r="D1181" s="24"/>
      <c r="E1181" s="24"/>
      <c r="F1181" s="25" t="str">
        <f t="shared" si="73"/>
        <v xml:space="preserve"> </v>
      </c>
      <c r="G1181" s="24"/>
      <c r="H1181" s="25" t="str">
        <f t="shared" si="74"/>
        <v xml:space="preserve"> </v>
      </c>
      <c r="I1181" s="26"/>
      <c r="J1181" s="27" t="str">
        <f t="shared" si="75"/>
        <v xml:space="preserve"> </v>
      </c>
    </row>
    <row r="1182" spans="1:10" x14ac:dyDescent="0.3">
      <c r="A1182" s="23" t="str">
        <f t="shared" si="72"/>
        <v xml:space="preserve"> </v>
      </c>
      <c r="B1182" s="24"/>
      <c r="C1182" s="4"/>
      <c r="D1182" s="24"/>
      <c r="E1182" s="24"/>
      <c r="F1182" s="25" t="str">
        <f t="shared" si="73"/>
        <v xml:space="preserve"> </v>
      </c>
      <c r="G1182" s="24"/>
      <c r="H1182" s="25" t="str">
        <f t="shared" si="74"/>
        <v xml:space="preserve"> </v>
      </c>
      <c r="I1182" s="26"/>
      <c r="J1182" s="27" t="str">
        <f t="shared" si="75"/>
        <v xml:space="preserve"> </v>
      </c>
    </row>
    <row r="1183" spans="1:10" x14ac:dyDescent="0.3">
      <c r="A1183" s="23" t="str">
        <f t="shared" si="72"/>
        <v xml:space="preserve"> </v>
      </c>
      <c r="B1183" s="24"/>
      <c r="C1183" s="4"/>
      <c r="D1183" s="24"/>
      <c r="E1183" s="24"/>
      <c r="F1183" s="25" t="str">
        <f t="shared" si="73"/>
        <v xml:space="preserve"> </v>
      </c>
      <c r="G1183" s="24"/>
      <c r="H1183" s="25" t="str">
        <f t="shared" si="74"/>
        <v xml:space="preserve"> </v>
      </c>
      <c r="I1183" s="26"/>
      <c r="J1183" s="27" t="str">
        <f t="shared" si="75"/>
        <v xml:space="preserve"> </v>
      </c>
    </row>
    <row r="1184" spans="1:10" x14ac:dyDescent="0.3">
      <c r="A1184" s="23" t="str">
        <f t="shared" si="72"/>
        <v xml:space="preserve"> </v>
      </c>
      <c r="B1184" s="24"/>
      <c r="C1184" s="4"/>
      <c r="D1184" s="24"/>
      <c r="E1184" s="24"/>
      <c r="F1184" s="25" t="str">
        <f t="shared" si="73"/>
        <v xml:space="preserve"> </v>
      </c>
      <c r="G1184" s="24"/>
      <c r="H1184" s="25" t="str">
        <f t="shared" si="74"/>
        <v xml:space="preserve"> </v>
      </c>
      <c r="I1184" s="26"/>
      <c r="J1184" s="27" t="str">
        <f t="shared" si="75"/>
        <v xml:space="preserve"> </v>
      </c>
    </row>
    <row r="1185" spans="1:10" x14ac:dyDescent="0.3">
      <c r="A1185" s="23" t="str">
        <f t="shared" si="72"/>
        <v xml:space="preserve"> </v>
      </c>
      <c r="B1185" s="24"/>
      <c r="C1185" s="4"/>
      <c r="D1185" s="24"/>
      <c r="E1185" s="24"/>
      <c r="F1185" s="25" t="str">
        <f t="shared" si="73"/>
        <v xml:space="preserve"> </v>
      </c>
      <c r="G1185" s="24"/>
      <c r="H1185" s="25" t="str">
        <f t="shared" si="74"/>
        <v xml:space="preserve"> </v>
      </c>
      <c r="I1185" s="26"/>
      <c r="J1185" s="27" t="str">
        <f t="shared" si="75"/>
        <v xml:space="preserve"> </v>
      </c>
    </row>
    <row r="1186" spans="1:10" x14ac:dyDescent="0.3">
      <c r="A1186" s="23" t="str">
        <f t="shared" si="72"/>
        <v xml:space="preserve"> </v>
      </c>
      <c r="B1186" s="24"/>
      <c r="C1186" s="4"/>
      <c r="D1186" s="24"/>
      <c r="E1186" s="24"/>
      <c r="F1186" s="25" t="str">
        <f t="shared" si="73"/>
        <v xml:space="preserve"> </v>
      </c>
      <c r="G1186" s="24"/>
      <c r="H1186" s="25" t="str">
        <f t="shared" si="74"/>
        <v xml:space="preserve"> </v>
      </c>
      <c r="I1186" s="26"/>
      <c r="J1186" s="27" t="str">
        <f t="shared" si="75"/>
        <v xml:space="preserve"> </v>
      </c>
    </row>
    <row r="1187" spans="1:10" x14ac:dyDescent="0.3">
      <c r="A1187" s="23" t="str">
        <f t="shared" si="72"/>
        <v xml:space="preserve"> </v>
      </c>
      <c r="B1187" s="24"/>
      <c r="C1187" s="4"/>
      <c r="D1187" s="24"/>
      <c r="E1187" s="24"/>
      <c r="F1187" s="25" t="str">
        <f t="shared" si="73"/>
        <v xml:space="preserve"> </v>
      </c>
      <c r="G1187" s="24"/>
      <c r="H1187" s="25" t="str">
        <f t="shared" si="74"/>
        <v xml:space="preserve"> </v>
      </c>
      <c r="I1187" s="26"/>
      <c r="J1187" s="27" t="str">
        <f t="shared" si="75"/>
        <v xml:space="preserve"> </v>
      </c>
    </row>
    <row r="1188" spans="1:10" x14ac:dyDescent="0.3">
      <c r="A1188" s="23" t="str">
        <f t="shared" si="72"/>
        <v xml:space="preserve"> </v>
      </c>
      <c r="B1188" s="24"/>
      <c r="C1188" s="4"/>
      <c r="D1188" s="24"/>
      <c r="E1188" s="24"/>
      <c r="F1188" s="25" t="str">
        <f t="shared" si="73"/>
        <v xml:space="preserve"> </v>
      </c>
      <c r="G1188" s="24"/>
      <c r="H1188" s="25" t="str">
        <f t="shared" si="74"/>
        <v xml:space="preserve"> </v>
      </c>
      <c r="I1188" s="26"/>
      <c r="J1188" s="27" t="str">
        <f t="shared" si="75"/>
        <v xml:space="preserve"> </v>
      </c>
    </row>
    <row r="1189" spans="1:10" x14ac:dyDescent="0.3">
      <c r="A1189" s="23" t="str">
        <f t="shared" si="72"/>
        <v xml:space="preserve"> </v>
      </c>
      <c r="B1189" s="24"/>
      <c r="C1189" s="4"/>
      <c r="D1189" s="24"/>
      <c r="E1189" s="24"/>
      <c r="F1189" s="25" t="str">
        <f t="shared" si="73"/>
        <v xml:space="preserve"> </v>
      </c>
      <c r="G1189" s="24"/>
      <c r="H1189" s="25" t="str">
        <f t="shared" si="74"/>
        <v xml:space="preserve"> </v>
      </c>
      <c r="I1189" s="26"/>
      <c r="J1189" s="27" t="str">
        <f t="shared" si="75"/>
        <v xml:space="preserve"> </v>
      </c>
    </row>
    <row r="1190" spans="1:10" x14ac:dyDescent="0.3">
      <c r="A1190" s="23" t="str">
        <f t="shared" si="72"/>
        <v xml:space="preserve"> </v>
      </c>
      <c r="B1190" s="24"/>
      <c r="C1190" s="4"/>
      <c r="D1190" s="24"/>
      <c r="E1190" s="24"/>
      <c r="F1190" s="25" t="str">
        <f t="shared" si="73"/>
        <v xml:space="preserve"> </v>
      </c>
      <c r="G1190" s="24"/>
      <c r="H1190" s="25" t="str">
        <f t="shared" si="74"/>
        <v xml:space="preserve"> </v>
      </c>
      <c r="I1190" s="26"/>
      <c r="J1190" s="27" t="str">
        <f t="shared" si="75"/>
        <v xml:space="preserve"> </v>
      </c>
    </row>
    <row r="1191" spans="1:10" x14ac:dyDescent="0.3">
      <c r="A1191" s="23" t="str">
        <f t="shared" si="72"/>
        <v xml:space="preserve"> </v>
      </c>
      <c r="B1191" s="24"/>
      <c r="C1191" s="4"/>
      <c r="D1191" s="24"/>
      <c r="E1191" s="24"/>
      <c r="F1191" s="25" t="str">
        <f t="shared" si="73"/>
        <v xml:space="preserve"> </v>
      </c>
      <c r="G1191" s="24"/>
      <c r="H1191" s="25" t="str">
        <f t="shared" si="74"/>
        <v xml:space="preserve"> </v>
      </c>
      <c r="I1191" s="26"/>
      <c r="J1191" s="27" t="str">
        <f t="shared" si="75"/>
        <v xml:space="preserve"> </v>
      </c>
    </row>
    <row r="1192" spans="1:10" x14ac:dyDescent="0.3">
      <c r="A1192" s="23" t="str">
        <f t="shared" si="72"/>
        <v xml:space="preserve"> </v>
      </c>
      <c r="B1192" s="24"/>
      <c r="C1192" s="4"/>
      <c r="D1192" s="24"/>
      <c r="E1192" s="24"/>
      <c r="F1192" s="25" t="str">
        <f t="shared" si="73"/>
        <v xml:space="preserve"> </v>
      </c>
      <c r="G1192" s="24"/>
      <c r="H1192" s="25" t="str">
        <f t="shared" si="74"/>
        <v xml:space="preserve"> </v>
      </c>
      <c r="I1192" s="26"/>
      <c r="J1192" s="27" t="str">
        <f t="shared" si="75"/>
        <v xml:space="preserve"> </v>
      </c>
    </row>
    <row r="1193" spans="1:10" x14ac:dyDescent="0.3">
      <c r="A1193" s="23" t="str">
        <f t="shared" si="72"/>
        <v xml:space="preserve"> </v>
      </c>
      <c r="B1193" s="24"/>
      <c r="C1193" s="4"/>
      <c r="D1193" s="24"/>
      <c r="E1193" s="24"/>
      <c r="F1193" s="25" t="str">
        <f t="shared" si="73"/>
        <v xml:space="preserve"> </v>
      </c>
      <c r="G1193" s="24"/>
      <c r="H1193" s="25" t="str">
        <f t="shared" si="74"/>
        <v xml:space="preserve"> </v>
      </c>
      <c r="I1193" s="26"/>
      <c r="J1193" s="27" t="str">
        <f t="shared" si="75"/>
        <v xml:space="preserve"> </v>
      </c>
    </row>
    <row r="1194" spans="1:10" x14ac:dyDescent="0.3">
      <c r="A1194" s="23" t="str">
        <f t="shared" si="72"/>
        <v xml:space="preserve"> </v>
      </c>
      <c r="B1194" s="24"/>
      <c r="C1194" s="4"/>
      <c r="D1194" s="24"/>
      <c r="E1194" s="24"/>
      <c r="F1194" s="25" t="str">
        <f t="shared" si="73"/>
        <v xml:space="preserve"> </v>
      </c>
      <c r="G1194" s="24"/>
      <c r="H1194" s="25" t="str">
        <f t="shared" si="74"/>
        <v xml:space="preserve"> </v>
      </c>
      <c r="I1194" s="26"/>
      <c r="J1194" s="27" t="str">
        <f t="shared" si="75"/>
        <v xml:space="preserve"> </v>
      </c>
    </row>
    <row r="1195" spans="1:10" x14ac:dyDescent="0.3">
      <c r="A1195" s="23" t="str">
        <f t="shared" si="72"/>
        <v xml:space="preserve"> </v>
      </c>
      <c r="B1195" s="24"/>
      <c r="C1195" s="4"/>
      <c r="D1195" s="24"/>
      <c r="E1195" s="24"/>
      <c r="F1195" s="25" t="str">
        <f t="shared" si="73"/>
        <v xml:space="preserve"> </v>
      </c>
      <c r="G1195" s="24"/>
      <c r="H1195" s="25" t="str">
        <f t="shared" si="74"/>
        <v xml:space="preserve"> </v>
      </c>
      <c r="I1195" s="26"/>
      <c r="J1195" s="27" t="str">
        <f t="shared" si="75"/>
        <v xml:space="preserve"> </v>
      </c>
    </row>
    <row r="1196" spans="1:10" x14ac:dyDescent="0.3">
      <c r="A1196" s="23" t="str">
        <f t="shared" si="72"/>
        <v xml:space="preserve"> </v>
      </c>
      <c r="B1196" s="24"/>
      <c r="C1196" s="4"/>
      <c r="D1196" s="24"/>
      <c r="E1196" s="24"/>
      <c r="F1196" s="25" t="str">
        <f t="shared" si="73"/>
        <v xml:space="preserve"> </v>
      </c>
      <c r="G1196" s="24"/>
      <c r="H1196" s="25" t="str">
        <f t="shared" si="74"/>
        <v xml:space="preserve"> </v>
      </c>
      <c r="I1196" s="26"/>
      <c r="J1196" s="27" t="str">
        <f t="shared" si="75"/>
        <v xml:space="preserve"> </v>
      </c>
    </row>
    <row r="1197" spans="1:10" x14ac:dyDescent="0.3">
      <c r="A1197" s="23" t="str">
        <f t="shared" si="72"/>
        <v xml:space="preserve"> </v>
      </c>
      <c r="B1197" s="24"/>
      <c r="C1197" s="4"/>
      <c r="D1197" s="24"/>
      <c r="E1197" s="24"/>
      <c r="F1197" s="25" t="str">
        <f t="shared" si="73"/>
        <v xml:space="preserve"> </v>
      </c>
      <c r="G1197" s="24"/>
      <c r="H1197" s="25" t="str">
        <f t="shared" si="74"/>
        <v xml:space="preserve"> </v>
      </c>
      <c r="I1197" s="26"/>
      <c r="J1197" s="27" t="str">
        <f t="shared" si="75"/>
        <v xml:space="preserve"> </v>
      </c>
    </row>
    <row r="1198" spans="1:10" x14ac:dyDescent="0.3">
      <c r="A1198" s="23" t="str">
        <f t="shared" si="72"/>
        <v xml:space="preserve"> </v>
      </c>
      <c r="B1198" s="24"/>
      <c r="C1198" s="4"/>
      <c r="D1198" s="24"/>
      <c r="E1198" s="24"/>
      <c r="F1198" s="25" t="str">
        <f t="shared" si="73"/>
        <v xml:space="preserve"> </v>
      </c>
      <c r="G1198" s="24"/>
      <c r="H1198" s="25" t="str">
        <f t="shared" si="74"/>
        <v xml:space="preserve"> </v>
      </c>
      <c r="I1198" s="26"/>
      <c r="J1198" s="27" t="str">
        <f t="shared" si="75"/>
        <v xml:space="preserve"> </v>
      </c>
    </row>
    <row r="1199" spans="1:10" x14ac:dyDescent="0.3">
      <c r="A1199" s="23" t="str">
        <f t="shared" si="72"/>
        <v xml:space="preserve"> </v>
      </c>
      <c r="B1199" s="24"/>
      <c r="C1199" s="4"/>
      <c r="D1199" s="24"/>
      <c r="E1199" s="24"/>
      <c r="F1199" s="25" t="str">
        <f t="shared" si="73"/>
        <v xml:space="preserve"> </v>
      </c>
      <c r="G1199" s="24"/>
      <c r="H1199" s="25" t="str">
        <f t="shared" si="74"/>
        <v xml:space="preserve"> </v>
      </c>
      <c r="I1199" s="26"/>
      <c r="J1199" s="27" t="str">
        <f t="shared" si="75"/>
        <v xml:space="preserve"> </v>
      </c>
    </row>
    <row r="1200" spans="1:10" x14ac:dyDescent="0.3">
      <c r="A1200" s="23" t="str">
        <f t="shared" si="72"/>
        <v xml:space="preserve"> </v>
      </c>
      <c r="B1200" s="24"/>
      <c r="C1200" s="4"/>
      <c r="D1200" s="24"/>
      <c r="E1200" s="24"/>
      <c r="F1200" s="25" t="str">
        <f t="shared" si="73"/>
        <v xml:space="preserve"> </v>
      </c>
      <c r="G1200" s="24"/>
      <c r="H1200" s="25" t="str">
        <f t="shared" si="74"/>
        <v xml:space="preserve"> </v>
      </c>
      <c r="I1200" s="26"/>
      <c r="J1200" s="27" t="str">
        <f t="shared" si="75"/>
        <v xml:space="preserve"> </v>
      </c>
    </row>
    <row r="1201" spans="1:10" x14ac:dyDescent="0.3">
      <c r="A1201" s="23" t="str">
        <f t="shared" si="72"/>
        <v xml:space="preserve"> </v>
      </c>
      <c r="B1201" s="24"/>
      <c r="C1201" s="4"/>
      <c r="D1201" s="24"/>
      <c r="E1201" s="24"/>
      <c r="F1201" s="25" t="str">
        <f t="shared" si="73"/>
        <v xml:space="preserve"> </v>
      </c>
      <c r="G1201" s="24"/>
      <c r="H1201" s="25" t="str">
        <f t="shared" si="74"/>
        <v xml:space="preserve"> </v>
      </c>
      <c r="I1201" s="26"/>
      <c r="J1201" s="27" t="str">
        <f t="shared" si="75"/>
        <v xml:space="preserve"> </v>
      </c>
    </row>
    <row r="1202" spans="1:10" x14ac:dyDescent="0.3">
      <c r="A1202" s="23" t="str">
        <f t="shared" si="72"/>
        <v xml:space="preserve"> </v>
      </c>
      <c r="B1202" s="24"/>
      <c r="C1202" s="4"/>
      <c r="D1202" s="24"/>
      <c r="E1202" s="24"/>
      <c r="F1202" s="25" t="str">
        <f t="shared" si="73"/>
        <v xml:space="preserve"> </v>
      </c>
      <c r="G1202" s="24"/>
      <c r="H1202" s="25" t="str">
        <f t="shared" si="74"/>
        <v xml:space="preserve"> </v>
      </c>
      <c r="I1202" s="26"/>
      <c r="J1202" s="27" t="str">
        <f t="shared" si="75"/>
        <v xml:space="preserve"> </v>
      </c>
    </row>
    <row r="1203" spans="1:10" x14ac:dyDescent="0.3">
      <c r="A1203" s="23" t="str">
        <f t="shared" si="72"/>
        <v xml:space="preserve"> </v>
      </c>
      <c r="B1203" s="24"/>
      <c r="C1203" s="4"/>
      <c r="D1203" s="24"/>
      <c r="E1203" s="24"/>
      <c r="F1203" s="25" t="str">
        <f t="shared" si="73"/>
        <v xml:space="preserve"> </v>
      </c>
      <c r="G1203" s="24"/>
      <c r="H1203" s="25" t="str">
        <f t="shared" si="74"/>
        <v xml:space="preserve"> </v>
      </c>
      <c r="I1203" s="26"/>
      <c r="J1203" s="27" t="str">
        <f t="shared" si="75"/>
        <v xml:space="preserve"> </v>
      </c>
    </row>
    <row r="1204" spans="1:10" x14ac:dyDescent="0.3">
      <c r="A1204" s="23" t="str">
        <f t="shared" si="72"/>
        <v xml:space="preserve"> </v>
      </c>
      <c r="B1204" s="24"/>
      <c r="C1204" s="4"/>
      <c r="D1204" s="24"/>
      <c r="E1204" s="24"/>
      <c r="F1204" s="25" t="str">
        <f t="shared" si="73"/>
        <v xml:space="preserve"> </v>
      </c>
      <c r="G1204" s="24"/>
      <c r="H1204" s="25" t="str">
        <f t="shared" si="74"/>
        <v xml:space="preserve"> </v>
      </c>
      <c r="I1204" s="26"/>
      <c r="J1204" s="27" t="str">
        <f t="shared" si="75"/>
        <v xml:space="preserve"> </v>
      </c>
    </row>
    <row r="1205" spans="1:10" x14ac:dyDescent="0.3">
      <c r="A1205" s="23" t="str">
        <f t="shared" si="72"/>
        <v xml:space="preserve"> </v>
      </c>
      <c r="B1205" s="24"/>
      <c r="C1205" s="4"/>
      <c r="D1205" s="24"/>
      <c r="E1205" s="24"/>
      <c r="F1205" s="25" t="str">
        <f t="shared" si="73"/>
        <v xml:space="preserve"> </v>
      </c>
      <c r="G1205" s="24"/>
      <c r="H1205" s="25" t="str">
        <f t="shared" si="74"/>
        <v xml:space="preserve"> </v>
      </c>
      <c r="I1205" s="26"/>
      <c r="J1205" s="27" t="str">
        <f t="shared" si="75"/>
        <v xml:space="preserve"> </v>
      </c>
    </row>
    <row r="1206" spans="1:10" x14ac:dyDescent="0.3">
      <c r="A1206" s="23" t="str">
        <f t="shared" si="72"/>
        <v xml:space="preserve"> </v>
      </c>
      <c r="B1206" s="24"/>
      <c r="C1206" s="4"/>
      <c r="D1206" s="24"/>
      <c r="E1206" s="24"/>
      <c r="F1206" s="25" t="str">
        <f t="shared" si="73"/>
        <v xml:space="preserve"> </v>
      </c>
      <c r="G1206" s="24"/>
      <c r="H1206" s="25" t="str">
        <f t="shared" si="74"/>
        <v xml:space="preserve"> </v>
      </c>
      <c r="I1206" s="26"/>
      <c r="J1206" s="27" t="str">
        <f t="shared" si="75"/>
        <v xml:space="preserve"> </v>
      </c>
    </row>
    <row r="1207" spans="1:10" x14ac:dyDescent="0.3">
      <c r="A1207" s="23" t="str">
        <f t="shared" si="72"/>
        <v xml:space="preserve"> </v>
      </c>
      <c r="B1207" s="24"/>
      <c r="C1207" s="4"/>
      <c r="D1207" s="24"/>
      <c r="E1207" s="24"/>
      <c r="F1207" s="25" t="str">
        <f t="shared" si="73"/>
        <v xml:space="preserve"> </v>
      </c>
      <c r="G1207" s="24"/>
      <c r="H1207" s="25" t="str">
        <f t="shared" si="74"/>
        <v xml:space="preserve"> </v>
      </c>
      <c r="I1207" s="26"/>
      <c r="J1207" s="27" t="str">
        <f t="shared" si="75"/>
        <v xml:space="preserve"> </v>
      </c>
    </row>
    <row r="1208" spans="1:10" x14ac:dyDescent="0.3">
      <c r="A1208" s="23" t="str">
        <f t="shared" si="72"/>
        <v xml:space="preserve"> </v>
      </c>
      <c r="B1208" s="24"/>
      <c r="C1208" s="4"/>
      <c r="D1208" s="24"/>
      <c r="E1208" s="24"/>
      <c r="F1208" s="25" t="str">
        <f t="shared" si="73"/>
        <v xml:space="preserve"> </v>
      </c>
      <c r="G1208" s="24"/>
      <c r="H1208" s="25" t="str">
        <f t="shared" si="74"/>
        <v xml:space="preserve"> </v>
      </c>
      <c r="I1208" s="26"/>
      <c r="J1208" s="27" t="str">
        <f t="shared" si="75"/>
        <v xml:space="preserve"> </v>
      </c>
    </row>
    <row r="1209" spans="1:10" x14ac:dyDescent="0.3">
      <c r="A1209" s="23" t="str">
        <f t="shared" si="72"/>
        <v xml:space="preserve"> </v>
      </c>
      <c r="B1209" s="24"/>
      <c r="C1209" s="4"/>
      <c r="D1209" s="24"/>
      <c r="E1209" s="24"/>
      <c r="F1209" s="25" t="str">
        <f t="shared" si="73"/>
        <v xml:space="preserve"> </v>
      </c>
      <c r="G1209" s="24"/>
      <c r="H1209" s="25" t="str">
        <f t="shared" si="74"/>
        <v xml:space="preserve"> </v>
      </c>
      <c r="I1209" s="26"/>
      <c r="J1209" s="27" t="str">
        <f t="shared" si="75"/>
        <v xml:space="preserve"> </v>
      </c>
    </row>
    <row r="1210" spans="1:10" x14ac:dyDescent="0.3">
      <c r="A1210" s="23" t="str">
        <f t="shared" si="72"/>
        <v xml:space="preserve"> </v>
      </c>
      <c r="B1210" s="24"/>
      <c r="C1210" s="4"/>
      <c r="D1210" s="24"/>
      <c r="E1210" s="24"/>
      <c r="F1210" s="25" t="str">
        <f t="shared" si="73"/>
        <v xml:space="preserve"> </v>
      </c>
      <c r="G1210" s="24"/>
      <c r="H1210" s="25" t="str">
        <f t="shared" si="74"/>
        <v xml:space="preserve"> </v>
      </c>
      <c r="I1210" s="26"/>
      <c r="J1210" s="27" t="str">
        <f t="shared" si="75"/>
        <v xml:space="preserve"> </v>
      </c>
    </row>
    <row r="1211" spans="1:10" x14ac:dyDescent="0.3">
      <c r="A1211" s="23" t="str">
        <f t="shared" si="72"/>
        <v xml:space="preserve"> </v>
      </c>
      <c r="B1211" s="24"/>
      <c r="C1211" s="4"/>
      <c r="D1211" s="24"/>
      <c r="E1211" s="24"/>
      <c r="F1211" s="25" t="str">
        <f t="shared" si="73"/>
        <v xml:space="preserve"> </v>
      </c>
      <c r="G1211" s="24"/>
      <c r="H1211" s="25" t="str">
        <f t="shared" si="74"/>
        <v xml:space="preserve"> </v>
      </c>
      <c r="I1211" s="26"/>
      <c r="J1211" s="27" t="str">
        <f t="shared" si="75"/>
        <v xml:space="preserve"> </v>
      </c>
    </row>
    <row r="1212" spans="1:10" x14ac:dyDescent="0.3">
      <c r="A1212" s="23" t="str">
        <f t="shared" si="72"/>
        <v xml:space="preserve"> </v>
      </c>
      <c r="B1212" s="24"/>
      <c r="C1212" s="4"/>
      <c r="D1212" s="24"/>
      <c r="E1212" s="24"/>
      <c r="F1212" s="25" t="str">
        <f t="shared" si="73"/>
        <v xml:space="preserve"> </v>
      </c>
      <c r="G1212" s="24"/>
      <c r="H1212" s="25" t="str">
        <f t="shared" si="74"/>
        <v xml:space="preserve"> </v>
      </c>
      <c r="I1212" s="26"/>
      <c r="J1212" s="27" t="str">
        <f t="shared" si="75"/>
        <v xml:space="preserve"> </v>
      </c>
    </row>
    <row r="1213" spans="1:10" x14ac:dyDescent="0.3">
      <c r="A1213" s="23" t="str">
        <f t="shared" si="72"/>
        <v xml:space="preserve"> </v>
      </c>
      <c r="B1213" s="24"/>
      <c r="C1213" s="4"/>
      <c r="D1213" s="24"/>
      <c r="E1213" s="24"/>
      <c r="F1213" s="25" t="str">
        <f t="shared" si="73"/>
        <v xml:space="preserve"> </v>
      </c>
      <c r="G1213" s="24"/>
      <c r="H1213" s="25" t="str">
        <f t="shared" si="74"/>
        <v xml:space="preserve"> </v>
      </c>
      <c r="I1213" s="26"/>
      <c r="J1213" s="27" t="str">
        <f t="shared" si="75"/>
        <v xml:space="preserve"> </v>
      </c>
    </row>
    <row r="1214" spans="1:10" x14ac:dyDescent="0.3">
      <c r="A1214" s="23" t="str">
        <f t="shared" si="72"/>
        <v xml:space="preserve"> </v>
      </c>
      <c r="B1214" s="24"/>
      <c r="C1214" s="4"/>
      <c r="D1214" s="24"/>
      <c r="E1214" s="24"/>
      <c r="F1214" s="25" t="str">
        <f t="shared" si="73"/>
        <v xml:space="preserve"> </v>
      </c>
      <c r="G1214" s="24"/>
      <c r="H1214" s="25" t="str">
        <f t="shared" si="74"/>
        <v xml:space="preserve"> </v>
      </c>
      <c r="I1214" s="26"/>
      <c r="J1214" s="27" t="str">
        <f t="shared" si="75"/>
        <v xml:space="preserve"> </v>
      </c>
    </row>
    <row r="1215" spans="1:10" x14ac:dyDescent="0.3">
      <c r="A1215" s="23" t="str">
        <f t="shared" si="72"/>
        <v xml:space="preserve"> </v>
      </c>
      <c r="B1215" s="24"/>
      <c r="C1215" s="4"/>
      <c r="D1215" s="24"/>
      <c r="E1215" s="24"/>
      <c r="F1215" s="25" t="str">
        <f t="shared" si="73"/>
        <v xml:space="preserve"> </v>
      </c>
      <c r="G1215" s="24"/>
      <c r="H1215" s="25" t="str">
        <f t="shared" si="74"/>
        <v xml:space="preserve"> </v>
      </c>
      <c r="I1215" s="26"/>
      <c r="J1215" s="27" t="str">
        <f t="shared" si="75"/>
        <v xml:space="preserve"> </v>
      </c>
    </row>
    <row r="1216" spans="1:10" x14ac:dyDescent="0.3">
      <c r="A1216" s="23" t="str">
        <f t="shared" si="72"/>
        <v xml:space="preserve"> </v>
      </c>
      <c r="B1216" s="24"/>
      <c r="C1216" s="4"/>
      <c r="D1216" s="24"/>
      <c r="E1216" s="24"/>
      <c r="F1216" s="25" t="str">
        <f t="shared" si="73"/>
        <v xml:space="preserve"> </v>
      </c>
      <c r="G1216" s="24"/>
      <c r="H1216" s="25" t="str">
        <f t="shared" si="74"/>
        <v xml:space="preserve"> </v>
      </c>
      <c r="I1216" s="26"/>
      <c r="J1216" s="27" t="str">
        <f t="shared" si="75"/>
        <v xml:space="preserve"> </v>
      </c>
    </row>
    <row r="1217" spans="1:10" x14ac:dyDescent="0.3">
      <c r="A1217" s="23" t="str">
        <f t="shared" si="72"/>
        <v xml:space="preserve"> </v>
      </c>
      <c r="B1217" s="24"/>
      <c r="C1217" s="4"/>
      <c r="D1217" s="24"/>
      <c r="E1217" s="24"/>
      <c r="F1217" s="25" t="str">
        <f t="shared" si="73"/>
        <v xml:space="preserve"> </v>
      </c>
      <c r="G1217" s="24"/>
      <c r="H1217" s="25" t="str">
        <f t="shared" si="74"/>
        <v xml:space="preserve"> </v>
      </c>
      <c r="I1217" s="26"/>
      <c r="J1217" s="27" t="str">
        <f t="shared" si="75"/>
        <v xml:space="preserve"> </v>
      </c>
    </row>
    <row r="1218" spans="1:10" x14ac:dyDescent="0.3">
      <c r="A1218" s="23" t="str">
        <f t="shared" si="72"/>
        <v xml:space="preserve"> </v>
      </c>
      <c r="B1218" s="24"/>
      <c r="C1218" s="4"/>
      <c r="D1218" s="24"/>
      <c r="E1218" s="24"/>
      <c r="F1218" s="25" t="str">
        <f t="shared" si="73"/>
        <v xml:space="preserve"> </v>
      </c>
      <c r="G1218" s="24"/>
      <c r="H1218" s="25" t="str">
        <f t="shared" si="74"/>
        <v xml:space="preserve"> </v>
      </c>
      <c r="I1218" s="26"/>
      <c r="J1218" s="27" t="str">
        <f t="shared" si="75"/>
        <v xml:space="preserve"> </v>
      </c>
    </row>
    <row r="1219" spans="1:10" x14ac:dyDescent="0.3">
      <c r="A1219" s="23" t="str">
        <f t="shared" si="72"/>
        <v xml:space="preserve"> </v>
      </c>
      <c r="B1219" s="24"/>
      <c r="C1219" s="4"/>
      <c r="D1219" s="24"/>
      <c r="E1219" s="24"/>
      <c r="F1219" s="25" t="str">
        <f t="shared" si="73"/>
        <v xml:space="preserve"> </v>
      </c>
      <c r="G1219" s="24"/>
      <c r="H1219" s="25" t="str">
        <f t="shared" si="74"/>
        <v xml:space="preserve"> </v>
      </c>
      <c r="I1219" s="26"/>
      <c r="J1219" s="27" t="str">
        <f t="shared" si="75"/>
        <v xml:space="preserve"> </v>
      </c>
    </row>
    <row r="1220" spans="1:10" x14ac:dyDescent="0.3">
      <c r="A1220" s="23" t="str">
        <f t="shared" si="72"/>
        <v xml:space="preserve"> </v>
      </c>
      <c r="B1220" s="24"/>
      <c r="C1220" s="4"/>
      <c r="D1220" s="24"/>
      <c r="E1220" s="24"/>
      <c r="F1220" s="25" t="str">
        <f t="shared" si="73"/>
        <v xml:space="preserve"> </v>
      </c>
      <c r="G1220" s="24"/>
      <c r="H1220" s="25" t="str">
        <f t="shared" si="74"/>
        <v xml:space="preserve"> </v>
      </c>
      <c r="I1220" s="26"/>
      <c r="J1220" s="27" t="str">
        <f t="shared" si="75"/>
        <v xml:space="preserve"> </v>
      </c>
    </row>
    <row r="1221" spans="1:10" x14ac:dyDescent="0.3">
      <c r="A1221" s="23" t="str">
        <f t="shared" ref="A1221:A1284" si="76">IF(C1221&gt;0,RIGHT($D$3,10)," ")</f>
        <v xml:space="preserve"> </v>
      </c>
      <c r="B1221" s="24"/>
      <c r="C1221" s="4"/>
      <c r="D1221" s="24"/>
      <c r="E1221" s="24"/>
      <c r="F1221" s="25" t="str">
        <f t="shared" ref="F1221:F1284" si="77">IF(C1221&gt;0,$C$3," ")</f>
        <v xml:space="preserve"> </v>
      </c>
      <c r="G1221" s="24"/>
      <c r="H1221" s="25" t="str">
        <f t="shared" ref="H1221:H1284" si="78">IF(G1221&gt;0,"Pcs."," ")</f>
        <v xml:space="preserve"> </v>
      </c>
      <c r="I1221" s="26"/>
      <c r="J1221" s="27" t="str">
        <f t="shared" ref="J1221:J1284" si="79">IF(I1221*G1221=0," ",I1221*G1221)</f>
        <v xml:space="preserve"> </v>
      </c>
    </row>
    <row r="1222" spans="1:10" x14ac:dyDescent="0.3">
      <c r="A1222" s="23" t="str">
        <f t="shared" si="76"/>
        <v xml:space="preserve"> </v>
      </c>
      <c r="B1222" s="24"/>
      <c r="C1222" s="4"/>
      <c r="D1222" s="24"/>
      <c r="E1222" s="24"/>
      <c r="F1222" s="25" t="str">
        <f t="shared" si="77"/>
        <v xml:space="preserve"> </v>
      </c>
      <c r="G1222" s="24"/>
      <c r="H1222" s="25" t="str">
        <f t="shared" si="78"/>
        <v xml:space="preserve"> </v>
      </c>
      <c r="I1222" s="26"/>
      <c r="J1222" s="27" t="str">
        <f t="shared" si="79"/>
        <v xml:space="preserve"> </v>
      </c>
    </row>
    <row r="1223" spans="1:10" x14ac:dyDescent="0.3">
      <c r="A1223" s="23" t="str">
        <f t="shared" si="76"/>
        <v xml:space="preserve"> </v>
      </c>
      <c r="B1223" s="24"/>
      <c r="C1223" s="4"/>
      <c r="D1223" s="24"/>
      <c r="E1223" s="24"/>
      <c r="F1223" s="25" t="str">
        <f t="shared" si="77"/>
        <v xml:space="preserve"> </v>
      </c>
      <c r="G1223" s="24"/>
      <c r="H1223" s="25" t="str">
        <f t="shared" si="78"/>
        <v xml:space="preserve"> </v>
      </c>
      <c r="I1223" s="26"/>
      <c r="J1223" s="27" t="str">
        <f t="shared" si="79"/>
        <v xml:space="preserve"> </v>
      </c>
    </row>
    <row r="1224" spans="1:10" x14ac:dyDescent="0.3">
      <c r="A1224" s="23" t="str">
        <f t="shared" si="76"/>
        <v xml:space="preserve"> </v>
      </c>
      <c r="B1224" s="24"/>
      <c r="C1224" s="4"/>
      <c r="D1224" s="24"/>
      <c r="E1224" s="24"/>
      <c r="F1224" s="25" t="str">
        <f t="shared" si="77"/>
        <v xml:space="preserve"> </v>
      </c>
      <c r="G1224" s="24"/>
      <c r="H1224" s="25" t="str">
        <f t="shared" si="78"/>
        <v xml:space="preserve"> </v>
      </c>
      <c r="I1224" s="26"/>
      <c r="J1224" s="27" t="str">
        <f t="shared" si="79"/>
        <v xml:space="preserve"> </v>
      </c>
    </row>
    <row r="1225" spans="1:10" x14ac:dyDescent="0.3">
      <c r="A1225" s="23" t="str">
        <f t="shared" si="76"/>
        <v xml:space="preserve"> </v>
      </c>
      <c r="B1225" s="24"/>
      <c r="C1225" s="4"/>
      <c r="D1225" s="24"/>
      <c r="E1225" s="24"/>
      <c r="F1225" s="25" t="str">
        <f t="shared" si="77"/>
        <v xml:space="preserve"> </v>
      </c>
      <c r="G1225" s="24"/>
      <c r="H1225" s="25" t="str">
        <f t="shared" si="78"/>
        <v xml:space="preserve"> </v>
      </c>
      <c r="I1225" s="26"/>
      <c r="J1225" s="27" t="str">
        <f t="shared" si="79"/>
        <v xml:space="preserve"> </v>
      </c>
    </row>
    <row r="1226" spans="1:10" x14ac:dyDescent="0.3">
      <c r="A1226" s="23" t="str">
        <f t="shared" si="76"/>
        <v xml:space="preserve"> </v>
      </c>
      <c r="B1226" s="24"/>
      <c r="C1226" s="4"/>
      <c r="D1226" s="24"/>
      <c r="E1226" s="24"/>
      <c r="F1226" s="25" t="str">
        <f t="shared" si="77"/>
        <v xml:space="preserve"> </v>
      </c>
      <c r="G1226" s="24"/>
      <c r="H1226" s="25" t="str">
        <f t="shared" si="78"/>
        <v xml:space="preserve"> </v>
      </c>
      <c r="I1226" s="26"/>
      <c r="J1226" s="27" t="str">
        <f t="shared" si="79"/>
        <v xml:space="preserve"> </v>
      </c>
    </row>
    <row r="1227" spans="1:10" x14ac:dyDescent="0.3">
      <c r="A1227" s="23" t="str">
        <f t="shared" si="76"/>
        <v xml:space="preserve"> </v>
      </c>
      <c r="B1227" s="24"/>
      <c r="C1227" s="4"/>
      <c r="D1227" s="24"/>
      <c r="E1227" s="24"/>
      <c r="F1227" s="25" t="str">
        <f t="shared" si="77"/>
        <v xml:space="preserve"> </v>
      </c>
      <c r="G1227" s="24"/>
      <c r="H1227" s="25" t="str">
        <f t="shared" si="78"/>
        <v xml:space="preserve"> </v>
      </c>
      <c r="I1227" s="26"/>
      <c r="J1227" s="27" t="str">
        <f t="shared" si="79"/>
        <v xml:space="preserve"> </v>
      </c>
    </row>
    <row r="1228" spans="1:10" x14ac:dyDescent="0.3">
      <c r="A1228" s="23" t="str">
        <f t="shared" si="76"/>
        <v xml:space="preserve"> </v>
      </c>
      <c r="B1228" s="24"/>
      <c r="C1228" s="4"/>
      <c r="D1228" s="24"/>
      <c r="E1228" s="24"/>
      <c r="F1228" s="25" t="str">
        <f t="shared" si="77"/>
        <v xml:space="preserve"> </v>
      </c>
      <c r="G1228" s="24"/>
      <c r="H1228" s="25" t="str">
        <f t="shared" si="78"/>
        <v xml:space="preserve"> </v>
      </c>
      <c r="I1228" s="26"/>
      <c r="J1228" s="27" t="str">
        <f t="shared" si="79"/>
        <v xml:space="preserve"> </v>
      </c>
    </row>
    <row r="1229" spans="1:10" x14ac:dyDescent="0.3">
      <c r="A1229" s="23" t="str">
        <f t="shared" si="76"/>
        <v xml:space="preserve"> </v>
      </c>
      <c r="B1229" s="24"/>
      <c r="C1229" s="4"/>
      <c r="D1229" s="24"/>
      <c r="E1229" s="24"/>
      <c r="F1229" s="25" t="str">
        <f t="shared" si="77"/>
        <v xml:space="preserve"> </v>
      </c>
      <c r="G1229" s="24"/>
      <c r="H1229" s="25" t="str">
        <f t="shared" si="78"/>
        <v xml:space="preserve"> </v>
      </c>
      <c r="I1229" s="26"/>
      <c r="J1229" s="27" t="str">
        <f t="shared" si="79"/>
        <v xml:space="preserve"> </v>
      </c>
    </row>
    <row r="1230" spans="1:10" x14ac:dyDescent="0.3">
      <c r="A1230" s="23" t="str">
        <f t="shared" si="76"/>
        <v xml:space="preserve"> </v>
      </c>
      <c r="B1230" s="24"/>
      <c r="C1230" s="4"/>
      <c r="D1230" s="24"/>
      <c r="E1230" s="24"/>
      <c r="F1230" s="25" t="str">
        <f t="shared" si="77"/>
        <v xml:space="preserve"> </v>
      </c>
      <c r="G1230" s="24"/>
      <c r="H1230" s="25" t="str">
        <f t="shared" si="78"/>
        <v xml:space="preserve"> </v>
      </c>
      <c r="I1230" s="26"/>
      <c r="J1230" s="27" t="str">
        <f t="shared" si="79"/>
        <v xml:space="preserve"> </v>
      </c>
    </row>
    <row r="1231" spans="1:10" x14ac:dyDescent="0.3">
      <c r="A1231" s="23" t="str">
        <f t="shared" si="76"/>
        <v xml:space="preserve"> </v>
      </c>
      <c r="B1231" s="24"/>
      <c r="C1231" s="4"/>
      <c r="D1231" s="24"/>
      <c r="E1231" s="24"/>
      <c r="F1231" s="25" t="str">
        <f t="shared" si="77"/>
        <v xml:space="preserve"> </v>
      </c>
      <c r="G1231" s="24"/>
      <c r="H1231" s="25" t="str">
        <f t="shared" si="78"/>
        <v xml:space="preserve"> </v>
      </c>
      <c r="I1231" s="26"/>
      <c r="J1231" s="27" t="str">
        <f t="shared" si="79"/>
        <v xml:space="preserve"> </v>
      </c>
    </row>
    <row r="1232" spans="1:10" x14ac:dyDescent="0.3">
      <c r="A1232" s="23" t="str">
        <f t="shared" si="76"/>
        <v xml:space="preserve"> </v>
      </c>
      <c r="B1232" s="24"/>
      <c r="C1232" s="4"/>
      <c r="D1232" s="24"/>
      <c r="E1232" s="24"/>
      <c r="F1232" s="25" t="str">
        <f t="shared" si="77"/>
        <v xml:space="preserve"> </v>
      </c>
      <c r="G1232" s="24"/>
      <c r="H1232" s="25" t="str">
        <f t="shared" si="78"/>
        <v xml:space="preserve"> </v>
      </c>
      <c r="I1232" s="26"/>
      <c r="J1232" s="27" t="str">
        <f t="shared" si="79"/>
        <v xml:space="preserve"> </v>
      </c>
    </row>
    <row r="1233" spans="1:10" x14ac:dyDescent="0.3">
      <c r="A1233" s="23" t="str">
        <f t="shared" si="76"/>
        <v xml:space="preserve"> </v>
      </c>
      <c r="B1233" s="24"/>
      <c r="C1233" s="4"/>
      <c r="D1233" s="24"/>
      <c r="E1233" s="24"/>
      <c r="F1233" s="25" t="str">
        <f t="shared" si="77"/>
        <v xml:space="preserve"> </v>
      </c>
      <c r="G1233" s="24"/>
      <c r="H1233" s="25" t="str">
        <f t="shared" si="78"/>
        <v xml:space="preserve"> </v>
      </c>
      <c r="I1233" s="26"/>
      <c r="J1233" s="27" t="str">
        <f t="shared" si="79"/>
        <v xml:space="preserve"> </v>
      </c>
    </row>
    <row r="1234" spans="1:10" x14ac:dyDescent="0.3">
      <c r="A1234" s="23" t="str">
        <f t="shared" si="76"/>
        <v xml:space="preserve"> </v>
      </c>
      <c r="B1234" s="24"/>
      <c r="C1234" s="4"/>
      <c r="D1234" s="24"/>
      <c r="E1234" s="24"/>
      <c r="F1234" s="25" t="str">
        <f t="shared" si="77"/>
        <v xml:space="preserve"> </v>
      </c>
      <c r="G1234" s="24"/>
      <c r="H1234" s="25" t="str">
        <f t="shared" si="78"/>
        <v xml:space="preserve"> </v>
      </c>
      <c r="I1234" s="26"/>
      <c r="J1234" s="27" t="str">
        <f t="shared" si="79"/>
        <v xml:space="preserve"> </v>
      </c>
    </row>
    <row r="1235" spans="1:10" x14ac:dyDescent="0.3">
      <c r="A1235" s="23" t="str">
        <f t="shared" si="76"/>
        <v xml:space="preserve"> </v>
      </c>
      <c r="B1235" s="24"/>
      <c r="C1235" s="4"/>
      <c r="D1235" s="24"/>
      <c r="E1235" s="24"/>
      <c r="F1235" s="25" t="str">
        <f t="shared" si="77"/>
        <v xml:space="preserve"> </v>
      </c>
      <c r="G1235" s="24"/>
      <c r="H1235" s="25" t="str">
        <f t="shared" si="78"/>
        <v xml:space="preserve"> </v>
      </c>
      <c r="I1235" s="26"/>
      <c r="J1235" s="27" t="str">
        <f t="shared" si="79"/>
        <v xml:space="preserve"> </v>
      </c>
    </row>
    <row r="1236" spans="1:10" x14ac:dyDescent="0.3">
      <c r="A1236" s="23" t="str">
        <f t="shared" si="76"/>
        <v xml:space="preserve"> </v>
      </c>
      <c r="B1236" s="24"/>
      <c r="C1236" s="4"/>
      <c r="D1236" s="24"/>
      <c r="E1236" s="24"/>
      <c r="F1236" s="25" t="str">
        <f t="shared" si="77"/>
        <v xml:space="preserve"> </v>
      </c>
      <c r="G1236" s="24"/>
      <c r="H1236" s="25" t="str">
        <f t="shared" si="78"/>
        <v xml:space="preserve"> </v>
      </c>
      <c r="I1236" s="26"/>
      <c r="J1236" s="27" t="str">
        <f t="shared" si="79"/>
        <v xml:space="preserve"> </v>
      </c>
    </row>
    <row r="1237" spans="1:10" x14ac:dyDescent="0.3">
      <c r="A1237" s="23" t="str">
        <f t="shared" si="76"/>
        <v xml:space="preserve"> </v>
      </c>
      <c r="B1237" s="24"/>
      <c r="C1237" s="4"/>
      <c r="D1237" s="24"/>
      <c r="E1237" s="24"/>
      <c r="F1237" s="25" t="str">
        <f t="shared" si="77"/>
        <v xml:space="preserve"> </v>
      </c>
      <c r="G1237" s="24"/>
      <c r="H1237" s="25" t="str">
        <f t="shared" si="78"/>
        <v xml:space="preserve"> </v>
      </c>
      <c r="I1237" s="26"/>
      <c r="J1237" s="27" t="str">
        <f t="shared" si="79"/>
        <v xml:space="preserve"> </v>
      </c>
    </row>
    <row r="1238" spans="1:10" x14ac:dyDescent="0.3">
      <c r="A1238" s="23" t="str">
        <f t="shared" si="76"/>
        <v xml:space="preserve"> </v>
      </c>
      <c r="B1238" s="24"/>
      <c r="C1238" s="4"/>
      <c r="D1238" s="24"/>
      <c r="E1238" s="24"/>
      <c r="F1238" s="25" t="str">
        <f t="shared" si="77"/>
        <v xml:space="preserve"> </v>
      </c>
      <c r="G1238" s="24"/>
      <c r="H1238" s="25" t="str">
        <f t="shared" si="78"/>
        <v xml:space="preserve"> </v>
      </c>
      <c r="I1238" s="26"/>
      <c r="J1238" s="27" t="str">
        <f t="shared" si="79"/>
        <v xml:space="preserve"> </v>
      </c>
    </row>
    <row r="1239" spans="1:10" x14ac:dyDescent="0.3">
      <c r="A1239" s="23" t="str">
        <f t="shared" si="76"/>
        <v xml:space="preserve"> </v>
      </c>
      <c r="B1239" s="24"/>
      <c r="C1239" s="4"/>
      <c r="D1239" s="24"/>
      <c r="E1239" s="24"/>
      <c r="F1239" s="25" t="str">
        <f t="shared" si="77"/>
        <v xml:space="preserve"> </v>
      </c>
      <c r="G1239" s="24"/>
      <c r="H1239" s="25" t="str">
        <f t="shared" si="78"/>
        <v xml:space="preserve"> </v>
      </c>
      <c r="I1239" s="26"/>
      <c r="J1239" s="27" t="str">
        <f t="shared" si="79"/>
        <v xml:space="preserve"> </v>
      </c>
    </row>
    <row r="1240" spans="1:10" x14ac:dyDescent="0.3">
      <c r="A1240" s="23" t="str">
        <f t="shared" si="76"/>
        <v xml:space="preserve"> </v>
      </c>
      <c r="B1240" s="24"/>
      <c r="C1240" s="4"/>
      <c r="D1240" s="24"/>
      <c r="E1240" s="24"/>
      <c r="F1240" s="25" t="str">
        <f t="shared" si="77"/>
        <v xml:space="preserve"> </v>
      </c>
      <c r="G1240" s="24"/>
      <c r="H1240" s="25" t="str">
        <f t="shared" si="78"/>
        <v xml:space="preserve"> </v>
      </c>
      <c r="I1240" s="26"/>
      <c r="J1240" s="27" t="str">
        <f t="shared" si="79"/>
        <v xml:space="preserve"> </v>
      </c>
    </row>
    <row r="1241" spans="1:10" x14ac:dyDescent="0.3">
      <c r="A1241" s="23" t="str">
        <f t="shared" si="76"/>
        <v xml:space="preserve"> </v>
      </c>
      <c r="B1241" s="24"/>
      <c r="C1241" s="4"/>
      <c r="D1241" s="24"/>
      <c r="E1241" s="24"/>
      <c r="F1241" s="25" t="str">
        <f t="shared" si="77"/>
        <v xml:space="preserve"> </v>
      </c>
      <c r="G1241" s="24"/>
      <c r="H1241" s="25" t="str">
        <f t="shared" si="78"/>
        <v xml:space="preserve"> </v>
      </c>
      <c r="I1241" s="26"/>
      <c r="J1241" s="27" t="str">
        <f t="shared" si="79"/>
        <v xml:space="preserve"> </v>
      </c>
    </row>
    <row r="1242" spans="1:10" x14ac:dyDescent="0.3">
      <c r="A1242" s="23" t="str">
        <f t="shared" si="76"/>
        <v xml:space="preserve"> </v>
      </c>
      <c r="B1242" s="24"/>
      <c r="C1242" s="4"/>
      <c r="D1242" s="24"/>
      <c r="E1242" s="24"/>
      <c r="F1242" s="25" t="str">
        <f t="shared" si="77"/>
        <v xml:space="preserve"> </v>
      </c>
      <c r="G1242" s="24"/>
      <c r="H1242" s="25" t="str">
        <f t="shared" si="78"/>
        <v xml:space="preserve"> </v>
      </c>
      <c r="I1242" s="26"/>
      <c r="J1242" s="27" t="str">
        <f t="shared" si="79"/>
        <v xml:space="preserve"> </v>
      </c>
    </row>
    <row r="1243" spans="1:10" x14ac:dyDescent="0.3">
      <c r="A1243" s="23" t="str">
        <f t="shared" si="76"/>
        <v xml:space="preserve"> </v>
      </c>
      <c r="B1243" s="24"/>
      <c r="C1243" s="4"/>
      <c r="D1243" s="24"/>
      <c r="E1243" s="24"/>
      <c r="F1243" s="25" t="str">
        <f t="shared" si="77"/>
        <v xml:space="preserve"> </v>
      </c>
      <c r="G1243" s="24"/>
      <c r="H1243" s="25" t="str">
        <f t="shared" si="78"/>
        <v xml:space="preserve"> </v>
      </c>
      <c r="I1243" s="26"/>
      <c r="J1243" s="27" t="str">
        <f t="shared" si="79"/>
        <v xml:space="preserve"> </v>
      </c>
    </row>
    <row r="1244" spans="1:10" x14ac:dyDescent="0.3">
      <c r="A1244" s="23" t="str">
        <f t="shared" si="76"/>
        <v xml:space="preserve"> </v>
      </c>
      <c r="B1244" s="24"/>
      <c r="C1244" s="4"/>
      <c r="D1244" s="24"/>
      <c r="E1244" s="24"/>
      <c r="F1244" s="25" t="str">
        <f t="shared" si="77"/>
        <v xml:space="preserve"> </v>
      </c>
      <c r="G1244" s="24"/>
      <c r="H1244" s="25" t="str">
        <f t="shared" si="78"/>
        <v xml:space="preserve"> </v>
      </c>
      <c r="I1244" s="26"/>
      <c r="J1244" s="27" t="str">
        <f t="shared" si="79"/>
        <v xml:space="preserve"> </v>
      </c>
    </row>
    <row r="1245" spans="1:10" x14ac:dyDescent="0.3">
      <c r="A1245" s="23" t="str">
        <f t="shared" si="76"/>
        <v xml:space="preserve"> </v>
      </c>
      <c r="B1245" s="24"/>
      <c r="C1245" s="4"/>
      <c r="D1245" s="24"/>
      <c r="E1245" s="24"/>
      <c r="F1245" s="25" t="str">
        <f t="shared" si="77"/>
        <v xml:space="preserve"> </v>
      </c>
      <c r="G1245" s="24"/>
      <c r="H1245" s="25" t="str">
        <f t="shared" si="78"/>
        <v xml:space="preserve"> </v>
      </c>
      <c r="I1245" s="26"/>
      <c r="J1245" s="27" t="str">
        <f t="shared" si="79"/>
        <v xml:space="preserve"> </v>
      </c>
    </row>
    <row r="1246" spans="1:10" x14ac:dyDescent="0.3">
      <c r="A1246" s="23" t="str">
        <f t="shared" si="76"/>
        <v xml:space="preserve"> </v>
      </c>
      <c r="B1246" s="24"/>
      <c r="C1246" s="4"/>
      <c r="D1246" s="24"/>
      <c r="E1246" s="24"/>
      <c r="F1246" s="25" t="str">
        <f t="shared" si="77"/>
        <v xml:space="preserve"> </v>
      </c>
      <c r="G1246" s="24"/>
      <c r="H1246" s="25" t="str">
        <f t="shared" si="78"/>
        <v xml:space="preserve"> </v>
      </c>
      <c r="I1246" s="26"/>
      <c r="J1246" s="27" t="str">
        <f t="shared" si="79"/>
        <v xml:space="preserve"> </v>
      </c>
    </row>
    <row r="1247" spans="1:10" x14ac:dyDescent="0.3">
      <c r="A1247" s="23" t="str">
        <f t="shared" si="76"/>
        <v xml:space="preserve"> </v>
      </c>
      <c r="B1247" s="24"/>
      <c r="C1247" s="4"/>
      <c r="D1247" s="24"/>
      <c r="E1247" s="24"/>
      <c r="F1247" s="25" t="str">
        <f t="shared" si="77"/>
        <v xml:space="preserve"> </v>
      </c>
      <c r="G1247" s="24"/>
      <c r="H1247" s="25" t="str">
        <f t="shared" si="78"/>
        <v xml:space="preserve"> </v>
      </c>
      <c r="I1247" s="26"/>
      <c r="J1247" s="27" t="str">
        <f t="shared" si="79"/>
        <v xml:space="preserve"> </v>
      </c>
    </row>
    <row r="1248" spans="1:10" x14ac:dyDescent="0.3">
      <c r="A1248" s="23" t="str">
        <f t="shared" si="76"/>
        <v xml:space="preserve"> </v>
      </c>
      <c r="B1248" s="24"/>
      <c r="C1248" s="4"/>
      <c r="D1248" s="24"/>
      <c r="E1248" s="24"/>
      <c r="F1248" s="25" t="str">
        <f t="shared" si="77"/>
        <v xml:space="preserve"> </v>
      </c>
      <c r="G1248" s="24"/>
      <c r="H1248" s="25" t="str">
        <f t="shared" si="78"/>
        <v xml:space="preserve"> </v>
      </c>
      <c r="I1248" s="26"/>
      <c r="J1248" s="27" t="str">
        <f t="shared" si="79"/>
        <v xml:space="preserve"> </v>
      </c>
    </row>
    <row r="1249" spans="1:10" x14ac:dyDescent="0.3">
      <c r="A1249" s="23" t="str">
        <f t="shared" si="76"/>
        <v xml:space="preserve"> </v>
      </c>
      <c r="B1249" s="24"/>
      <c r="C1249" s="4"/>
      <c r="D1249" s="24"/>
      <c r="E1249" s="24"/>
      <c r="F1249" s="25" t="str">
        <f t="shared" si="77"/>
        <v xml:space="preserve"> </v>
      </c>
      <c r="G1249" s="24"/>
      <c r="H1249" s="25" t="str">
        <f t="shared" si="78"/>
        <v xml:space="preserve"> </v>
      </c>
      <c r="I1249" s="26"/>
      <c r="J1249" s="27" t="str">
        <f t="shared" si="79"/>
        <v xml:space="preserve"> </v>
      </c>
    </row>
    <row r="1250" spans="1:10" x14ac:dyDescent="0.3">
      <c r="A1250" s="23" t="str">
        <f t="shared" si="76"/>
        <v xml:space="preserve"> </v>
      </c>
      <c r="B1250" s="24"/>
      <c r="C1250" s="4"/>
      <c r="D1250" s="24"/>
      <c r="E1250" s="24"/>
      <c r="F1250" s="25" t="str">
        <f t="shared" si="77"/>
        <v xml:space="preserve"> </v>
      </c>
      <c r="G1250" s="24"/>
      <c r="H1250" s="25" t="str">
        <f t="shared" si="78"/>
        <v xml:space="preserve"> </v>
      </c>
      <c r="I1250" s="26"/>
      <c r="J1250" s="27" t="str">
        <f t="shared" si="79"/>
        <v xml:space="preserve"> </v>
      </c>
    </row>
    <row r="1251" spans="1:10" x14ac:dyDescent="0.3">
      <c r="A1251" s="23" t="str">
        <f t="shared" si="76"/>
        <v xml:space="preserve"> </v>
      </c>
      <c r="B1251" s="24"/>
      <c r="C1251" s="4"/>
      <c r="D1251" s="24"/>
      <c r="E1251" s="24"/>
      <c r="F1251" s="25" t="str">
        <f t="shared" si="77"/>
        <v xml:space="preserve"> </v>
      </c>
      <c r="G1251" s="24"/>
      <c r="H1251" s="25" t="str">
        <f t="shared" si="78"/>
        <v xml:space="preserve"> </v>
      </c>
      <c r="I1251" s="26"/>
      <c r="J1251" s="27" t="str">
        <f t="shared" si="79"/>
        <v xml:space="preserve"> </v>
      </c>
    </row>
    <row r="1252" spans="1:10" x14ac:dyDescent="0.3">
      <c r="A1252" s="23" t="str">
        <f t="shared" si="76"/>
        <v xml:space="preserve"> </v>
      </c>
      <c r="B1252" s="24"/>
      <c r="C1252" s="4"/>
      <c r="D1252" s="24"/>
      <c r="E1252" s="24"/>
      <c r="F1252" s="25" t="str">
        <f t="shared" si="77"/>
        <v xml:space="preserve"> </v>
      </c>
      <c r="G1252" s="24"/>
      <c r="H1252" s="25" t="str">
        <f t="shared" si="78"/>
        <v xml:space="preserve"> </v>
      </c>
      <c r="I1252" s="26"/>
      <c r="J1252" s="27" t="str">
        <f t="shared" si="79"/>
        <v xml:space="preserve"> </v>
      </c>
    </row>
    <row r="1253" spans="1:10" x14ac:dyDescent="0.3">
      <c r="A1253" s="23" t="str">
        <f t="shared" si="76"/>
        <v xml:space="preserve"> </v>
      </c>
      <c r="B1253" s="24"/>
      <c r="C1253" s="4"/>
      <c r="D1253" s="24"/>
      <c r="E1253" s="24"/>
      <c r="F1253" s="25" t="str">
        <f t="shared" si="77"/>
        <v xml:space="preserve"> </v>
      </c>
      <c r="G1253" s="24"/>
      <c r="H1253" s="25" t="str">
        <f t="shared" si="78"/>
        <v xml:space="preserve"> </v>
      </c>
      <c r="I1253" s="26"/>
      <c r="J1253" s="27" t="str">
        <f t="shared" si="79"/>
        <v xml:space="preserve"> </v>
      </c>
    </row>
    <row r="1254" spans="1:10" x14ac:dyDescent="0.3">
      <c r="A1254" s="23" t="str">
        <f t="shared" si="76"/>
        <v xml:space="preserve"> </v>
      </c>
      <c r="B1254" s="24"/>
      <c r="C1254" s="4"/>
      <c r="D1254" s="24"/>
      <c r="E1254" s="24"/>
      <c r="F1254" s="25" t="str">
        <f t="shared" si="77"/>
        <v xml:space="preserve"> </v>
      </c>
      <c r="G1254" s="24"/>
      <c r="H1254" s="25" t="str">
        <f t="shared" si="78"/>
        <v xml:space="preserve"> </v>
      </c>
      <c r="I1254" s="26"/>
      <c r="J1254" s="27" t="str">
        <f t="shared" si="79"/>
        <v xml:space="preserve"> </v>
      </c>
    </row>
    <row r="1255" spans="1:10" x14ac:dyDescent="0.3">
      <c r="A1255" s="23" t="str">
        <f t="shared" si="76"/>
        <v xml:space="preserve"> </v>
      </c>
      <c r="B1255" s="24"/>
      <c r="C1255" s="4"/>
      <c r="D1255" s="24"/>
      <c r="E1255" s="24"/>
      <c r="F1255" s="25" t="str">
        <f t="shared" si="77"/>
        <v xml:space="preserve"> </v>
      </c>
      <c r="G1255" s="24"/>
      <c r="H1255" s="25" t="str">
        <f t="shared" si="78"/>
        <v xml:space="preserve"> </v>
      </c>
      <c r="I1255" s="26"/>
      <c r="J1255" s="27" t="str">
        <f t="shared" si="79"/>
        <v xml:space="preserve"> </v>
      </c>
    </row>
    <row r="1256" spans="1:10" x14ac:dyDescent="0.3">
      <c r="A1256" s="23" t="str">
        <f t="shared" si="76"/>
        <v xml:space="preserve"> </v>
      </c>
      <c r="B1256" s="24"/>
      <c r="C1256" s="4"/>
      <c r="D1256" s="24"/>
      <c r="E1256" s="24"/>
      <c r="F1256" s="25" t="str">
        <f t="shared" si="77"/>
        <v xml:space="preserve"> </v>
      </c>
      <c r="G1256" s="24"/>
      <c r="H1256" s="25" t="str">
        <f t="shared" si="78"/>
        <v xml:space="preserve"> </v>
      </c>
      <c r="I1256" s="26"/>
      <c r="J1256" s="27" t="str">
        <f t="shared" si="79"/>
        <v xml:space="preserve"> </v>
      </c>
    </row>
    <row r="1257" spans="1:10" x14ac:dyDescent="0.3">
      <c r="A1257" s="23" t="str">
        <f t="shared" si="76"/>
        <v xml:space="preserve"> </v>
      </c>
      <c r="B1257" s="24"/>
      <c r="C1257" s="4"/>
      <c r="D1257" s="24"/>
      <c r="E1257" s="24"/>
      <c r="F1257" s="25" t="str">
        <f t="shared" si="77"/>
        <v xml:space="preserve"> </v>
      </c>
      <c r="G1257" s="24"/>
      <c r="H1257" s="25" t="str">
        <f t="shared" si="78"/>
        <v xml:space="preserve"> </v>
      </c>
      <c r="I1257" s="26"/>
      <c r="J1257" s="27" t="str">
        <f t="shared" si="79"/>
        <v xml:space="preserve"> </v>
      </c>
    </row>
    <row r="1258" spans="1:10" x14ac:dyDescent="0.3">
      <c r="A1258" s="23" t="str">
        <f t="shared" si="76"/>
        <v xml:space="preserve"> </v>
      </c>
      <c r="B1258" s="24"/>
      <c r="C1258" s="4"/>
      <c r="D1258" s="24"/>
      <c r="E1258" s="24"/>
      <c r="F1258" s="25" t="str">
        <f t="shared" si="77"/>
        <v xml:space="preserve"> </v>
      </c>
      <c r="G1258" s="24"/>
      <c r="H1258" s="25" t="str">
        <f t="shared" si="78"/>
        <v xml:space="preserve"> </v>
      </c>
      <c r="I1258" s="26"/>
      <c r="J1258" s="27" t="str">
        <f t="shared" si="79"/>
        <v xml:space="preserve"> </v>
      </c>
    </row>
    <row r="1259" spans="1:10" x14ac:dyDescent="0.3">
      <c r="A1259" s="23" t="str">
        <f t="shared" si="76"/>
        <v xml:space="preserve"> </v>
      </c>
      <c r="B1259" s="24"/>
      <c r="C1259" s="4"/>
      <c r="D1259" s="24"/>
      <c r="E1259" s="24"/>
      <c r="F1259" s="25" t="str">
        <f t="shared" si="77"/>
        <v xml:space="preserve"> </v>
      </c>
      <c r="G1259" s="24"/>
      <c r="H1259" s="25" t="str">
        <f t="shared" si="78"/>
        <v xml:space="preserve"> </v>
      </c>
      <c r="I1259" s="26"/>
      <c r="J1259" s="27" t="str">
        <f t="shared" si="79"/>
        <v xml:space="preserve"> </v>
      </c>
    </row>
    <row r="1260" spans="1:10" x14ac:dyDescent="0.3">
      <c r="A1260" s="23" t="str">
        <f t="shared" si="76"/>
        <v xml:space="preserve"> </v>
      </c>
      <c r="B1260" s="24"/>
      <c r="C1260" s="4"/>
      <c r="D1260" s="24"/>
      <c r="E1260" s="24"/>
      <c r="F1260" s="25" t="str">
        <f t="shared" si="77"/>
        <v xml:space="preserve"> </v>
      </c>
      <c r="G1260" s="24"/>
      <c r="H1260" s="25" t="str">
        <f t="shared" si="78"/>
        <v xml:space="preserve"> </v>
      </c>
      <c r="I1260" s="26"/>
      <c r="J1260" s="27" t="str">
        <f t="shared" si="79"/>
        <v xml:space="preserve"> </v>
      </c>
    </row>
    <row r="1261" spans="1:10" x14ac:dyDescent="0.3">
      <c r="A1261" s="23" t="str">
        <f t="shared" si="76"/>
        <v xml:space="preserve"> </v>
      </c>
      <c r="B1261" s="24"/>
      <c r="C1261" s="4"/>
      <c r="D1261" s="24"/>
      <c r="E1261" s="24"/>
      <c r="F1261" s="25" t="str">
        <f t="shared" si="77"/>
        <v xml:space="preserve"> </v>
      </c>
      <c r="G1261" s="24"/>
      <c r="H1261" s="25" t="str">
        <f t="shared" si="78"/>
        <v xml:space="preserve"> </v>
      </c>
      <c r="I1261" s="26"/>
      <c r="J1261" s="27" t="str">
        <f t="shared" si="79"/>
        <v xml:space="preserve"> </v>
      </c>
    </row>
    <row r="1262" spans="1:10" x14ac:dyDescent="0.3">
      <c r="A1262" s="23" t="str">
        <f t="shared" si="76"/>
        <v xml:space="preserve"> </v>
      </c>
      <c r="B1262" s="24"/>
      <c r="C1262" s="4"/>
      <c r="D1262" s="24"/>
      <c r="E1262" s="24"/>
      <c r="F1262" s="25" t="str">
        <f t="shared" si="77"/>
        <v xml:space="preserve"> </v>
      </c>
      <c r="G1262" s="24"/>
      <c r="H1262" s="25" t="str">
        <f t="shared" si="78"/>
        <v xml:space="preserve"> </v>
      </c>
      <c r="I1262" s="26"/>
      <c r="J1262" s="27" t="str">
        <f t="shared" si="79"/>
        <v xml:space="preserve"> </v>
      </c>
    </row>
    <row r="1263" spans="1:10" x14ac:dyDescent="0.3">
      <c r="A1263" s="23" t="str">
        <f t="shared" si="76"/>
        <v xml:space="preserve"> </v>
      </c>
      <c r="B1263" s="24"/>
      <c r="C1263" s="4"/>
      <c r="D1263" s="24"/>
      <c r="E1263" s="24"/>
      <c r="F1263" s="25" t="str">
        <f t="shared" si="77"/>
        <v xml:space="preserve"> </v>
      </c>
      <c r="G1263" s="24"/>
      <c r="H1263" s="25" t="str">
        <f t="shared" si="78"/>
        <v xml:space="preserve"> </v>
      </c>
      <c r="I1263" s="26"/>
      <c r="J1263" s="27" t="str">
        <f t="shared" si="79"/>
        <v xml:space="preserve"> </v>
      </c>
    </row>
    <row r="1264" spans="1:10" x14ac:dyDescent="0.3">
      <c r="A1264" s="23" t="str">
        <f t="shared" si="76"/>
        <v xml:space="preserve"> </v>
      </c>
      <c r="B1264" s="24"/>
      <c r="C1264" s="4"/>
      <c r="D1264" s="24"/>
      <c r="E1264" s="24"/>
      <c r="F1264" s="25" t="str">
        <f t="shared" si="77"/>
        <v xml:space="preserve"> </v>
      </c>
      <c r="G1264" s="24"/>
      <c r="H1264" s="25" t="str">
        <f t="shared" si="78"/>
        <v xml:space="preserve"> </v>
      </c>
      <c r="I1264" s="26"/>
      <c r="J1264" s="27" t="str">
        <f t="shared" si="79"/>
        <v xml:space="preserve"> </v>
      </c>
    </row>
    <row r="1265" spans="1:10" x14ac:dyDescent="0.3">
      <c r="A1265" s="23" t="str">
        <f t="shared" si="76"/>
        <v xml:space="preserve"> </v>
      </c>
      <c r="B1265" s="24"/>
      <c r="C1265" s="4"/>
      <c r="D1265" s="24"/>
      <c r="E1265" s="24"/>
      <c r="F1265" s="25" t="str">
        <f t="shared" si="77"/>
        <v xml:space="preserve"> </v>
      </c>
      <c r="G1265" s="24"/>
      <c r="H1265" s="25" t="str">
        <f t="shared" si="78"/>
        <v xml:space="preserve"> </v>
      </c>
      <c r="I1265" s="26"/>
      <c r="J1265" s="27" t="str">
        <f t="shared" si="79"/>
        <v xml:space="preserve"> </v>
      </c>
    </row>
    <row r="1266" spans="1:10" x14ac:dyDescent="0.3">
      <c r="A1266" s="23" t="str">
        <f t="shared" si="76"/>
        <v xml:space="preserve"> </v>
      </c>
      <c r="B1266" s="24"/>
      <c r="C1266" s="4"/>
      <c r="D1266" s="24"/>
      <c r="E1266" s="24"/>
      <c r="F1266" s="25" t="str">
        <f t="shared" si="77"/>
        <v xml:space="preserve"> </v>
      </c>
      <c r="G1266" s="24"/>
      <c r="H1266" s="25" t="str">
        <f t="shared" si="78"/>
        <v xml:space="preserve"> </v>
      </c>
      <c r="I1266" s="26"/>
      <c r="J1266" s="27" t="str">
        <f t="shared" si="79"/>
        <v xml:space="preserve"> </v>
      </c>
    </row>
    <row r="1267" spans="1:10" x14ac:dyDescent="0.3">
      <c r="A1267" s="23" t="str">
        <f t="shared" si="76"/>
        <v xml:space="preserve"> </v>
      </c>
      <c r="B1267" s="24"/>
      <c r="C1267" s="4"/>
      <c r="D1267" s="24"/>
      <c r="E1267" s="24"/>
      <c r="F1267" s="25" t="str">
        <f t="shared" si="77"/>
        <v xml:space="preserve"> </v>
      </c>
      <c r="G1267" s="24"/>
      <c r="H1267" s="25" t="str">
        <f t="shared" si="78"/>
        <v xml:space="preserve"> </v>
      </c>
      <c r="I1267" s="26"/>
      <c r="J1267" s="27" t="str">
        <f t="shared" si="79"/>
        <v xml:space="preserve"> </v>
      </c>
    </row>
    <row r="1268" spans="1:10" x14ac:dyDescent="0.3">
      <c r="A1268" s="23" t="str">
        <f t="shared" si="76"/>
        <v xml:space="preserve"> </v>
      </c>
      <c r="B1268" s="24"/>
      <c r="C1268" s="4"/>
      <c r="D1268" s="24"/>
      <c r="E1268" s="24"/>
      <c r="F1268" s="25" t="str">
        <f t="shared" si="77"/>
        <v xml:space="preserve"> </v>
      </c>
      <c r="G1268" s="24"/>
      <c r="H1268" s="25" t="str">
        <f t="shared" si="78"/>
        <v xml:space="preserve"> </v>
      </c>
      <c r="I1268" s="26"/>
      <c r="J1268" s="27" t="str">
        <f t="shared" si="79"/>
        <v xml:space="preserve"> </v>
      </c>
    </row>
    <row r="1269" spans="1:10" x14ac:dyDescent="0.3">
      <c r="A1269" s="23" t="str">
        <f t="shared" si="76"/>
        <v xml:space="preserve"> </v>
      </c>
      <c r="B1269" s="24"/>
      <c r="C1269" s="4"/>
      <c r="D1269" s="24"/>
      <c r="E1269" s="24"/>
      <c r="F1269" s="25" t="str">
        <f t="shared" si="77"/>
        <v xml:space="preserve"> </v>
      </c>
      <c r="G1269" s="24"/>
      <c r="H1269" s="25" t="str">
        <f t="shared" si="78"/>
        <v xml:space="preserve"> </v>
      </c>
      <c r="I1269" s="26"/>
      <c r="J1269" s="27" t="str">
        <f t="shared" si="79"/>
        <v xml:space="preserve"> </v>
      </c>
    </row>
    <row r="1270" spans="1:10" x14ac:dyDescent="0.3">
      <c r="A1270" s="23" t="str">
        <f t="shared" si="76"/>
        <v xml:space="preserve"> </v>
      </c>
      <c r="B1270" s="24"/>
      <c r="C1270" s="4"/>
      <c r="D1270" s="24"/>
      <c r="E1270" s="24"/>
      <c r="F1270" s="25" t="str">
        <f t="shared" si="77"/>
        <v xml:space="preserve"> </v>
      </c>
      <c r="G1270" s="24"/>
      <c r="H1270" s="25" t="str">
        <f t="shared" si="78"/>
        <v xml:space="preserve"> </v>
      </c>
      <c r="I1270" s="26"/>
      <c r="J1270" s="27" t="str">
        <f t="shared" si="79"/>
        <v xml:space="preserve"> </v>
      </c>
    </row>
    <row r="1271" spans="1:10" x14ac:dyDescent="0.3">
      <c r="A1271" s="23" t="str">
        <f t="shared" si="76"/>
        <v xml:space="preserve"> </v>
      </c>
      <c r="B1271" s="24"/>
      <c r="C1271" s="4"/>
      <c r="D1271" s="24"/>
      <c r="E1271" s="24"/>
      <c r="F1271" s="25" t="str">
        <f t="shared" si="77"/>
        <v xml:space="preserve"> </v>
      </c>
      <c r="G1271" s="24"/>
      <c r="H1271" s="25" t="str">
        <f t="shared" si="78"/>
        <v xml:space="preserve"> </v>
      </c>
      <c r="I1271" s="26"/>
      <c r="J1271" s="27" t="str">
        <f t="shared" si="79"/>
        <v xml:space="preserve"> </v>
      </c>
    </row>
    <row r="1272" spans="1:10" x14ac:dyDescent="0.3">
      <c r="A1272" s="23" t="str">
        <f t="shared" si="76"/>
        <v xml:space="preserve"> </v>
      </c>
      <c r="B1272" s="24"/>
      <c r="C1272" s="4"/>
      <c r="D1272" s="24"/>
      <c r="E1272" s="24"/>
      <c r="F1272" s="25" t="str">
        <f t="shared" si="77"/>
        <v xml:space="preserve"> </v>
      </c>
      <c r="G1272" s="24"/>
      <c r="H1272" s="25" t="str">
        <f t="shared" si="78"/>
        <v xml:space="preserve"> </v>
      </c>
      <c r="I1272" s="26"/>
      <c r="J1272" s="27" t="str">
        <f t="shared" si="79"/>
        <v xml:space="preserve"> </v>
      </c>
    </row>
    <row r="1273" spans="1:10" x14ac:dyDescent="0.3">
      <c r="A1273" s="23" t="str">
        <f t="shared" si="76"/>
        <v xml:space="preserve"> </v>
      </c>
      <c r="B1273" s="24"/>
      <c r="C1273" s="4"/>
      <c r="D1273" s="24"/>
      <c r="E1273" s="24"/>
      <c r="F1273" s="25" t="str">
        <f t="shared" si="77"/>
        <v xml:space="preserve"> </v>
      </c>
      <c r="G1273" s="24"/>
      <c r="H1273" s="25" t="str">
        <f t="shared" si="78"/>
        <v xml:space="preserve"> </v>
      </c>
      <c r="I1273" s="26"/>
      <c r="J1273" s="27" t="str">
        <f t="shared" si="79"/>
        <v xml:space="preserve"> </v>
      </c>
    </row>
    <row r="1274" spans="1:10" x14ac:dyDescent="0.3">
      <c r="A1274" s="23" t="str">
        <f t="shared" si="76"/>
        <v xml:space="preserve"> </v>
      </c>
      <c r="B1274" s="24"/>
      <c r="C1274" s="4"/>
      <c r="D1274" s="24"/>
      <c r="E1274" s="24"/>
      <c r="F1274" s="25" t="str">
        <f t="shared" si="77"/>
        <v xml:space="preserve"> </v>
      </c>
      <c r="G1274" s="24"/>
      <c r="H1274" s="25" t="str">
        <f t="shared" si="78"/>
        <v xml:space="preserve"> </v>
      </c>
      <c r="I1274" s="26"/>
      <c r="J1274" s="27" t="str">
        <f t="shared" si="79"/>
        <v xml:space="preserve"> </v>
      </c>
    </row>
    <row r="1275" spans="1:10" x14ac:dyDescent="0.3">
      <c r="A1275" s="23" t="str">
        <f t="shared" si="76"/>
        <v xml:space="preserve"> </v>
      </c>
      <c r="B1275" s="24"/>
      <c r="C1275" s="4"/>
      <c r="D1275" s="24"/>
      <c r="E1275" s="24"/>
      <c r="F1275" s="25" t="str">
        <f t="shared" si="77"/>
        <v xml:space="preserve"> </v>
      </c>
      <c r="G1275" s="24"/>
      <c r="H1275" s="25" t="str">
        <f t="shared" si="78"/>
        <v xml:space="preserve"> </v>
      </c>
      <c r="I1275" s="26"/>
      <c r="J1275" s="27" t="str">
        <f t="shared" si="79"/>
        <v xml:space="preserve"> </v>
      </c>
    </row>
    <row r="1276" spans="1:10" x14ac:dyDescent="0.3">
      <c r="A1276" s="23" t="str">
        <f t="shared" si="76"/>
        <v xml:space="preserve"> </v>
      </c>
      <c r="B1276" s="24"/>
      <c r="C1276" s="4"/>
      <c r="D1276" s="24"/>
      <c r="E1276" s="24"/>
      <c r="F1276" s="25" t="str">
        <f t="shared" si="77"/>
        <v xml:space="preserve"> </v>
      </c>
      <c r="G1276" s="24"/>
      <c r="H1276" s="25" t="str">
        <f t="shared" si="78"/>
        <v xml:space="preserve"> </v>
      </c>
      <c r="I1276" s="26"/>
      <c r="J1276" s="27" t="str">
        <f t="shared" si="79"/>
        <v xml:space="preserve"> </v>
      </c>
    </row>
    <row r="1277" spans="1:10" x14ac:dyDescent="0.3">
      <c r="A1277" s="23" t="str">
        <f t="shared" si="76"/>
        <v xml:space="preserve"> </v>
      </c>
      <c r="B1277" s="24"/>
      <c r="C1277" s="4"/>
      <c r="D1277" s="24"/>
      <c r="E1277" s="24"/>
      <c r="F1277" s="25" t="str">
        <f t="shared" si="77"/>
        <v xml:space="preserve"> </v>
      </c>
      <c r="G1277" s="24"/>
      <c r="H1277" s="25" t="str">
        <f t="shared" si="78"/>
        <v xml:space="preserve"> </v>
      </c>
      <c r="I1277" s="26"/>
      <c r="J1277" s="27" t="str">
        <f t="shared" si="79"/>
        <v xml:space="preserve"> </v>
      </c>
    </row>
    <row r="1278" spans="1:10" x14ac:dyDescent="0.3">
      <c r="A1278" s="23" t="str">
        <f t="shared" si="76"/>
        <v xml:space="preserve"> </v>
      </c>
      <c r="B1278" s="24"/>
      <c r="C1278" s="4"/>
      <c r="D1278" s="24"/>
      <c r="E1278" s="24"/>
      <c r="F1278" s="25" t="str">
        <f t="shared" si="77"/>
        <v xml:space="preserve"> </v>
      </c>
      <c r="G1278" s="24"/>
      <c r="H1278" s="25" t="str">
        <f t="shared" si="78"/>
        <v xml:space="preserve"> </v>
      </c>
      <c r="I1278" s="26"/>
      <c r="J1278" s="27" t="str">
        <f t="shared" si="79"/>
        <v xml:space="preserve"> </v>
      </c>
    </row>
    <row r="1279" spans="1:10" x14ac:dyDescent="0.3">
      <c r="A1279" s="23" t="str">
        <f t="shared" si="76"/>
        <v xml:space="preserve"> </v>
      </c>
      <c r="B1279" s="24"/>
      <c r="C1279" s="4"/>
      <c r="D1279" s="24"/>
      <c r="E1279" s="24"/>
      <c r="F1279" s="25" t="str">
        <f t="shared" si="77"/>
        <v xml:space="preserve"> </v>
      </c>
      <c r="G1279" s="24"/>
      <c r="H1279" s="25" t="str">
        <f t="shared" si="78"/>
        <v xml:space="preserve"> </v>
      </c>
      <c r="I1279" s="26"/>
      <c r="J1279" s="27" t="str">
        <f t="shared" si="79"/>
        <v xml:space="preserve"> </v>
      </c>
    </row>
    <row r="1280" spans="1:10" x14ac:dyDescent="0.3">
      <c r="A1280" s="23" t="str">
        <f t="shared" si="76"/>
        <v xml:space="preserve"> </v>
      </c>
      <c r="B1280" s="24"/>
      <c r="C1280" s="4"/>
      <c r="D1280" s="24"/>
      <c r="E1280" s="24"/>
      <c r="F1280" s="25" t="str">
        <f t="shared" si="77"/>
        <v xml:space="preserve"> </v>
      </c>
      <c r="G1280" s="24"/>
      <c r="H1280" s="25" t="str">
        <f t="shared" si="78"/>
        <v xml:space="preserve"> </v>
      </c>
      <c r="I1280" s="26"/>
      <c r="J1280" s="27" t="str">
        <f t="shared" si="79"/>
        <v xml:space="preserve"> </v>
      </c>
    </row>
    <row r="1281" spans="1:10" x14ac:dyDescent="0.3">
      <c r="A1281" s="23" t="str">
        <f t="shared" si="76"/>
        <v xml:space="preserve"> </v>
      </c>
      <c r="B1281" s="24"/>
      <c r="C1281" s="4"/>
      <c r="D1281" s="24"/>
      <c r="E1281" s="24"/>
      <c r="F1281" s="25" t="str">
        <f t="shared" si="77"/>
        <v xml:space="preserve"> </v>
      </c>
      <c r="G1281" s="24"/>
      <c r="H1281" s="25" t="str">
        <f t="shared" si="78"/>
        <v xml:space="preserve"> </v>
      </c>
      <c r="I1281" s="26"/>
      <c r="J1281" s="27" t="str">
        <f t="shared" si="79"/>
        <v xml:space="preserve"> </v>
      </c>
    </row>
    <row r="1282" spans="1:10" x14ac:dyDescent="0.3">
      <c r="A1282" s="23" t="str">
        <f t="shared" si="76"/>
        <v xml:space="preserve"> </v>
      </c>
      <c r="B1282" s="24"/>
      <c r="C1282" s="4"/>
      <c r="D1282" s="24"/>
      <c r="E1282" s="24"/>
      <c r="F1282" s="25" t="str">
        <f t="shared" si="77"/>
        <v xml:space="preserve"> </v>
      </c>
      <c r="G1282" s="24"/>
      <c r="H1282" s="25" t="str">
        <f t="shared" si="78"/>
        <v xml:space="preserve"> </v>
      </c>
      <c r="I1282" s="26"/>
      <c r="J1282" s="27" t="str">
        <f t="shared" si="79"/>
        <v xml:space="preserve"> </v>
      </c>
    </row>
    <row r="1283" spans="1:10" x14ac:dyDescent="0.3">
      <c r="A1283" s="23" t="str">
        <f t="shared" si="76"/>
        <v xml:space="preserve"> </v>
      </c>
      <c r="B1283" s="24"/>
      <c r="C1283" s="4"/>
      <c r="D1283" s="24"/>
      <c r="E1283" s="24"/>
      <c r="F1283" s="25" t="str">
        <f t="shared" si="77"/>
        <v xml:space="preserve"> </v>
      </c>
      <c r="G1283" s="24"/>
      <c r="H1283" s="25" t="str">
        <f t="shared" si="78"/>
        <v xml:space="preserve"> </v>
      </c>
      <c r="I1283" s="26"/>
      <c r="J1283" s="27" t="str">
        <f t="shared" si="79"/>
        <v xml:space="preserve"> </v>
      </c>
    </row>
    <row r="1284" spans="1:10" x14ac:dyDescent="0.3">
      <c r="A1284" s="23" t="str">
        <f t="shared" si="76"/>
        <v xml:space="preserve"> </v>
      </c>
      <c r="B1284" s="24"/>
      <c r="C1284" s="4"/>
      <c r="D1284" s="24"/>
      <c r="E1284" s="24"/>
      <c r="F1284" s="25" t="str">
        <f t="shared" si="77"/>
        <v xml:space="preserve"> </v>
      </c>
      <c r="G1284" s="24"/>
      <c r="H1284" s="25" t="str">
        <f t="shared" si="78"/>
        <v xml:space="preserve"> </v>
      </c>
      <c r="I1284" s="26"/>
      <c r="J1284" s="27" t="str">
        <f t="shared" si="79"/>
        <v xml:space="preserve"> </v>
      </c>
    </row>
    <row r="1285" spans="1:10" x14ac:dyDescent="0.3">
      <c r="A1285" s="23" t="str">
        <f t="shared" ref="A1285:A1348" si="80">IF(C1285&gt;0,RIGHT($D$3,10)," ")</f>
        <v xml:space="preserve"> </v>
      </c>
      <c r="B1285" s="24"/>
      <c r="C1285" s="4"/>
      <c r="D1285" s="24"/>
      <c r="E1285" s="24"/>
      <c r="F1285" s="25" t="str">
        <f t="shared" ref="F1285:F1348" si="81">IF(C1285&gt;0,$C$3," ")</f>
        <v xml:space="preserve"> </v>
      </c>
      <c r="G1285" s="24"/>
      <c r="H1285" s="25" t="str">
        <f t="shared" ref="H1285:H1348" si="82">IF(G1285&gt;0,"Pcs."," ")</f>
        <v xml:space="preserve"> </v>
      </c>
      <c r="I1285" s="26"/>
      <c r="J1285" s="27" t="str">
        <f t="shared" ref="J1285:J1348" si="83">IF(I1285*G1285=0," ",I1285*G1285)</f>
        <v xml:space="preserve"> </v>
      </c>
    </row>
    <row r="1286" spans="1:10" x14ac:dyDescent="0.3">
      <c r="A1286" s="23" t="str">
        <f t="shared" si="80"/>
        <v xml:space="preserve"> </v>
      </c>
      <c r="B1286" s="24"/>
      <c r="C1286" s="4"/>
      <c r="D1286" s="24"/>
      <c r="E1286" s="24"/>
      <c r="F1286" s="25" t="str">
        <f t="shared" si="81"/>
        <v xml:space="preserve"> </v>
      </c>
      <c r="G1286" s="24"/>
      <c r="H1286" s="25" t="str">
        <f t="shared" si="82"/>
        <v xml:space="preserve"> </v>
      </c>
      <c r="I1286" s="26"/>
      <c r="J1286" s="27" t="str">
        <f t="shared" si="83"/>
        <v xml:space="preserve"> </v>
      </c>
    </row>
    <row r="1287" spans="1:10" x14ac:dyDescent="0.3">
      <c r="A1287" s="23" t="str">
        <f t="shared" si="80"/>
        <v xml:space="preserve"> </v>
      </c>
      <c r="B1287" s="24"/>
      <c r="C1287" s="4"/>
      <c r="D1287" s="24"/>
      <c r="E1287" s="24"/>
      <c r="F1287" s="25" t="str">
        <f t="shared" si="81"/>
        <v xml:space="preserve"> </v>
      </c>
      <c r="G1287" s="24"/>
      <c r="H1287" s="25" t="str">
        <f t="shared" si="82"/>
        <v xml:space="preserve"> </v>
      </c>
      <c r="I1287" s="26"/>
      <c r="J1287" s="27" t="str">
        <f t="shared" si="83"/>
        <v xml:space="preserve"> </v>
      </c>
    </row>
    <row r="1288" spans="1:10" x14ac:dyDescent="0.3">
      <c r="A1288" s="23" t="str">
        <f t="shared" si="80"/>
        <v xml:space="preserve"> </v>
      </c>
      <c r="B1288" s="24"/>
      <c r="C1288" s="4"/>
      <c r="D1288" s="24"/>
      <c r="E1288" s="24"/>
      <c r="F1288" s="25" t="str">
        <f t="shared" si="81"/>
        <v xml:space="preserve"> </v>
      </c>
      <c r="G1288" s="24"/>
      <c r="H1288" s="25" t="str">
        <f t="shared" si="82"/>
        <v xml:space="preserve"> </v>
      </c>
      <c r="I1288" s="26"/>
      <c r="J1288" s="27" t="str">
        <f t="shared" si="83"/>
        <v xml:space="preserve"> </v>
      </c>
    </row>
    <row r="1289" spans="1:10" x14ac:dyDescent="0.3">
      <c r="A1289" s="23" t="str">
        <f t="shared" si="80"/>
        <v xml:space="preserve"> </v>
      </c>
      <c r="B1289" s="24"/>
      <c r="C1289" s="4"/>
      <c r="D1289" s="24"/>
      <c r="E1289" s="24"/>
      <c r="F1289" s="25" t="str">
        <f t="shared" si="81"/>
        <v xml:space="preserve"> </v>
      </c>
      <c r="G1289" s="24"/>
      <c r="H1289" s="25" t="str">
        <f t="shared" si="82"/>
        <v xml:space="preserve"> </v>
      </c>
      <c r="I1289" s="26"/>
      <c r="J1289" s="27" t="str">
        <f t="shared" si="83"/>
        <v xml:space="preserve"> </v>
      </c>
    </row>
    <row r="1290" spans="1:10" x14ac:dyDescent="0.3">
      <c r="A1290" s="23" t="str">
        <f t="shared" si="80"/>
        <v xml:space="preserve"> </v>
      </c>
      <c r="B1290" s="24"/>
      <c r="C1290" s="4"/>
      <c r="D1290" s="24"/>
      <c r="E1290" s="24"/>
      <c r="F1290" s="25" t="str">
        <f t="shared" si="81"/>
        <v xml:space="preserve"> </v>
      </c>
      <c r="G1290" s="24"/>
      <c r="H1290" s="25" t="str">
        <f t="shared" si="82"/>
        <v xml:space="preserve"> </v>
      </c>
      <c r="I1290" s="26"/>
      <c r="J1290" s="27" t="str">
        <f t="shared" si="83"/>
        <v xml:space="preserve"> </v>
      </c>
    </row>
    <row r="1291" spans="1:10" x14ac:dyDescent="0.3">
      <c r="A1291" s="23" t="str">
        <f t="shared" si="80"/>
        <v xml:space="preserve"> </v>
      </c>
      <c r="B1291" s="24"/>
      <c r="C1291" s="4"/>
      <c r="D1291" s="24"/>
      <c r="E1291" s="24"/>
      <c r="F1291" s="25" t="str">
        <f t="shared" si="81"/>
        <v xml:space="preserve"> </v>
      </c>
      <c r="G1291" s="24"/>
      <c r="H1291" s="25" t="str">
        <f t="shared" si="82"/>
        <v xml:space="preserve"> </v>
      </c>
      <c r="I1291" s="26"/>
      <c r="J1291" s="27" t="str">
        <f t="shared" si="83"/>
        <v xml:space="preserve"> </v>
      </c>
    </row>
    <row r="1292" spans="1:10" x14ac:dyDescent="0.3">
      <c r="A1292" s="23" t="str">
        <f t="shared" si="80"/>
        <v xml:space="preserve"> </v>
      </c>
      <c r="B1292" s="24"/>
      <c r="C1292" s="4"/>
      <c r="D1292" s="24"/>
      <c r="E1292" s="24"/>
      <c r="F1292" s="25" t="str">
        <f t="shared" si="81"/>
        <v xml:space="preserve"> </v>
      </c>
      <c r="G1292" s="24"/>
      <c r="H1292" s="25" t="str">
        <f t="shared" si="82"/>
        <v xml:space="preserve"> </v>
      </c>
      <c r="I1292" s="26"/>
      <c r="J1292" s="27" t="str">
        <f t="shared" si="83"/>
        <v xml:space="preserve"> </v>
      </c>
    </row>
    <row r="1293" spans="1:10" x14ac:dyDescent="0.3">
      <c r="A1293" s="23" t="str">
        <f t="shared" si="80"/>
        <v xml:space="preserve"> </v>
      </c>
      <c r="B1293" s="24"/>
      <c r="C1293" s="4"/>
      <c r="D1293" s="24"/>
      <c r="E1293" s="24"/>
      <c r="F1293" s="25" t="str">
        <f t="shared" si="81"/>
        <v xml:space="preserve"> </v>
      </c>
      <c r="G1293" s="24"/>
      <c r="H1293" s="25" t="str">
        <f t="shared" si="82"/>
        <v xml:space="preserve"> </v>
      </c>
      <c r="I1293" s="26"/>
      <c r="J1293" s="27" t="str">
        <f t="shared" si="83"/>
        <v xml:space="preserve"> </v>
      </c>
    </row>
    <row r="1294" spans="1:10" x14ac:dyDescent="0.3">
      <c r="A1294" s="23" t="str">
        <f t="shared" si="80"/>
        <v xml:space="preserve"> </v>
      </c>
      <c r="B1294" s="24"/>
      <c r="C1294" s="4"/>
      <c r="D1294" s="24"/>
      <c r="E1294" s="24"/>
      <c r="F1294" s="25" t="str">
        <f t="shared" si="81"/>
        <v xml:space="preserve"> </v>
      </c>
      <c r="G1294" s="24"/>
      <c r="H1294" s="25" t="str">
        <f t="shared" si="82"/>
        <v xml:space="preserve"> </v>
      </c>
      <c r="I1294" s="26"/>
      <c r="J1294" s="27" t="str">
        <f t="shared" si="83"/>
        <v xml:space="preserve"> </v>
      </c>
    </row>
    <row r="1295" spans="1:10" x14ac:dyDescent="0.3">
      <c r="A1295" s="23" t="str">
        <f t="shared" si="80"/>
        <v xml:space="preserve"> </v>
      </c>
      <c r="B1295" s="24"/>
      <c r="C1295" s="4"/>
      <c r="D1295" s="24"/>
      <c r="E1295" s="24"/>
      <c r="F1295" s="25" t="str">
        <f t="shared" si="81"/>
        <v xml:space="preserve"> </v>
      </c>
      <c r="G1295" s="24"/>
      <c r="H1295" s="25" t="str">
        <f t="shared" si="82"/>
        <v xml:space="preserve"> </v>
      </c>
      <c r="I1295" s="26"/>
      <c r="J1295" s="27" t="str">
        <f t="shared" si="83"/>
        <v xml:space="preserve"> </v>
      </c>
    </row>
    <row r="1296" spans="1:10" x14ac:dyDescent="0.3">
      <c r="A1296" s="23" t="str">
        <f t="shared" si="80"/>
        <v xml:space="preserve"> </v>
      </c>
      <c r="B1296" s="24"/>
      <c r="C1296" s="4"/>
      <c r="D1296" s="24"/>
      <c r="E1296" s="24"/>
      <c r="F1296" s="25" t="str">
        <f t="shared" si="81"/>
        <v xml:space="preserve"> </v>
      </c>
      <c r="G1296" s="24"/>
      <c r="H1296" s="25" t="str">
        <f t="shared" si="82"/>
        <v xml:space="preserve"> </v>
      </c>
      <c r="I1296" s="26"/>
      <c r="J1296" s="27" t="str">
        <f t="shared" si="83"/>
        <v xml:space="preserve"> </v>
      </c>
    </row>
    <row r="1297" spans="1:10" x14ac:dyDescent="0.3">
      <c r="A1297" s="23" t="str">
        <f t="shared" si="80"/>
        <v xml:space="preserve"> </v>
      </c>
      <c r="B1297" s="24"/>
      <c r="C1297" s="4"/>
      <c r="D1297" s="24"/>
      <c r="E1297" s="24"/>
      <c r="F1297" s="25" t="str">
        <f t="shared" si="81"/>
        <v xml:space="preserve"> </v>
      </c>
      <c r="G1297" s="24"/>
      <c r="H1297" s="25" t="str">
        <f t="shared" si="82"/>
        <v xml:space="preserve"> </v>
      </c>
      <c r="I1297" s="26"/>
      <c r="J1297" s="27" t="str">
        <f t="shared" si="83"/>
        <v xml:space="preserve"> </v>
      </c>
    </row>
    <row r="1298" spans="1:10" x14ac:dyDescent="0.3">
      <c r="A1298" s="23" t="str">
        <f t="shared" si="80"/>
        <v xml:space="preserve"> </v>
      </c>
      <c r="B1298" s="24"/>
      <c r="C1298" s="4"/>
      <c r="D1298" s="24"/>
      <c r="E1298" s="24"/>
      <c r="F1298" s="25" t="str">
        <f t="shared" si="81"/>
        <v xml:space="preserve"> </v>
      </c>
      <c r="G1298" s="24"/>
      <c r="H1298" s="25" t="str">
        <f t="shared" si="82"/>
        <v xml:space="preserve"> </v>
      </c>
      <c r="I1298" s="26"/>
      <c r="J1298" s="27" t="str">
        <f t="shared" si="83"/>
        <v xml:space="preserve"> </v>
      </c>
    </row>
    <row r="1299" spans="1:10" x14ac:dyDescent="0.3">
      <c r="A1299" s="23" t="str">
        <f t="shared" si="80"/>
        <v xml:space="preserve"> </v>
      </c>
      <c r="B1299" s="24"/>
      <c r="C1299" s="4"/>
      <c r="D1299" s="24"/>
      <c r="E1299" s="24"/>
      <c r="F1299" s="25" t="str">
        <f t="shared" si="81"/>
        <v xml:space="preserve"> </v>
      </c>
      <c r="G1299" s="24"/>
      <c r="H1299" s="25" t="str">
        <f t="shared" si="82"/>
        <v xml:space="preserve"> </v>
      </c>
      <c r="I1299" s="26"/>
      <c r="J1299" s="27" t="str">
        <f t="shared" si="83"/>
        <v xml:space="preserve"> </v>
      </c>
    </row>
    <row r="1300" spans="1:10" x14ac:dyDescent="0.3">
      <c r="A1300" s="23" t="str">
        <f t="shared" si="80"/>
        <v xml:space="preserve"> </v>
      </c>
      <c r="B1300" s="24"/>
      <c r="C1300" s="4"/>
      <c r="D1300" s="24"/>
      <c r="E1300" s="24"/>
      <c r="F1300" s="25" t="str">
        <f t="shared" si="81"/>
        <v xml:space="preserve"> </v>
      </c>
      <c r="G1300" s="24"/>
      <c r="H1300" s="25" t="str">
        <f t="shared" si="82"/>
        <v xml:space="preserve"> </v>
      </c>
      <c r="I1300" s="26"/>
      <c r="J1300" s="27" t="str">
        <f t="shared" si="83"/>
        <v xml:space="preserve"> </v>
      </c>
    </row>
    <row r="1301" spans="1:10" x14ac:dyDescent="0.3">
      <c r="A1301" s="23" t="str">
        <f t="shared" si="80"/>
        <v xml:space="preserve"> </v>
      </c>
      <c r="B1301" s="24"/>
      <c r="C1301" s="4"/>
      <c r="D1301" s="24"/>
      <c r="E1301" s="24"/>
      <c r="F1301" s="25" t="str">
        <f t="shared" si="81"/>
        <v xml:space="preserve"> </v>
      </c>
      <c r="G1301" s="24"/>
      <c r="H1301" s="25" t="str">
        <f t="shared" si="82"/>
        <v xml:space="preserve"> </v>
      </c>
      <c r="I1301" s="26"/>
      <c r="J1301" s="27" t="str">
        <f t="shared" si="83"/>
        <v xml:space="preserve"> </v>
      </c>
    </row>
    <row r="1302" spans="1:10" x14ac:dyDescent="0.3">
      <c r="A1302" s="23" t="str">
        <f t="shared" si="80"/>
        <v xml:space="preserve"> </v>
      </c>
      <c r="B1302" s="24"/>
      <c r="C1302" s="4"/>
      <c r="D1302" s="24"/>
      <c r="E1302" s="24"/>
      <c r="F1302" s="25" t="str">
        <f t="shared" si="81"/>
        <v xml:space="preserve"> </v>
      </c>
      <c r="G1302" s="24"/>
      <c r="H1302" s="25" t="str">
        <f t="shared" si="82"/>
        <v xml:space="preserve"> </v>
      </c>
      <c r="I1302" s="26"/>
      <c r="J1302" s="27" t="str">
        <f t="shared" si="83"/>
        <v xml:space="preserve"> </v>
      </c>
    </row>
    <row r="1303" spans="1:10" x14ac:dyDescent="0.3">
      <c r="A1303" s="23" t="str">
        <f t="shared" si="80"/>
        <v xml:space="preserve"> </v>
      </c>
      <c r="B1303" s="24"/>
      <c r="C1303" s="4"/>
      <c r="D1303" s="24"/>
      <c r="E1303" s="24"/>
      <c r="F1303" s="25" t="str">
        <f t="shared" si="81"/>
        <v xml:space="preserve"> </v>
      </c>
      <c r="G1303" s="24"/>
      <c r="H1303" s="25" t="str">
        <f t="shared" si="82"/>
        <v xml:space="preserve"> </v>
      </c>
      <c r="I1303" s="26"/>
      <c r="J1303" s="27" t="str">
        <f t="shared" si="83"/>
        <v xml:space="preserve"> </v>
      </c>
    </row>
    <row r="1304" spans="1:10" x14ac:dyDescent="0.3">
      <c r="A1304" s="23" t="str">
        <f t="shared" si="80"/>
        <v xml:space="preserve"> </v>
      </c>
      <c r="B1304" s="24"/>
      <c r="C1304" s="4"/>
      <c r="D1304" s="24"/>
      <c r="E1304" s="24"/>
      <c r="F1304" s="25" t="str">
        <f t="shared" si="81"/>
        <v xml:space="preserve"> </v>
      </c>
      <c r="G1304" s="24"/>
      <c r="H1304" s="25" t="str">
        <f t="shared" si="82"/>
        <v xml:space="preserve"> </v>
      </c>
      <c r="I1304" s="26"/>
      <c r="J1304" s="27" t="str">
        <f t="shared" si="83"/>
        <v xml:space="preserve"> </v>
      </c>
    </row>
    <row r="1305" spans="1:10" x14ac:dyDescent="0.3">
      <c r="A1305" s="23" t="str">
        <f t="shared" si="80"/>
        <v xml:space="preserve"> </v>
      </c>
      <c r="B1305" s="24"/>
      <c r="C1305" s="4"/>
      <c r="D1305" s="24"/>
      <c r="E1305" s="24"/>
      <c r="F1305" s="25" t="str">
        <f t="shared" si="81"/>
        <v xml:space="preserve"> </v>
      </c>
      <c r="G1305" s="24"/>
      <c r="H1305" s="25" t="str">
        <f t="shared" si="82"/>
        <v xml:space="preserve"> </v>
      </c>
      <c r="I1305" s="26"/>
      <c r="J1305" s="27" t="str">
        <f t="shared" si="83"/>
        <v xml:space="preserve"> </v>
      </c>
    </row>
    <row r="1306" spans="1:10" x14ac:dyDescent="0.3">
      <c r="A1306" s="23" t="str">
        <f t="shared" si="80"/>
        <v xml:space="preserve"> </v>
      </c>
      <c r="B1306" s="24"/>
      <c r="C1306" s="4"/>
      <c r="D1306" s="24"/>
      <c r="E1306" s="24"/>
      <c r="F1306" s="25" t="str">
        <f t="shared" si="81"/>
        <v xml:space="preserve"> </v>
      </c>
      <c r="G1306" s="24"/>
      <c r="H1306" s="25" t="str">
        <f t="shared" si="82"/>
        <v xml:space="preserve"> </v>
      </c>
      <c r="I1306" s="26"/>
      <c r="J1306" s="27" t="str">
        <f t="shared" si="83"/>
        <v xml:space="preserve"> </v>
      </c>
    </row>
    <row r="1307" spans="1:10" x14ac:dyDescent="0.3">
      <c r="A1307" s="23" t="str">
        <f t="shared" si="80"/>
        <v xml:space="preserve"> </v>
      </c>
      <c r="B1307" s="24"/>
      <c r="C1307" s="4"/>
      <c r="D1307" s="24"/>
      <c r="E1307" s="24"/>
      <c r="F1307" s="25" t="str">
        <f t="shared" si="81"/>
        <v xml:space="preserve"> </v>
      </c>
      <c r="G1307" s="24"/>
      <c r="H1307" s="25" t="str">
        <f t="shared" si="82"/>
        <v xml:space="preserve"> </v>
      </c>
      <c r="I1307" s="26"/>
      <c r="J1307" s="27" t="str">
        <f t="shared" si="83"/>
        <v xml:space="preserve"> </v>
      </c>
    </row>
    <row r="1308" spans="1:10" x14ac:dyDescent="0.3">
      <c r="A1308" s="23" t="str">
        <f t="shared" si="80"/>
        <v xml:space="preserve"> </v>
      </c>
      <c r="B1308" s="24"/>
      <c r="C1308" s="4"/>
      <c r="D1308" s="24"/>
      <c r="E1308" s="24"/>
      <c r="F1308" s="25" t="str">
        <f t="shared" si="81"/>
        <v xml:space="preserve"> </v>
      </c>
      <c r="G1308" s="24"/>
      <c r="H1308" s="25" t="str">
        <f t="shared" si="82"/>
        <v xml:space="preserve"> </v>
      </c>
      <c r="I1308" s="26"/>
      <c r="J1308" s="27" t="str">
        <f t="shared" si="83"/>
        <v xml:space="preserve"> </v>
      </c>
    </row>
    <row r="1309" spans="1:10" x14ac:dyDescent="0.3">
      <c r="A1309" s="23" t="str">
        <f t="shared" si="80"/>
        <v xml:space="preserve"> </v>
      </c>
      <c r="B1309" s="24"/>
      <c r="C1309" s="4"/>
      <c r="D1309" s="24"/>
      <c r="E1309" s="24"/>
      <c r="F1309" s="25" t="str">
        <f t="shared" si="81"/>
        <v xml:space="preserve"> </v>
      </c>
      <c r="G1309" s="24"/>
      <c r="H1309" s="25" t="str">
        <f t="shared" si="82"/>
        <v xml:space="preserve"> </v>
      </c>
      <c r="I1309" s="26"/>
      <c r="J1309" s="27" t="str">
        <f t="shared" si="83"/>
        <v xml:space="preserve"> </v>
      </c>
    </row>
    <row r="1310" spans="1:10" x14ac:dyDescent="0.3">
      <c r="A1310" s="23" t="str">
        <f t="shared" si="80"/>
        <v xml:space="preserve"> </v>
      </c>
      <c r="B1310" s="24"/>
      <c r="C1310" s="4"/>
      <c r="D1310" s="24"/>
      <c r="E1310" s="24"/>
      <c r="F1310" s="25" t="str">
        <f t="shared" si="81"/>
        <v xml:space="preserve"> </v>
      </c>
      <c r="G1310" s="24"/>
      <c r="H1310" s="25" t="str">
        <f t="shared" si="82"/>
        <v xml:space="preserve"> </v>
      </c>
      <c r="I1310" s="26"/>
      <c r="J1310" s="27" t="str">
        <f t="shared" si="83"/>
        <v xml:space="preserve"> </v>
      </c>
    </row>
    <row r="1311" spans="1:10" x14ac:dyDescent="0.3">
      <c r="A1311" s="23" t="str">
        <f t="shared" si="80"/>
        <v xml:space="preserve"> </v>
      </c>
      <c r="B1311" s="24"/>
      <c r="C1311" s="4"/>
      <c r="D1311" s="24"/>
      <c r="E1311" s="24"/>
      <c r="F1311" s="25" t="str">
        <f t="shared" si="81"/>
        <v xml:space="preserve"> </v>
      </c>
      <c r="G1311" s="24"/>
      <c r="H1311" s="25" t="str">
        <f t="shared" si="82"/>
        <v xml:space="preserve"> </v>
      </c>
      <c r="I1311" s="26"/>
      <c r="J1311" s="27" t="str">
        <f t="shared" si="83"/>
        <v xml:space="preserve"> </v>
      </c>
    </row>
    <row r="1312" spans="1:10" x14ac:dyDescent="0.3">
      <c r="A1312" s="23" t="str">
        <f t="shared" si="80"/>
        <v xml:space="preserve"> </v>
      </c>
      <c r="B1312" s="24"/>
      <c r="C1312" s="4"/>
      <c r="D1312" s="24"/>
      <c r="E1312" s="24"/>
      <c r="F1312" s="25" t="str">
        <f t="shared" si="81"/>
        <v xml:space="preserve"> </v>
      </c>
      <c r="G1312" s="24"/>
      <c r="H1312" s="25" t="str">
        <f t="shared" si="82"/>
        <v xml:space="preserve"> </v>
      </c>
      <c r="I1312" s="26"/>
      <c r="J1312" s="27" t="str">
        <f t="shared" si="83"/>
        <v xml:space="preserve"> </v>
      </c>
    </row>
    <row r="1313" spans="1:10" x14ac:dyDescent="0.3">
      <c r="A1313" s="23" t="str">
        <f t="shared" si="80"/>
        <v xml:space="preserve"> </v>
      </c>
      <c r="B1313" s="24"/>
      <c r="C1313" s="4"/>
      <c r="D1313" s="24"/>
      <c r="E1313" s="24"/>
      <c r="F1313" s="25" t="str">
        <f t="shared" si="81"/>
        <v xml:space="preserve"> </v>
      </c>
      <c r="G1313" s="24"/>
      <c r="H1313" s="25" t="str">
        <f t="shared" si="82"/>
        <v xml:space="preserve"> </v>
      </c>
      <c r="I1313" s="26"/>
      <c r="J1313" s="27" t="str">
        <f t="shared" si="83"/>
        <v xml:space="preserve"> </v>
      </c>
    </row>
    <row r="1314" spans="1:10" x14ac:dyDescent="0.3">
      <c r="A1314" s="23" t="str">
        <f t="shared" si="80"/>
        <v xml:space="preserve"> </v>
      </c>
      <c r="B1314" s="24"/>
      <c r="C1314" s="4"/>
      <c r="D1314" s="24"/>
      <c r="E1314" s="24"/>
      <c r="F1314" s="25" t="str">
        <f t="shared" si="81"/>
        <v xml:space="preserve"> </v>
      </c>
      <c r="G1314" s="24"/>
      <c r="H1314" s="25" t="str">
        <f t="shared" si="82"/>
        <v xml:space="preserve"> </v>
      </c>
      <c r="I1314" s="26"/>
      <c r="J1314" s="27" t="str">
        <f t="shared" si="83"/>
        <v xml:space="preserve"> </v>
      </c>
    </row>
    <row r="1315" spans="1:10" x14ac:dyDescent="0.3">
      <c r="A1315" s="23" t="str">
        <f t="shared" si="80"/>
        <v xml:space="preserve"> </v>
      </c>
      <c r="B1315" s="24"/>
      <c r="C1315" s="4"/>
      <c r="D1315" s="24"/>
      <c r="E1315" s="24"/>
      <c r="F1315" s="25" t="str">
        <f t="shared" si="81"/>
        <v xml:space="preserve"> </v>
      </c>
      <c r="G1315" s="24"/>
      <c r="H1315" s="25" t="str">
        <f t="shared" si="82"/>
        <v xml:space="preserve"> </v>
      </c>
      <c r="I1315" s="26"/>
      <c r="J1315" s="27" t="str">
        <f t="shared" si="83"/>
        <v xml:space="preserve"> </v>
      </c>
    </row>
    <row r="1316" spans="1:10" x14ac:dyDescent="0.3">
      <c r="A1316" s="23" t="str">
        <f t="shared" si="80"/>
        <v xml:space="preserve"> </v>
      </c>
      <c r="B1316" s="24"/>
      <c r="C1316" s="4"/>
      <c r="D1316" s="24"/>
      <c r="E1316" s="24"/>
      <c r="F1316" s="25" t="str">
        <f t="shared" si="81"/>
        <v xml:space="preserve"> </v>
      </c>
      <c r="G1316" s="24"/>
      <c r="H1316" s="25" t="str">
        <f t="shared" si="82"/>
        <v xml:space="preserve"> </v>
      </c>
      <c r="I1316" s="26"/>
      <c r="J1316" s="27" t="str">
        <f t="shared" si="83"/>
        <v xml:space="preserve"> </v>
      </c>
    </row>
    <row r="1317" spans="1:10" x14ac:dyDescent="0.3">
      <c r="A1317" s="23" t="str">
        <f t="shared" si="80"/>
        <v xml:space="preserve"> </v>
      </c>
      <c r="B1317" s="24"/>
      <c r="C1317" s="4"/>
      <c r="D1317" s="24"/>
      <c r="E1317" s="24"/>
      <c r="F1317" s="25" t="str">
        <f t="shared" si="81"/>
        <v xml:space="preserve"> </v>
      </c>
      <c r="G1317" s="24"/>
      <c r="H1317" s="25" t="str">
        <f t="shared" si="82"/>
        <v xml:space="preserve"> </v>
      </c>
      <c r="I1317" s="26"/>
      <c r="J1317" s="27" t="str">
        <f t="shared" si="83"/>
        <v xml:space="preserve"> </v>
      </c>
    </row>
    <row r="1318" spans="1:10" x14ac:dyDescent="0.3">
      <c r="A1318" s="23" t="str">
        <f t="shared" si="80"/>
        <v xml:space="preserve"> </v>
      </c>
      <c r="B1318" s="24"/>
      <c r="C1318" s="4"/>
      <c r="D1318" s="24"/>
      <c r="E1318" s="24"/>
      <c r="F1318" s="25" t="str">
        <f t="shared" si="81"/>
        <v xml:space="preserve"> </v>
      </c>
      <c r="G1318" s="24"/>
      <c r="H1318" s="25" t="str">
        <f t="shared" si="82"/>
        <v xml:space="preserve"> </v>
      </c>
      <c r="I1318" s="26"/>
      <c r="J1318" s="27" t="str">
        <f t="shared" si="83"/>
        <v xml:space="preserve"> </v>
      </c>
    </row>
    <row r="1319" spans="1:10" x14ac:dyDescent="0.3">
      <c r="A1319" s="23" t="str">
        <f t="shared" si="80"/>
        <v xml:space="preserve"> </v>
      </c>
      <c r="B1319" s="24"/>
      <c r="C1319" s="4"/>
      <c r="D1319" s="24"/>
      <c r="E1319" s="24"/>
      <c r="F1319" s="25" t="str">
        <f t="shared" si="81"/>
        <v xml:space="preserve"> </v>
      </c>
      <c r="G1319" s="24"/>
      <c r="H1319" s="25" t="str">
        <f t="shared" si="82"/>
        <v xml:space="preserve"> </v>
      </c>
      <c r="I1319" s="26"/>
      <c r="J1319" s="27" t="str">
        <f t="shared" si="83"/>
        <v xml:space="preserve"> </v>
      </c>
    </row>
    <row r="1320" spans="1:10" x14ac:dyDescent="0.3">
      <c r="A1320" s="23" t="str">
        <f t="shared" si="80"/>
        <v xml:space="preserve"> </v>
      </c>
      <c r="B1320" s="24"/>
      <c r="C1320" s="4"/>
      <c r="D1320" s="24"/>
      <c r="E1320" s="24"/>
      <c r="F1320" s="25" t="str">
        <f t="shared" si="81"/>
        <v xml:space="preserve"> </v>
      </c>
      <c r="G1320" s="24"/>
      <c r="H1320" s="25" t="str">
        <f t="shared" si="82"/>
        <v xml:space="preserve"> </v>
      </c>
      <c r="I1320" s="26"/>
      <c r="J1320" s="27" t="str">
        <f t="shared" si="83"/>
        <v xml:space="preserve"> </v>
      </c>
    </row>
    <row r="1321" spans="1:10" x14ac:dyDescent="0.3">
      <c r="A1321" s="23" t="str">
        <f t="shared" si="80"/>
        <v xml:space="preserve"> </v>
      </c>
      <c r="B1321" s="24"/>
      <c r="C1321" s="4"/>
      <c r="D1321" s="24"/>
      <c r="E1321" s="24"/>
      <c r="F1321" s="25" t="str">
        <f t="shared" si="81"/>
        <v xml:space="preserve"> </v>
      </c>
      <c r="G1321" s="24"/>
      <c r="H1321" s="25" t="str">
        <f t="shared" si="82"/>
        <v xml:space="preserve"> </v>
      </c>
      <c r="I1321" s="26"/>
      <c r="J1321" s="27" t="str">
        <f t="shared" si="83"/>
        <v xml:space="preserve"> </v>
      </c>
    </row>
    <row r="1322" spans="1:10" x14ac:dyDescent="0.3">
      <c r="A1322" s="23" t="str">
        <f t="shared" si="80"/>
        <v xml:space="preserve"> </v>
      </c>
      <c r="B1322" s="24"/>
      <c r="C1322" s="4"/>
      <c r="D1322" s="24"/>
      <c r="E1322" s="24"/>
      <c r="F1322" s="25" t="str">
        <f t="shared" si="81"/>
        <v xml:space="preserve"> </v>
      </c>
      <c r="G1322" s="24"/>
      <c r="H1322" s="25" t="str">
        <f t="shared" si="82"/>
        <v xml:space="preserve"> </v>
      </c>
      <c r="I1322" s="26"/>
      <c r="J1322" s="27" t="str">
        <f t="shared" si="83"/>
        <v xml:space="preserve"> </v>
      </c>
    </row>
    <row r="1323" spans="1:10" x14ac:dyDescent="0.3">
      <c r="A1323" s="23" t="str">
        <f t="shared" si="80"/>
        <v xml:space="preserve"> </v>
      </c>
      <c r="B1323" s="24"/>
      <c r="C1323" s="4"/>
      <c r="D1323" s="24"/>
      <c r="E1323" s="24"/>
      <c r="F1323" s="25" t="str">
        <f t="shared" si="81"/>
        <v xml:space="preserve"> </v>
      </c>
      <c r="G1323" s="24"/>
      <c r="H1323" s="25" t="str">
        <f t="shared" si="82"/>
        <v xml:space="preserve"> </v>
      </c>
      <c r="I1323" s="26"/>
      <c r="J1323" s="27" t="str">
        <f t="shared" si="83"/>
        <v xml:space="preserve"> </v>
      </c>
    </row>
    <row r="1324" spans="1:10" x14ac:dyDescent="0.3">
      <c r="A1324" s="23" t="str">
        <f t="shared" si="80"/>
        <v xml:space="preserve"> </v>
      </c>
      <c r="B1324" s="24"/>
      <c r="C1324" s="4"/>
      <c r="D1324" s="24"/>
      <c r="E1324" s="24"/>
      <c r="F1324" s="25" t="str">
        <f t="shared" si="81"/>
        <v xml:space="preserve"> </v>
      </c>
      <c r="G1324" s="24"/>
      <c r="H1324" s="25" t="str">
        <f t="shared" si="82"/>
        <v xml:space="preserve"> </v>
      </c>
      <c r="I1324" s="26"/>
      <c r="J1324" s="27" t="str">
        <f t="shared" si="83"/>
        <v xml:space="preserve"> </v>
      </c>
    </row>
    <row r="1325" spans="1:10" x14ac:dyDescent="0.3">
      <c r="A1325" s="23" t="str">
        <f t="shared" si="80"/>
        <v xml:space="preserve"> </v>
      </c>
      <c r="B1325" s="24"/>
      <c r="C1325" s="4"/>
      <c r="D1325" s="24"/>
      <c r="E1325" s="24"/>
      <c r="F1325" s="25" t="str">
        <f t="shared" si="81"/>
        <v xml:space="preserve"> </v>
      </c>
      <c r="G1325" s="24"/>
      <c r="H1325" s="25" t="str">
        <f t="shared" si="82"/>
        <v xml:space="preserve"> </v>
      </c>
      <c r="I1325" s="26"/>
      <c r="J1325" s="27" t="str">
        <f t="shared" si="83"/>
        <v xml:space="preserve"> </v>
      </c>
    </row>
    <row r="1326" spans="1:10" x14ac:dyDescent="0.3">
      <c r="A1326" s="23" t="str">
        <f t="shared" si="80"/>
        <v xml:space="preserve"> </v>
      </c>
      <c r="B1326" s="24"/>
      <c r="C1326" s="4"/>
      <c r="D1326" s="24"/>
      <c r="E1326" s="24"/>
      <c r="F1326" s="25" t="str">
        <f t="shared" si="81"/>
        <v xml:space="preserve"> </v>
      </c>
      <c r="G1326" s="24"/>
      <c r="H1326" s="25" t="str">
        <f t="shared" si="82"/>
        <v xml:space="preserve"> </v>
      </c>
      <c r="I1326" s="26"/>
      <c r="J1326" s="27" t="str">
        <f t="shared" si="83"/>
        <v xml:space="preserve"> </v>
      </c>
    </row>
    <row r="1327" spans="1:10" x14ac:dyDescent="0.3">
      <c r="A1327" s="23" t="str">
        <f t="shared" si="80"/>
        <v xml:space="preserve"> </v>
      </c>
      <c r="B1327" s="24"/>
      <c r="C1327" s="4"/>
      <c r="D1327" s="24"/>
      <c r="E1327" s="24"/>
      <c r="F1327" s="25" t="str">
        <f t="shared" si="81"/>
        <v xml:space="preserve"> </v>
      </c>
      <c r="G1327" s="24"/>
      <c r="H1327" s="25" t="str">
        <f t="shared" si="82"/>
        <v xml:space="preserve"> </v>
      </c>
      <c r="I1327" s="26"/>
      <c r="J1327" s="27" t="str">
        <f t="shared" si="83"/>
        <v xml:space="preserve"> </v>
      </c>
    </row>
    <row r="1328" spans="1:10" x14ac:dyDescent="0.3">
      <c r="A1328" s="23" t="str">
        <f t="shared" si="80"/>
        <v xml:space="preserve"> </v>
      </c>
      <c r="B1328" s="24"/>
      <c r="C1328" s="4"/>
      <c r="D1328" s="24"/>
      <c r="E1328" s="24"/>
      <c r="F1328" s="25" t="str">
        <f t="shared" si="81"/>
        <v xml:space="preserve"> </v>
      </c>
      <c r="G1328" s="24"/>
      <c r="H1328" s="25" t="str">
        <f t="shared" si="82"/>
        <v xml:space="preserve"> </v>
      </c>
      <c r="I1328" s="26"/>
      <c r="J1328" s="27" t="str">
        <f t="shared" si="83"/>
        <v xml:space="preserve"> </v>
      </c>
    </row>
    <row r="1329" spans="1:10" x14ac:dyDescent="0.3">
      <c r="A1329" s="23" t="str">
        <f t="shared" si="80"/>
        <v xml:space="preserve"> </v>
      </c>
      <c r="B1329" s="24"/>
      <c r="C1329" s="4"/>
      <c r="D1329" s="24"/>
      <c r="E1329" s="24"/>
      <c r="F1329" s="25" t="str">
        <f t="shared" si="81"/>
        <v xml:space="preserve"> </v>
      </c>
      <c r="G1329" s="24"/>
      <c r="H1329" s="25" t="str">
        <f t="shared" si="82"/>
        <v xml:space="preserve"> </v>
      </c>
      <c r="I1329" s="26"/>
      <c r="J1329" s="27" t="str">
        <f t="shared" si="83"/>
        <v xml:space="preserve"> </v>
      </c>
    </row>
    <row r="1330" spans="1:10" x14ac:dyDescent="0.3">
      <c r="A1330" s="23" t="str">
        <f t="shared" si="80"/>
        <v xml:space="preserve"> </v>
      </c>
      <c r="B1330" s="24"/>
      <c r="C1330" s="4"/>
      <c r="D1330" s="24"/>
      <c r="E1330" s="24"/>
      <c r="F1330" s="25" t="str">
        <f t="shared" si="81"/>
        <v xml:space="preserve"> </v>
      </c>
      <c r="G1330" s="24"/>
      <c r="H1330" s="25" t="str">
        <f t="shared" si="82"/>
        <v xml:space="preserve"> </v>
      </c>
      <c r="I1330" s="26"/>
      <c r="J1330" s="27" t="str">
        <f t="shared" si="83"/>
        <v xml:space="preserve"> </v>
      </c>
    </row>
    <row r="1331" spans="1:10" x14ac:dyDescent="0.3">
      <c r="A1331" s="23" t="str">
        <f t="shared" si="80"/>
        <v xml:space="preserve"> </v>
      </c>
      <c r="B1331" s="24"/>
      <c r="C1331" s="4"/>
      <c r="D1331" s="24"/>
      <c r="E1331" s="24"/>
      <c r="F1331" s="25" t="str">
        <f t="shared" si="81"/>
        <v xml:space="preserve"> </v>
      </c>
      <c r="G1331" s="24"/>
      <c r="H1331" s="25" t="str">
        <f t="shared" si="82"/>
        <v xml:space="preserve"> </v>
      </c>
      <c r="I1331" s="26"/>
      <c r="J1331" s="27" t="str">
        <f t="shared" si="83"/>
        <v xml:space="preserve"> </v>
      </c>
    </row>
    <row r="1332" spans="1:10" x14ac:dyDescent="0.3">
      <c r="A1332" s="23" t="str">
        <f t="shared" si="80"/>
        <v xml:space="preserve"> </v>
      </c>
      <c r="B1332" s="24"/>
      <c r="C1332" s="4"/>
      <c r="D1332" s="24"/>
      <c r="E1332" s="24"/>
      <c r="F1332" s="25" t="str">
        <f t="shared" si="81"/>
        <v xml:space="preserve"> </v>
      </c>
      <c r="G1332" s="24"/>
      <c r="H1332" s="25" t="str">
        <f t="shared" si="82"/>
        <v xml:space="preserve"> </v>
      </c>
      <c r="I1332" s="26"/>
      <c r="J1332" s="27" t="str">
        <f t="shared" si="83"/>
        <v xml:space="preserve"> </v>
      </c>
    </row>
    <row r="1333" spans="1:10" x14ac:dyDescent="0.3">
      <c r="A1333" s="23" t="str">
        <f t="shared" si="80"/>
        <v xml:space="preserve"> </v>
      </c>
      <c r="B1333" s="24"/>
      <c r="C1333" s="4"/>
      <c r="D1333" s="24"/>
      <c r="E1333" s="24"/>
      <c r="F1333" s="25" t="str">
        <f t="shared" si="81"/>
        <v xml:space="preserve"> </v>
      </c>
      <c r="G1333" s="24"/>
      <c r="H1333" s="25" t="str">
        <f t="shared" si="82"/>
        <v xml:space="preserve"> </v>
      </c>
      <c r="I1333" s="26"/>
      <c r="J1333" s="27" t="str">
        <f t="shared" si="83"/>
        <v xml:space="preserve"> </v>
      </c>
    </row>
    <row r="1334" spans="1:10" x14ac:dyDescent="0.3">
      <c r="A1334" s="23" t="str">
        <f t="shared" si="80"/>
        <v xml:space="preserve"> </v>
      </c>
      <c r="B1334" s="24"/>
      <c r="C1334" s="4"/>
      <c r="D1334" s="24"/>
      <c r="E1334" s="24"/>
      <c r="F1334" s="25" t="str">
        <f t="shared" si="81"/>
        <v xml:space="preserve"> </v>
      </c>
      <c r="G1334" s="24"/>
      <c r="H1334" s="25" t="str">
        <f t="shared" si="82"/>
        <v xml:space="preserve"> </v>
      </c>
      <c r="I1334" s="26"/>
      <c r="J1334" s="27" t="str">
        <f t="shared" si="83"/>
        <v xml:space="preserve"> </v>
      </c>
    </row>
    <row r="1335" spans="1:10" x14ac:dyDescent="0.3">
      <c r="A1335" s="23" t="str">
        <f t="shared" si="80"/>
        <v xml:space="preserve"> </v>
      </c>
      <c r="B1335" s="24"/>
      <c r="C1335" s="4"/>
      <c r="D1335" s="24"/>
      <c r="E1335" s="24"/>
      <c r="F1335" s="25" t="str">
        <f t="shared" si="81"/>
        <v xml:space="preserve"> </v>
      </c>
      <c r="G1335" s="24"/>
      <c r="H1335" s="25" t="str">
        <f t="shared" si="82"/>
        <v xml:space="preserve"> </v>
      </c>
      <c r="I1335" s="26"/>
      <c r="J1335" s="27" t="str">
        <f t="shared" si="83"/>
        <v xml:space="preserve"> </v>
      </c>
    </row>
    <row r="1336" spans="1:10" x14ac:dyDescent="0.3">
      <c r="A1336" s="23" t="str">
        <f t="shared" si="80"/>
        <v xml:space="preserve"> </v>
      </c>
      <c r="B1336" s="24"/>
      <c r="C1336" s="4"/>
      <c r="D1336" s="24"/>
      <c r="E1336" s="24"/>
      <c r="F1336" s="25" t="str">
        <f t="shared" si="81"/>
        <v xml:space="preserve"> </v>
      </c>
      <c r="G1336" s="24"/>
      <c r="H1336" s="25" t="str">
        <f t="shared" si="82"/>
        <v xml:space="preserve"> </v>
      </c>
      <c r="I1336" s="26"/>
      <c r="J1336" s="27" t="str">
        <f t="shared" si="83"/>
        <v xml:space="preserve"> </v>
      </c>
    </row>
    <row r="1337" spans="1:10" x14ac:dyDescent="0.3">
      <c r="A1337" s="23" t="str">
        <f t="shared" si="80"/>
        <v xml:space="preserve"> </v>
      </c>
      <c r="B1337" s="24"/>
      <c r="C1337" s="4"/>
      <c r="D1337" s="24"/>
      <c r="E1337" s="24"/>
      <c r="F1337" s="25" t="str">
        <f t="shared" si="81"/>
        <v xml:space="preserve"> </v>
      </c>
      <c r="G1337" s="24"/>
      <c r="H1337" s="25" t="str">
        <f t="shared" si="82"/>
        <v xml:space="preserve"> </v>
      </c>
      <c r="I1337" s="26"/>
      <c r="J1337" s="27" t="str">
        <f t="shared" si="83"/>
        <v xml:space="preserve"> </v>
      </c>
    </row>
    <row r="1338" spans="1:10" x14ac:dyDescent="0.3">
      <c r="A1338" s="23" t="str">
        <f t="shared" si="80"/>
        <v xml:space="preserve"> </v>
      </c>
      <c r="B1338" s="24"/>
      <c r="C1338" s="4"/>
      <c r="D1338" s="24"/>
      <c r="E1338" s="24"/>
      <c r="F1338" s="25" t="str">
        <f t="shared" si="81"/>
        <v xml:space="preserve"> </v>
      </c>
      <c r="G1338" s="24"/>
      <c r="H1338" s="25" t="str">
        <f t="shared" si="82"/>
        <v xml:space="preserve"> </v>
      </c>
      <c r="I1338" s="26"/>
      <c r="J1338" s="27" t="str">
        <f t="shared" si="83"/>
        <v xml:space="preserve"> </v>
      </c>
    </row>
    <row r="1339" spans="1:10" x14ac:dyDescent="0.3">
      <c r="A1339" s="23" t="str">
        <f t="shared" si="80"/>
        <v xml:space="preserve"> </v>
      </c>
      <c r="B1339" s="24"/>
      <c r="C1339" s="4"/>
      <c r="D1339" s="24"/>
      <c r="E1339" s="24"/>
      <c r="F1339" s="25" t="str">
        <f t="shared" si="81"/>
        <v xml:space="preserve"> </v>
      </c>
      <c r="G1339" s="24"/>
      <c r="H1339" s="25" t="str">
        <f t="shared" si="82"/>
        <v xml:space="preserve"> </v>
      </c>
      <c r="I1339" s="26"/>
      <c r="J1339" s="27" t="str">
        <f t="shared" si="83"/>
        <v xml:space="preserve"> </v>
      </c>
    </row>
    <row r="1340" spans="1:10" x14ac:dyDescent="0.3">
      <c r="A1340" s="23" t="str">
        <f t="shared" si="80"/>
        <v xml:space="preserve"> </v>
      </c>
      <c r="B1340" s="24"/>
      <c r="C1340" s="4"/>
      <c r="D1340" s="24"/>
      <c r="E1340" s="24"/>
      <c r="F1340" s="25" t="str">
        <f t="shared" si="81"/>
        <v xml:space="preserve"> </v>
      </c>
      <c r="G1340" s="24"/>
      <c r="H1340" s="25" t="str">
        <f t="shared" si="82"/>
        <v xml:space="preserve"> </v>
      </c>
      <c r="I1340" s="26"/>
      <c r="J1340" s="27" t="str">
        <f t="shared" si="83"/>
        <v xml:space="preserve"> </v>
      </c>
    </row>
    <row r="1341" spans="1:10" x14ac:dyDescent="0.3">
      <c r="A1341" s="23" t="str">
        <f t="shared" si="80"/>
        <v xml:space="preserve"> </v>
      </c>
      <c r="B1341" s="24"/>
      <c r="C1341" s="4"/>
      <c r="D1341" s="24"/>
      <c r="E1341" s="24"/>
      <c r="F1341" s="25" t="str">
        <f t="shared" si="81"/>
        <v xml:space="preserve"> </v>
      </c>
      <c r="G1341" s="24"/>
      <c r="H1341" s="25" t="str">
        <f t="shared" si="82"/>
        <v xml:space="preserve"> </v>
      </c>
      <c r="I1341" s="26"/>
      <c r="J1341" s="27" t="str">
        <f t="shared" si="83"/>
        <v xml:space="preserve"> </v>
      </c>
    </row>
    <row r="1342" spans="1:10" x14ac:dyDescent="0.3">
      <c r="A1342" s="23" t="str">
        <f t="shared" si="80"/>
        <v xml:space="preserve"> </v>
      </c>
      <c r="B1342" s="24"/>
      <c r="C1342" s="4"/>
      <c r="D1342" s="24"/>
      <c r="E1342" s="24"/>
      <c r="F1342" s="25" t="str">
        <f t="shared" si="81"/>
        <v xml:space="preserve"> </v>
      </c>
      <c r="G1342" s="24"/>
      <c r="H1342" s="25" t="str">
        <f t="shared" si="82"/>
        <v xml:space="preserve"> </v>
      </c>
      <c r="I1342" s="26"/>
      <c r="J1342" s="27" t="str">
        <f t="shared" si="83"/>
        <v xml:space="preserve"> </v>
      </c>
    </row>
    <row r="1343" spans="1:10" x14ac:dyDescent="0.3">
      <c r="A1343" s="23" t="str">
        <f t="shared" si="80"/>
        <v xml:space="preserve"> </v>
      </c>
      <c r="B1343" s="24"/>
      <c r="C1343" s="4"/>
      <c r="D1343" s="24"/>
      <c r="E1343" s="24"/>
      <c r="F1343" s="25" t="str">
        <f t="shared" si="81"/>
        <v xml:space="preserve"> </v>
      </c>
      <c r="G1343" s="24"/>
      <c r="H1343" s="25" t="str">
        <f t="shared" si="82"/>
        <v xml:space="preserve"> </v>
      </c>
      <c r="I1343" s="26"/>
      <c r="J1343" s="27" t="str">
        <f t="shared" si="83"/>
        <v xml:space="preserve"> </v>
      </c>
    </row>
    <row r="1344" spans="1:10" x14ac:dyDescent="0.3">
      <c r="A1344" s="23" t="str">
        <f t="shared" si="80"/>
        <v xml:space="preserve"> </v>
      </c>
      <c r="B1344" s="24"/>
      <c r="C1344" s="4"/>
      <c r="D1344" s="24"/>
      <c r="E1344" s="24"/>
      <c r="F1344" s="25" t="str">
        <f t="shared" si="81"/>
        <v xml:space="preserve"> </v>
      </c>
      <c r="G1344" s="24"/>
      <c r="H1344" s="25" t="str">
        <f t="shared" si="82"/>
        <v xml:space="preserve"> </v>
      </c>
      <c r="I1344" s="26"/>
      <c r="J1344" s="27" t="str">
        <f t="shared" si="83"/>
        <v xml:space="preserve"> </v>
      </c>
    </row>
    <row r="1345" spans="1:10" x14ac:dyDescent="0.3">
      <c r="A1345" s="23" t="str">
        <f t="shared" si="80"/>
        <v xml:space="preserve"> </v>
      </c>
      <c r="B1345" s="24"/>
      <c r="C1345" s="4"/>
      <c r="D1345" s="24"/>
      <c r="E1345" s="24"/>
      <c r="F1345" s="25" t="str">
        <f t="shared" si="81"/>
        <v xml:space="preserve"> </v>
      </c>
      <c r="G1345" s="24"/>
      <c r="H1345" s="25" t="str">
        <f t="shared" si="82"/>
        <v xml:space="preserve"> </v>
      </c>
      <c r="I1345" s="26"/>
      <c r="J1345" s="27" t="str">
        <f t="shared" si="83"/>
        <v xml:space="preserve"> </v>
      </c>
    </row>
    <row r="1346" spans="1:10" x14ac:dyDescent="0.3">
      <c r="A1346" s="23" t="str">
        <f t="shared" si="80"/>
        <v xml:space="preserve"> </v>
      </c>
      <c r="B1346" s="24"/>
      <c r="C1346" s="4"/>
      <c r="D1346" s="24"/>
      <c r="E1346" s="24"/>
      <c r="F1346" s="25" t="str">
        <f t="shared" si="81"/>
        <v xml:space="preserve"> </v>
      </c>
      <c r="G1346" s="24"/>
      <c r="H1346" s="25" t="str">
        <f t="shared" si="82"/>
        <v xml:space="preserve"> </v>
      </c>
      <c r="I1346" s="26"/>
      <c r="J1346" s="27" t="str">
        <f t="shared" si="83"/>
        <v xml:space="preserve"> </v>
      </c>
    </row>
    <row r="1347" spans="1:10" x14ac:dyDescent="0.3">
      <c r="A1347" s="23" t="str">
        <f t="shared" si="80"/>
        <v xml:space="preserve"> </v>
      </c>
      <c r="B1347" s="24"/>
      <c r="C1347" s="4"/>
      <c r="D1347" s="24"/>
      <c r="E1347" s="24"/>
      <c r="F1347" s="25" t="str">
        <f t="shared" si="81"/>
        <v xml:space="preserve"> </v>
      </c>
      <c r="G1347" s="24"/>
      <c r="H1347" s="25" t="str">
        <f t="shared" si="82"/>
        <v xml:space="preserve"> </v>
      </c>
      <c r="I1347" s="26"/>
      <c r="J1347" s="27" t="str">
        <f t="shared" si="83"/>
        <v xml:space="preserve"> </v>
      </c>
    </row>
    <row r="1348" spans="1:10" x14ac:dyDescent="0.3">
      <c r="A1348" s="23" t="str">
        <f t="shared" si="80"/>
        <v xml:space="preserve"> </v>
      </c>
      <c r="B1348" s="24"/>
      <c r="C1348" s="4"/>
      <c r="D1348" s="24"/>
      <c r="E1348" s="24"/>
      <c r="F1348" s="25" t="str">
        <f t="shared" si="81"/>
        <v xml:space="preserve"> </v>
      </c>
      <c r="G1348" s="24"/>
      <c r="H1348" s="25" t="str">
        <f t="shared" si="82"/>
        <v xml:space="preserve"> </v>
      </c>
      <c r="I1348" s="26"/>
      <c r="J1348" s="27" t="str">
        <f t="shared" si="83"/>
        <v xml:space="preserve"> </v>
      </c>
    </row>
    <row r="1349" spans="1:10" x14ac:dyDescent="0.3">
      <c r="A1349" s="23" t="str">
        <f t="shared" ref="A1349:A1412" si="84">IF(C1349&gt;0,RIGHT($D$3,10)," ")</f>
        <v xml:space="preserve"> </v>
      </c>
      <c r="B1349" s="24"/>
      <c r="C1349" s="4"/>
      <c r="D1349" s="24"/>
      <c r="E1349" s="24"/>
      <c r="F1349" s="25" t="str">
        <f t="shared" ref="F1349:F1412" si="85">IF(C1349&gt;0,$C$3," ")</f>
        <v xml:space="preserve"> </v>
      </c>
      <c r="G1349" s="24"/>
      <c r="H1349" s="25" t="str">
        <f t="shared" ref="H1349:H1412" si="86">IF(G1349&gt;0,"Pcs."," ")</f>
        <v xml:space="preserve"> </v>
      </c>
      <c r="I1349" s="26"/>
      <c r="J1349" s="27" t="str">
        <f t="shared" ref="J1349:J1412" si="87">IF(I1349*G1349=0," ",I1349*G1349)</f>
        <v xml:space="preserve"> </v>
      </c>
    </row>
    <row r="1350" spans="1:10" x14ac:dyDescent="0.3">
      <c r="A1350" s="23" t="str">
        <f t="shared" si="84"/>
        <v xml:space="preserve"> </v>
      </c>
      <c r="B1350" s="24"/>
      <c r="C1350" s="4"/>
      <c r="D1350" s="24"/>
      <c r="E1350" s="24"/>
      <c r="F1350" s="25" t="str">
        <f t="shared" si="85"/>
        <v xml:space="preserve"> </v>
      </c>
      <c r="G1350" s="24"/>
      <c r="H1350" s="25" t="str">
        <f t="shared" si="86"/>
        <v xml:space="preserve"> </v>
      </c>
      <c r="I1350" s="26"/>
      <c r="J1350" s="27" t="str">
        <f t="shared" si="87"/>
        <v xml:space="preserve"> </v>
      </c>
    </row>
    <row r="1351" spans="1:10" x14ac:dyDescent="0.3">
      <c r="A1351" s="23" t="str">
        <f t="shared" si="84"/>
        <v xml:space="preserve"> </v>
      </c>
      <c r="B1351" s="24"/>
      <c r="C1351" s="4"/>
      <c r="D1351" s="24"/>
      <c r="E1351" s="24"/>
      <c r="F1351" s="25" t="str">
        <f t="shared" si="85"/>
        <v xml:space="preserve"> </v>
      </c>
      <c r="G1351" s="24"/>
      <c r="H1351" s="25" t="str">
        <f t="shared" si="86"/>
        <v xml:space="preserve"> </v>
      </c>
      <c r="I1351" s="26"/>
      <c r="J1351" s="27" t="str">
        <f t="shared" si="87"/>
        <v xml:space="preserve"> </v>
      </c>
    </row>
    <row r="1352" spans="1:10" x14ac:dyDescent="0.3">
      <c r="A1352" s="23" t="str">
        <f t="shared" si="84"/>
        <v xml:space="preserve"> </v>
      </c>
      <c r="B1352" s="24"/>
      <c r="C1352" s="4"/>
      <c r="D1352" s="24"/>
      <c r="E1352" s="24"/>
      <c r="F1352" s="25" t="str">
        <f t="shared" si="85"/>
        <v xml:space="preserve"> </v>
      </c>
      <c r="G1352" s="24"/>
      <c r="H1352" s="25" t="str">
        <f t="shared" si="86"/>
        <v xml:space="preserve"> </v>
      </c>
      <c r="I1352" s="26"/>
      <c r="J1352" s="27" t="str">
        <f t="shared" si="87"/>
        <v xml:space="preserve"> </v>
      </c>
    </row>
    <row r="1353" spans="1:10" x14ac:dyDescent="0.3">
      <c r="A1353" s="23" t="str">
        <f t="shared" si="84"/>
        <v xml:space="preserve"> </v>
      </c>
      <c r="B1353" s="24"/>
      <c r="C1353" s="4"/>
      <c r="D1353" s="24"/>
      <c r="E1353" s="24"/>
      <c r="F1353" s="25" t="str">
        <f t="shared" si="85"/>
        <v xml:space="preserve"> </v>
      </c>
      <c r="G1353" s="24"/>
      <c r="H1353" s="25" t="str">
        <f t="shared" si="86"/>
        <v xml:space="preserve"> </v>
      </c>
      <c r="I1353" s="26"/>
      <c r="J1353" s="27" t="str">
        <f t="shared" si="87"/>
        <v xml:space="preserve"> </v>
      </c>
    </row>
    <row r="1354" spans="1:10" x14ac:dyDescent="0.3">
      <c r="A1354" s="23" t="str">
        <f t="shared" si="84"/>
        <v xml:space="preserve"> </v>
      </c>
      <c r="B1354" s="24"/>
      <c r="C1354" s="4"/>
      <c r="D1354" s="24"/>
      <c r="E1354" s="24"/>
      <c r="F1354" s="25" t="str">
        <f t="shared" si="85"/>
        <v xml:space="preserve"> </v>
      </c>
      <c r="G1354" s="24"/>
      <c r="H1354" s="25" t="str">
        <f t="shared" si="86"/>
        <v xml:space="preserve"> </v>
      </c>
      <c r="I1354" s="26"/>
      <c r="J1354" s="27" t="str">
        <f t="shared" si="87"/>
        <v xml:space="preserve"> </v>
      </c>
    </row>
    <row r="1355" spans="1:10" x14ac:dyDescent="0.3">
      <c r="A1355" s="23" t="str">
        <f t="shared" si="84"/>
        <v xml:space="preserve"> </v>
      </c>
      <c r="B1355" s="24"/>
      <c r="C1355" s="4"/>
      <c r="D1355" s="24"/>
      <c r="E1355" s="24"/>
      <c r="F1355" s="25" t="str">
        <f t="shared" si="85"/>
        <v xml:space="preserve"> </v>
      </c>
      <c r="G1355" s="24"/>
      <c r="H1355" s="25" t="str">
        <f t="shared" si="86"/>
        <v xml:space="preserve"> </v>
      </c>
      <c r="I1355" s="26"/>
      <c r="J1355" s="27" t="str">
        <f t="shared" si="87"/>
        <v xml:space="preserve"> </v>
      </c>
    </row>
    <row r="1356" spans="1:10" x14ac:dyDescent="0.3">
      <c r="A1356" s="23" t="str">
        <f t="shared" si="84"/>
        <v xml:space="preserve"> </v>
      </c>
      <c r="B1356" s="24"/>
      <c r="C1356" s="4"/>
      <c r="D1356" s="24"/>
      <c r="E1356" s="24"/>
      <c r="F1356" s="25" t="str">
        <f t="shared" si="85"/>
        <v xml:space="preserve"> </v>
      </c>
      <c r="G1356" s="24"/>
      <c r="H1356" s="25" t="str">
        <f t="shared" si="86"/>
        <v xml:space="preserve"> </v>
      </c>
      <c r="I1356" s="26"/>
      <c r="J1356" s="27" t="str">
        <f t="shared" si="87"/>
        <v xml:space="preserve"> </v>
      </c>
    </row>
    <row r="1357" spans="1:10" x14ac:dyDescent="0.3">
      <c r="A1357" s="23" t="str">
        <f t="shared" si="84"/>
        <v xml:space="preserve"> </v>
      </c>
      <c r="B1357" s="24"/>
      <c r="C1357" s="4"/>
      <c r="D1357" s="24"/>
      <c r="E1357" s="24"/>
      <c r="F1357" s="25" t="str">
        <f t="shared" si="85"/>
        <v xml:space="preserve"> </v>
      </c>
      <c r="G1357" s="24"/>
      <c r="H1357" s="25" t="str">
        <f t="shared" si="86"/>
        <v xml:space="preserve"> </v>
      </c>
      <c r="I1357" s="26"/>
      <c r="J1357" s="27" t="str">
        <f t="shared" si="87"/>
        <v xml:space="preserve"> </v>
      </c>
    </row>
    <row r="1358" spans="1:10" x14ac:dyDescent="0.3">
      <c r="A1358" s="23" t="str">
        <f t="shared" si="84"/>
        <v xml:space="preserve"> </v>
      </c>
      <c r="B1358" s="24"/>
      <c r="C1358" s="4"/>
      <c r="D1358" s="24"/>
      <c r="E1358" s="24"/>
      <c r="F1358" s="25" t="str">
        <f t="shared" si="85"/>
        <v xml:space="preserve"> </v>
      </c>
      <c r="G1358" s="24"/>
      <c r="H1358" s="25" t="str">
        <f t="shared" si="86"/>
        <v xml:space="preserve"> </v>
      </c>
      <c r="I1358" s="26"/>
      <c r="J1358" s="27" t="str">
        <f t="shared" si="87"/>
        <v xml:space="preserve"> </v>
      </c>
    </row>
    <row r="1359" spans="1:10" x14ac:dyDescent="0.3">
      <c r="A1359" s="23" t="str">
        <f t="shared" si="84"/>
        <v xml:space="preserve"> </v>
      </c>
      <c r="B1359" s="24"/>
      <c r="C1359" s="4"/>
      <c r="D1359" s="24"/>
      <c r="E1359" s="24"/>
      <c r="F1359" s="25" t="str">
        <f t="shared" si="85"/>
        <v xml:space="preserve"> </v>
      </c>
      <c r="G1359" s="24"/>
      <c r="H1359" s="25" t="str">
        <f t="shared" si="86"/>
        <v xml:space="preserve"> </v>
      </c>
      <c r="I1359" s="26"/>
      <c r="J1359" s="27" t="str">
        <f t="shared" si="87"/>
        <v xml:space="preserve"> </v>
      </c>
    </row>
    <row r="1360" spans="1:10" x14ac:dyDescent="0.3">
      <c r="A1360" s="23" t="str">
        <f t="shared" si="84"/>
        <v xml:space="preserve"> </v>
      </c>
      <c r="B1360" s="24"/>
      <c r="C1360" s="4"/>
      <c r="D1360" s="24"/>
      <c r="E1360" s="24"/>
      <c r="F1360" s="25" t="str">
        <f t="shared" si="85"/>
        <v xml:space="preserve"> </v>
      </c>
      <c r="G1360" s="24"/>
      <c r="H1360" s="25" t="str">
        <f t="shared" si="86"/>
        <v xml:space="preserve"> </v>
      </c>
      <c r="I1360" s="26"/>
      <c r="J1360" s="27" t="str">
        <f t="shared" si="87"/>
        <v xml:space="preserve"> </v>
      </c>
    </row>
    <row r="1361" spans="1:10" x14ac:dyDescent="0.3">
      <c r="A1361" s="23" t="str">
        <f t="shared" si="84"/>
        <v xml:space="preserve"> </v>
      </c>
      <c r="B1361" s="24"/>
      <c r="C1361" s="4"/>
      <c r="D1361" s="24"/>
      <c r="E1361" s="24"/>
      <c r="F1361" s="25" t="str">
        <f t="shared" si="85"/>
        <v xml:space="preserve"> </v>
      </c>
      <c r="G1361" s="24"/>
      <c r="H1361" s="25" t="str">
        <f t="shared" si="86"/>
        <v xml:space="preserve"> </v>
      </c>
      <c r="I1361" s="26"/>
      <c r="J1361" s="27" t="str">
        <f t="shared" si="87"/>
        <v xml:space="preserve"> </v>
      </c>
    </row>
    <row r="1362" spans="1:10" x14ac:dyDescent="0.3">
      <c r="A1362" s="23" t="str">
        <f t="shared" si="84"/>
        <v xml:space="preserve"> </v>
      </c>
      <c r="B1362" s="24"/>
      <c r="C1362" s="4"/>
      <c r="D1362" s="24"/>
      <c r="E1362" s="24"/>
      <c r="F1362" s="25" t="str">
        <f t="shared" si="85"/>
        <v xml:space="preserve"> </v>
      </c>
      <c r="G1362" s="24"/>
      <c r="H1362" s="25" t="str">
        <f t="shared" si="86"/>
        <v xml:space="preserve"> </v>
      </c>
      <c r="I1362" s="26"/>
      <c r="J1362" s="27" t="str">
        <f t="shared" si="87"/>
        <v xml:space="preserve"> </v>
      </c>
    </row>
    <row r="1363" spans="1:10" x14ac:dyDescent="0.3">
      <c r="A1363" s="23" t="str">
        <f t="shared" si="84"/>
        <v xml:space="preserve"> </v>
      </c>
      <c r="B1363" s="24"/>
      <c r="C1363" s="4"/>
      <c r="D1363" s="24"/>
      <c r="E1363" s="24"/>
      <c r="F1363" s="25" t="str">
        <f t="shared" si="85"/>
        <v xml:space="preserve"> </v>
      </c>
      <c r="G1363" s="24"/>
      <c r="H1363" s="25" t="str">
        <f t="shared" si="86"/>
        <v xml:space="preserve"> </v>
      </c>
      <c r="I1363" s="26"/>
      <c r="J1363" s="27" t="str">
        <f t="shared" si="87"/>
        <v xml:space="preserve"> </v>
      </c>
    </row>
    <row r="1364" spans="1:10" x14ac:dyDescent="0.3">
      <c r="A1364" s="23" t="str">
        <f t="shared" si="84"/>
        <v xml:space="preserve"> </v>
      </c>
      <c r="B1364" s="24"/>
      <c r="C1364" s="4"/>
      <c r="D1364" s="24"/>
      <c r="E1364" s="24"/>
      <c r="F1364" s="25" t="str">
        <f t="shared" si="85"/>
        <v xml:space="preserve"> </v>
      </c>
      <c r="G1364" s="24"/>
      <c r="H1364" s="25" t="str">
        <f t="shared" si="86"/>
        <v xml:space="preserve"> </v>
      </c>
      <c r="I1364" s="26"/>
      <c r="J1364" s="27" t="str">
        <f t="shared" si="87"/>
        <v xml:space="preserve"> </v>
      </c>
    </row>
    <row r="1365" spans="1:10" x14ac:dyDescent="0.3">
      <c r="A1365" s="23" t="str">
        <f t="shared" si="84"/>
        <v xml:space="preserve"> </v>
      </c>
      <c r="B1365" s="24"/>
      <c r="C1365" s="4"/>
      <c r="D1365" s="24"/>
      <c r="E1365" s="24"/>
      <c r="F1365" s="25" t="str">
        <f t="shared" si="85"/>
        <v xml:space="preserve"> </v>
      </c>
      <c r="G1365" s="24"/>
      <c r="H1365" s="25" t="str">
        <f t="shared" si="86"/>
        <v xml:space="preserve"> </v>
      </c>
      <c r="I1365" s="26"/>
      <c r="J1365" s="27" t="str">
        <f t="shared" si="87"/>
        <v xml:space="preserve"> </v>
      </c>
    </row>
    <row r="1366" spans="1:10" x14ac:dyDescent="0.3">
      <c r="A1366" s="23" t="str">
        <f t="shared" si="84"/>
        <v xml:space="preserve"> </v>
      </c>
      <c r="B1366" s="24"/>
      <c r="C1366" s="4"/>
      <c r="D1366" s="24"/>
      <c r="E1366" s="24"/>
      <c r="F1366" s="25" t="str">
        <f t="shared" si="85"/>
        <v xml:space="preserve"> </v>
      </c>
      <c r="G1366" s="24"/>
      <c r="H1366" s="25" t="str">
        <f t="shared" si="86"/>
        <v xml:space="preserve"> </v>
      </c>
      <c r="I1366" s="26"/>
      <c r="J1366" s="27" t="str">
        <f t="shared" si="87"/>
        <v xml:space="preserve"> </v>
      </c>
    </row>
    <row r="1367" spans="1:10" x14ac:dyDescent="0.3">
      <c r="A1367" s="23" t="str">
        <f t="shared" si="84"/>
        <v xml:space="preserve"> </v>
      </c>
      <c r="B1367" s="24"/>
      <c r="C1367" s="4"/>
      <c r="D1367" s="24"/>
      <c r="E1367" s="24"/>
      <c r="F1367" s="25" t="str">
        <f t="shared" si="85"/>
        <v xml:space="preserve"> </v>
      </c>
      <c r="G1367" s="24"/>
      <c r="H1367" s="25" t="str">
        <f t="shared" si="86"/>
        <v xml:space="preserve"> </v>
      </c>
      <c r="I1367" s="26"/>
      <c r="J1367" s="27" t="str">
        <f t="shared" si="87"/>
        <v xml:space="preserve"> </v>
      </c>
    </row>
    <row r="1368" spans="1:10" x14ac:dyDescent="0.3">
      <c r="A1368" s="23" t="str">
        <f t="shared" si="84"/>
        <v xml:space="preserve"> </v>
      </c>
      <c r="B1368" s="24"/>
      <c r="C1368" s="4"/>
      <c r="D1368" s="24"/>
      <c r="E1368" s="24"/>
      <c r="F1368" s="25" t="str">
        <f t="shared" si="85"/>
        <v xml:space="preserve"> </v>
      </c>
      <c r="G1368" s="24"/>
      <c r="H1368" s="25" t="str">
        <f t="shared" si="86"/>
        <v xml:space="preserve"> </v>
      </c>
      <c r="I1368" s="26"/>
      <c r="J1368" s="27" t="str">
        <f t="shared" si="87"/>
        <v xml:space="preserve"> </v>
      </c>
    </row>
    <row r="1369" spans="1:10" x14ac:dyDescent="0.3">
      <c r="A1369" s="23" t="str">
        <f t="shared" si="84"/>
        <v xml:space="preserve"> </v>
      </c>
      <c r="B1369" s="24"/>
      <c r="C1369" s="4"/>
      <c r="D1369" s="24"/>
      <c r="E1369" s="24"/>
      <c r="F1369" s="25" t="str">
        <f t="shared" si="85"/>
        <v xml:space="preserve"> </v>
      </c>
      <c r="G1369" s="24"/>
      <c r="H1369" s="25" t="str">
        <f t="shared" si="86"/>
        <v xml:space="preserve"> </v>
      </c>
      <c r="I1369" s="26"/>
      <c r="J1369" s="27" t="str">
        <f t="shared" si="87"/>
        <v xml:space="preserve"> </v>
      </c>
    </row>
    <row r="1370" spans="1:10" x14ac:dyDescent="0.3">
      <c r="A1370" s="23" t="str">
        <f t="shared" si="84"/>
        <v xml:space="preserve"> </v>
      </c>
      <c r="B1370" s="24"/>
      <c r="C1370" s="4"/>
      <c r="D1370" s="24"/>
      <c r="E1370" s="24"/>
      <c r="F1370" s="25" t="str">
        <f t="shared" si="85"/>
        <v xml:space="preserve"> </v>
      </c>
      <c r="G1370" s="24"/>
      <c r="H1370" s="25" t="str">
        <f t="shared" si="86"/>
        <v xml:space="preserve"> </v>
      </c>
      <c r="I1370" s="26"/>
      <c r="J1370" s="27" t="str">
        <f t="shared" si="87"/>
        <v xml:space="preserve"> </v>
      </c>
    </row>
    <row r="1371" spans="1:10" x14ac:dyDescent="0.3">
      <c r="A1371" s="23" t="str">
        <f t="shared" si="84"/>
        <v xml:space="preserve"> </v>
      </c>
      <c r="B1371" s="24"/>
      <c r="C1371" s="4"/>
      <c r="D1371" s="24"/>
      <c r="E1371" s="24"/>
      <c r="F1371" s="25" t="str">
        <f t="shared" si="85"/>
        <v xml:space="preserve"> </v>
      </c>
      <c r="G1371" s="24"/>
      <c r="H1371" s="25" t="str">
        <f t="shared" si="86"/>
        <v xml:space="preserve"> </v>
      </c>
      <c r="I1371" s="26"/>
      <c r="J1371" s="27" t="str">
        <f t="shared" si="87"/>
        <v xml:space="preserve"> </v>
      </c>
    </row>
    <row r="1372" spans="1:10" x14ac:dyDescent="0.3">
      <c r="A1372" s="23" t="str">
        <f t="shared" si="84"/>
        <v xml:space="preserve"> </v>
      </c>
      <c r="B1372" s="24"/>
      <c r="C1372" s="4"/>
      <c r="D1372" s="24"/>
      <c r="E1372" s="24"/>
      <c r="F1372" s="25" t="str">
        <f t="shared" si="85"/>
        <v xml:space="preserve"> </v>
      </c>
      <c r="G1372" s="24"/>
      <c r="H1372" s="25" t="str">
        <f t="shared" si="86"/>
        <v xml:space="preserve"> </v>
      </c>
      <c r="I1372" s="26"/>
      <c r="J1372" s="27" t="str">
        <f t="shared" si="87"/>
        <v xml:space="preserve"> </v>
      </c>
    </row>
    <row r="1373" spans="1:10" x14ac:dyDescent="0.3">
      <c r="A1373" s="23" t="str">
        <f t="shared" si="84"/>
        <v xml:space="preserve"> </v>
      </c>
      <c r="B1373" s="24"/>
      <c r="C1373" s="4"/>
      <c r="D1373" s="24"/>
      <c r="E1373" s="24"/>
      <c r="F1373" s="25" t="str">
        <f t="shared" si="85"/>
        <v xml:space="preserve"> </v>
      </c>
      <c r="G1373" s="24"/>
      <c r="H1373" s="25" t="str">
        <f t="shared" si="86"/>
        <v xml:space="preserve"> </v>
      </c>
      <c r="I1373" s="26"/>
      <c r="J1373" s="27" t="str">
        <f t="shared" si="87"/>
        <v xml:space="preserve"> </v>
      </c>
    </row>
    <row r="1374" spans="1:10" x14ac:dyDescent="0.3">
      <c r="A1374" s="23" t="str">
        <f t="shared" si="84"/>
        <v xml:space="preserve"> </v>
      </c>
      <c r="B1374" s="24"/>
      <c r="C1374" s="4"/>
      <c r="D1374" s="24"/>
      <c r="E1374" s="24"/>
      <c r="F1374" s="25" t="str">
        <f t="shared" si="85"/>
        <v xml:space="preserve"> </v>
      </c>
      <c r="G1374" s="24"/>
      <c r="H1374" s="25" t="str">
        <f t="shared" si="86"/>
        <v xml:space="preserve"> </v>
      </c>
      <c r="I1374" s="26"/>
      <c r="J1374" s="27" t="str">
        <f t="shared" si="87"/>
        <v xml:space="preserve"> </v>
      </c>
    </row>
    <row r="1375" spans="1:10" x14ac:dyDescent="0.3">
      <c r="A1375" s="23" t="str">
        <f t="shared" si="84"/>
        <v xml:space="preserve"> </v>
      </c>
      <c r="B1375" s="24"/>
      <c r="C1375" s="4"/>
      <c r="D1375" s="24"/>
      <c r="E1375" s="24"/>
      <c r="F1375" s="25" t="str">
        <f t="shared" si="85"/>
        <v xml:space="preserve"> </v>
      </c>
      <c r="G1375" s="24"/>
      <c r="H1375" s="25" t="str">
        <f t="shared" si="86"/>
        <v xml:space="preserve"> </v>
      </c>
      <c r="I1375" s="26"/>
      <c r="J1375" s="27" t="str">
        <f t="shared" si="87"/>
        <v xml:space="preserve"> </v>
      </c>
    </row>
    <row r="1376" spans="1:10" x14ac:dyDescent="0.3">
      <c r="A1376" s="23" t="str">
        <f t="shared" si="84"/>
        <v xml:space="preserve"> </v>
      </c>
      <c r="B1376" s="24"/>
      <c r="C1376" s="4"/>
      <c r="D1376" s="24"/>
      <c r="E1376" s="24"/>
      <c r="F1376" s="25" t="str">
        <f t="shared" si="85"/>
        <v xml:space="preserve"> </v>
      </c>
      <c r="G1376" s="24"/>
      <c r="H1376" s="25" t="str">
        <f t="shared" si="86"/>
        <v xml:space="preserve"> </v>
      </c>
      <c r="I1376" s="26"/>
      <c r="J1376" s="27" t="str">
        <f t="shared" si="87"/>
        <v xml:space="preserve"> </v>
      </c>
    </row>
    <row r="1377" spans="1:10" x14ac:dyDescent="0.3">
      <c r="A1377" s="23" t="str">
        <f t="shared" si="84"/>
        <v xml:space="preserve"> </v>
      </c>
      <c r="B1377" s="24"/>
      <c r="C1377" s="4"/>
      <c r="D1377" s="24"/>
      <c r="E1377" s="24"/>
      <c r="F1377" s="25" t="str">
        <f t="shared" si="85"/>
        <v xml:space="preserve"> </v>
      </c>
      <c r="G1377" s="24"/>
      <c r="H1377" s="25" t="str">
        <f t="shared" si="86"/>
        <v xml:space="preserve"> </v>
      </c>
      <c r="I1377" s="26"/>
      <c r="J1377" s="27" t="str">
        <f t="shared" si="87"/>
        <v xml:space="preserve"> </v>
      </c>
    </row>
    <row r="1378" spans="1:10" x14ac:dyDescent="0.3">
      <c r="A1378" s="23" t="str">
        <f t="shared" si="84"/>
        <v xml:space="preserve"> </v>
      </c>
      <c r="B1378" s="24"/>
      <c r="C1378" s="4"/>
      <c r="D1378" s="24"/>
      <c r="E1378" s="24"/>
      <c r="F1378" s="25" t="str">
        <f t="shared" si="85"/>
        <v xml:space="preserve"> </v>
      </c>
      <c r="G1378" s="24"/>
      <c r="H1378" s="25" t="str">
        <f t="shared" si="86"/>
        <v xml:space="preserve"> </v>
      </c>
      <c r="I1378" s="26"/>
      <c r="J1378" s="27" t="str">
        <f t="shared" si="87"/>
        <v xml:space="preserve"> </v>
      </c>
    </row>
    <row r="1379" spans="1:10" x14ac:dyDescent="0.3">
      <c r="A1379" s="23" t="str">
        <f t="shared" si="84"/>
        <v xml:space="preserve"> </v>
      </c>
      <c r="B1379" s="24"/>
      <c r="C1379" s="4"/>
      <c r="D1379" s="24"/>
      <c r="E1379" s="24"/>
      <c r="F1379" s="25" t="str">
        <f t="shared" si="85"/>
        <v xml:space="preserve"> </v>
      </c>
      <c r="G1379" s="24"/>
      <c r="H1379" s="25" t="str">
        <f t="shared" si="86"/>
        <v xml:space="preserve"> </v>
      </c>
      <c r="I1379" s="26"/>
      <c r="J1379" s="27" t="str">
        <f t="shared" si="87"/>
        <v xml:space="preserve"> </v>
      </c>
    </row>
    <row r="1380" spans="1:10" x14ac:dyDescent="0.3">
      <c r="A1380" s="23" t="str">
        <f t="shared" si="84"/>
        <v xml:space="preserve"> </v>
      </c>
      <c r="B1380" s="24"/>
      <c r="C1380" s="4"/>
      <c r="D1380" s="24"/>
      <c r="E1380" s="24"/>
      <c r="F1380" s="25" t="str">
        <f t="shared" si="85"/>
        <v xml:space="preserve"> </v>
      </c>
      <c r="G1380" s="24"/>
      <c r="H1380" s="25" t="str">
        <f t="shared" si="86"/>
        <v xml:space="preserve"> </v>
      </c>
      <c r="I1380" s="26"/>
      <c r="J1380" s="27" t="str">
        <f t="shared" si="87"/>
        <v xml:space="preserve"> </v>
      </c>
    </row>
    <row r="1381" spans="1:10" x14ac:dyDescent="0.3">
      <c r="A1381" s="23" t="str">
        <f t="shared" si="84"/>
        <v xml:space="preserve"> </v>
      </c>
      <c r="B1381" s="24"/>
      <c r="C1381" s="4"/>
      <c r="D1381" s="24"/>
      <c r="E1381" s="24"/>
      <c r="F1381" s="25" t="str">
        <f t="shared" si="85"/>
        <v xml:space="preserve"> </v>
      </c>
      <c r="G1381" s="24"/>
      <c r="H1381" s="25" t="str">
        <f t="shared" si="86"/>
        <v xml:space="preserve"> </v>
      </c>
      <c r="I1381" s="26"/>
      <c r="J1381" s="27" t="str">
        <f t="shared" si="87"/>
        <v xml:space="preserve"> </v>
      </c>
    </row>
    <row r="1382" spans="1:10" x14ac:dyDescent="0.3">
      <c r="A1382" s="23" t="str">
        <f t="shared" si="84"/>
        <v xml:space="preserve"> </v>
      </c>
      <c r="B1382" s="24"/>
      <c r="C1382" s="4"/>
      <c r="D1382" s="24"/>
      <c r="E1382" s="24"/>
      <c r="F1382" s="25" t="str">
        <f t="shared" si="85"/>
        <v xml:space="preserve"> </v>
      </c>
      <c r="G1382" s="24"/>
      <c r="H1382" s="25" t="str">
        <f t="shared" si="86"/>
        <v xml:space="preserve"> </v>
      </c>
      <c r="I1382" s="26"/>
      <c r="J1382" s="27" t="str">
        <f t="shared" si="87"/>
        <v xml:space="preserve"> </v>
      </c>
    </row>
    <row r="1383" spans="1:10" x14ac:dyDescent="0.3">
      <c r="A1383" s="23" t="str">
        <f t="shared" si="84"/>
        <v xml:space="preserve"> </v>
      </c>
      <c r="B1383" s="24"/>
      <c r="C1383" s="4"/>
      <c r="D1383" s="24"/>
      <c r="E1383" s="24"/>
      <c r="F1383" s="25" t="str">
        <f t="shared" si="85"/>
        <v xml:space="preserve"> </v>
      </c>
      <c r="G1383" s="24"/>
      <c r="H1383" s="25" t="str">
        <f t="shared" si="86"/>
        <v xml:space="preserve"> </v>
      </c>
      <c r="I1383" s="26"/>
      <c r="J1383" s="27" t="str">
        <f t="shared" si="87"/>
        <v xml:space="preserve"> </v>
      </c>
    </row>
    <row r="1384" spans="1:10" x14ac:dyDescent="0.3">
      <c r="A1384" s="23" t="str">
        <f t="shared" si="84"/>
        <v xml:space="preserve"> </v>
      </c>
      <c r="B1384" s="24"/>
      <c r="C1384" s="4"/>
      <c r="D1384" s="24"/>
      <c r="E1384" s="24"/>
      <c r="F1384" s="25" t="str">
        <f t="shared" si="85"/>
        <v xml:space="preserve"> </v>
      </c>
      <c r="G1384" s="24"/>
      <c r="H1384" s="25" t="str">
        <f t="shared" si="86"/>
        <v xml:space="preserve"> </v>
      </c>
      <c r="I1384" s="26"/>
      <c r="J1384" s="27" t="str">
        <f t="shared" si="87"/>
        <v xml:space="preserve"> </v>
      </c>
    </row>
    <row r="1385" spans="1:10" x14ac:dyDescent="0.3">
      <c r="A1385" s="23" t="str">
        <f t="shared" si="84"/>
        <v xml:space="preserve"> </v>
      </c>
      <c r="B1385" s="24"/>
      <c r="C1385" s="4"/>
      <c r="D1385" s="24"/>
      <c r="E1385" s="24"/>
      <c r="F1385" s="25" t="str">
        <f t="shared" si="85"/>
        <v xml:space="preserve"> </v>
      </c>
      <c r="G1385" s="24"/>
      <c r="H1385" s="25" t="str">
        <f t="shared" si="86"/>
        <v xml:space="preserve"> </v>
      </c>
      <c r="I1385" s="26"/>
      <c r="J1385" s="27" t="str">
        <f t="shared" si="87"/>
        <v xml:space="preserve"> </v>
      </c>
    </row>
    <row r="1386" spans="1:10" x14ac:dyDescent="0.3">
      <c r="A1386" s="23" t="str">
        <f t="shared" si="84"/>
        <v xml:space="preserve"> </v>
      </c>
      <c r="B1386" s="24"/>
      <c r="C1386" s="4"/>
      <c r="D1386" s="24"/>
      <c r="E1386" s="24"/>
      <c r="F1386" s="25" t="str">
        <f t="shared" si="85"/>
        <v xml:space="preserve"> </v>
      </c>
      <c r="G1386" s="24"/>
      <c r="H1386" s="25" t="str">
        <f t="shared" si="86"/>
        <v xml:space="preserve"> </v>
      </c>
      <c r="I1386" s="26"/>
      <c r="J1386" s="27" t="str">
        <f t="shared" si="87"/>
        <v xml:space="preserve"> </v>
      </c>
    </row>
    <row r="1387" spans="1:10" x14ac:dyDescent="0.3">
      <c r="A1387" s="23" t="str">
        <f t="shared" si="84"/>
        <v xml:space="preserve"> </v>
      </c>
      <c r="B1387" s="24"/>
      <c r="C1387" s="4"/>
      <c r="D1387" s="24"/>
      <c r="E1387" s="24"/>
      <c r="F1387" s="25" t="str">
        <f t="shared" si="85"/>
        <v xml:space="preserve"> </v>
      </c>
      <c r="G1387" s="24"/>
      <c r="H1387" s="25" t="str">
        <f t="shared" si="86"/>
        <v xml:space="preserve"> </v>
      </c>
      <c r="I1387" s="26"/>
      <c r="J1387" s="27" t="str">
        <f t="shared" si="87"/>
        <v xml:space="preserve"> </v>
      </c>
    </row>
    <row r="1388" spans="1:10" x14ac:dyDescent="0.3">
      <c r="A1388" s="23" t="str">
        <f t="shared" si="84"/>
        <v xml:space="preserve"> </v>
      </c>
      <c r="B1388" s="24"/>
      <c r="C1388" s="4"/>
      <c r="D1388" s="24"/>
      <c r="E1388" s="24"/>
      <c r="F1388" s="25" t="str">
        <f t="shared" si="85"/>
        <v xml:space="preserve"> </v>
      </c>
      <c r="G1388" s="24"/>
      <c r="H1388" s="25" t="str">
        <f t="shared" si="86"/>
        <v xml:space="preserve"> </v>
      </c>
      <c r="I1388" s="26"/>
      <c r="J1388" s="27" t="str">
        <f t="shared" si="87"/>
        <v xml:space="preserve"> </v>
      </c>
    </row>
    <row r="1389" spans="1:10" x14ac:dyDescent="0.3">
      <c r="A1389" s="23" t="str">
        <f t="shared" si="84"/>
        <v xml:space="preserve"> </v>
      </c>
      <c r="B1389" s="24"/>
      <c r="C1389" s="4"/>
      <c r="D1389" s="24"/>
      <c r="E1389" s="24"/>
      <c r="F1389" s="25" t="str">
        <f t="shared" si="85"/>
        <v xml:space="preserve"> </v>
      </c>
      <c r="G1389" s="24"/>
      <c r="H1389" s="25" t="str">
        <f t="shared" si="86"/>
        <v xml:space="preserve"> </v>
      </c>
      <c r="I1389" s="26"/>
      <c r="J1389" s="27" t="str">
        <f t="shared" si="87"/>
        <v xml:space="preserve"> </v>
      </c>
    </row>
    <row r="1390" spans="1:10" x14ac:dyDescent="0.3">
      <c r="A1390" s="23" t="str">
        <f t="shared" si="84"/>
        <v xml:space="preserve"> </v>
      </c>
      <c r="B1390" s="24"/>
      <c r="C1390" s="4"/>
      <c r="D1390" s="24"/>
      <c r="E1390" s="24"/>
      <c r="F1390" s="25" t="str">
        <f t="shared" si="85"/>
        <v xml:space="preserve"> </v>
      </c>
      <c r="G1390" s="24"/>
      <c r="H1390" s="25" t="str">
        <f t="shared" si="86"/>
        <v xml:space="preserve"> </v>
      </c>
      <c r="I1390" s="26"/>
      <c r="J1390" s="27" t="str">
        <f t="shared" si="87"/>
        <v xml:space="preserve"> </v>
      </c>
    </row>
    <row r="1391" spans="1:10" x14ac:dyDescent="0.3">
      <c r="A1391" s="23" t="str">
        <f t="shared" si="84"/>
        <v xml:space="preserve"> </v>
      </c>
      <c r="B1391" s="24"/>
      <c r="C1391" s="4"/>
      <c r="D1391" s="24"/>
      <c r="E1391" s="24"/>
      <c r="F1391" s="25" t="str">
        <f t="shared" si="85"/>
        <v xml:space="preserve"> </v>
      </c>
      <c r="G1391" s="24"/>
      <c r="H1391" s="25" t="str">
        <f t="shared" si="86"/>
        <v xml:space="preserve"> </v>
      </c>
      <c r="I1391" s="26"/>
      <c r="J1391" s="27" t="str">
        <f t="shared" si="87"/>
        <v xml:space="preserve"> </v>
      </c>
    </row>
    <row r="1392" spans="1:10" x14ac:dyDescent="0.3">
      <c r="A1392" s="23" t="str">
        <f t="shared" si="84"/>
        <v xml:space="preserve"> </v>
      </c>
      <c r="B1392" s="24"/>
      <c r="C1392" s="4"/>
      <c r="D1392" s="24"/>
      <c r="E1392" s="24"/>
      <c r="F1392" s="25" t="str">
        <f t="shared" si="85"/>
        <v xml:space="preserve"> </v>
      </c>
      <c r="G1392" s="24"/>
      <c r="H1392" s="25" t="str">
        <f t="shared" si="86"/>
        <v xml:space="preserve"> </v>
      </c>
      <c r="I1392" s="26"/>
      <c r="J1392" s="27" t="str">
        <f t="shared" si="87"/>
        <v xml:space="preserve"> </v>
      </c>
    </row>
    <row r="1393" spans="1:10" x14ac:dyDescent="0.3">
      <c r="A1393" s="23" t="str">
        <f t="shared" si="84"/>
        <v xml:space="preserve"> </v>
      </c>
      <c r="B1393" s="24"/>
      <c r="C1393" s="4"/>
      <c r="D1393" s="24"/>
      <c r="E1393" s="24"/>
      <c r="F1393" s="25" t="str">
        <f t="shared" si="85"/>
        <v xml:space="preserve"> </v>
      </c>
      <c r="G1393" s="24"/>
      <c r="H1393" s="25" t="str">
        <f t="shared" si="86"/>
        <v xml:space="preserve"> </v>
      </c>
      <c r="I1393" s="26"/>
      <c r="J1393" s="27" t="str">
        <f t="shared" si="87"/>
        <v xml:space="preserve"> </v>
      </c>
    </row>
    <row r="1394" spans="1:10" x14ac:dyDescent="0.3">
      <c r="A1394" s="23" t="str">
        <f t="shared" si="84"/>
        <v xml:space="preserve"> </v>
      </c>
      <c r="B1394" s="24"/>
      <c r="C1394" s="4"/>
      <c r="D1394" s="24"/>
      <c r="E1394" s="24"/>
      <c r="F1394" s="25" t="str">
        <f t="shared" si="85"/>
        <v xml:space="preserve"> </v>
      </c>
      <c r="G1394" s="24"/>
      <c r="H1394" s="25" t="str">
        <f t="shared" si="86"/>
        <v xml:space="preserve"> </v>
      </c>
      <c r="I1394" s="26"/>
      <c r="J1394" s="27" t="str">
        <f t="shared" si="87"/>
        <v xml:space="preserve"> </v>
      </c>
    </row>
    <row r="1395" spans="1:10" x14ac:dyDescent="0.3">
      <c r="A1395" s="23" t="str">
        <f t="shared" si="84"/>
        <v xml:space="preserve"> </v>
      </c>
      <c r="B1395" s="24"/>
      <c r="C1395" s="4"/>
      <c r="D1395" s="24"/>
      <c r="E1395" s="24"/>
      <c r="F1395" s="25" t="str">
        <f t="shared" si="85"/>
        <v xml:space="preserve"> </v>
      </c>
      <c r="G1395" s="24"/>
      <c r="H1395" s="25" t="str">
        <f t="shared" si="86"/>
        <v xml:space="preserve"> </v>
      </c>
      <c r="I1395" s="26"/>
      <c r="J1395" s="27" t="str">
        <f t="shared" si="87"/>
        <v xml:space="preserve"> </v>
      </c>
    </row>
    <row r="1396" spans="1:10" x14ac:dyDescent="0.3">
      <c r="A1396" s="23" t="str">
        <f t="shared" si="84"/>
        <v xml:space="preserve"> </v>
      </c>
      <c r="B1396" s="24"/>
      <c r="C1396" s="4"/>
      <c r="D1396" s="24"/>
      <c r="E1396" s="24"/>
      <c r="F1396" s="25" t="str">
        <f t="shared" si="85"/>
        <v xml:space="preserve"> </v>
      </c>
      <c r="G1396" s="24"/>
      <c r="H1396" s="25" t="str">
        <f t="shared" si="86"/>
        <v xml:space="preserve"> </v>
      </c>
      <c r="I1396" s="26"/>
      <c r="J1396" s="27" t="str">
        <f t="shared" si="87"/>
        <v xml:space="preserve"> </v>
      </c>
    </row>
    <row r="1397" spans="1:10" x14ac:dyDescent="0.3">
      <c r="A1397" s="23" t="str">
        <f t="shared" si="84"/>
        <v xml:space="preserve"> </v>
      </c>
      <c r="B1397" s="24"/>
      <c r="C1397" s="4"/>
      <c r="D1397" s="24"/>
      <c r="E1397" s="24"/>
      <c r="F1397" s="25" t="str">
        <f t="shared" si="85"/>
        <v xml:space="preserve"> </v>
      </c>
      <c r="G1397" s="24"/>
      <c r="H1397" s="25" t="str">
        <f t="shared" si="86"/>
        <v xml:space="preserve"> </v>
      </c>
      <c r="I1397" s="26"/>
      <c r="J1397" s="27" t="str">
        <f t="shared" si="87"/>
        <v xml:space="preserve"> </v>
      </c>
    </row>
    <row r="1398" spans="1:10" x14ac:dyDescent="0.3">
      <c r="A1398" s="23" t="str">
        <f t="shared" si="84"/>
        <v xml:space="preserve"> </v>
      </c>
      <c r="B1398" s="24"/>
      <c r="C1398" s="4"/>
      <c r="D1398" s="24"/>
      <c r="E1398" s="24"/>
      <c r="F1398" s="25" t="str">
        <f t="shared" si="85"/>
        <v xml:space="preserve"> </v>
      </c>
      <c r="G1398" s="24"/>
      <c r="H1398" s="25" t="str">
        <f t="shared" si="86"/>
        <v xml:space="preserve"> </v>
      </c>
      <c r="I1398" s="26"/>
      <c r="J1398" s="27" t="str">
        <f t="shared" si="87"/>
        <v xml:space="preserve"> </v>
      </c>
    </row>
    <row r="1399" spans="1:10" x14ac:dyDescent="0.3">
      <c r="A1399" s="23" t="str">
        <f t="shared" si="84"/>
        <v xml:space="preserve"> </v>
      </c>
      <c r="B1399" s="24"/>
      <c r="C1399" s="4"/>
      <c r="D1399" s="24"/>
      <c r="E1399" s="24"/>
      <c r="F1399" s="25" t="str">
        <f t="shared" si="85"/>
        <v xml:space="preserve"> </v>
      </c>
      <c r="G1399" s="24"/>
      <c r="H1399" s="25" t="str">
        <f t="shared" si="86"/>
        <v xml:space="preserve"> </v>
      </c>
      <c r="I1399" s="26"/>
      <c r="J1399" s="27" t="str">
        <f t="shared" si="87"/>
        <v xml:space="preserve"> </v>
      </c>
    </row>
    <row r="1400" spans="1:10" x14ac:dyDescent="0.3">
      <c r="A1400" s="23" t="str">
        <f t="shared" si="84"/>
        <v xml:space="preserve"> </v>
      </c>
      <c r="B1400" s="24"/>
      <c r="C1400" s="4"/>
      <c r="D1400" s="24"/>
      <c r="E1400" s="24"/>
      <c r="F1400" s="25" t="str">
        <f t="shared" si="85"/>
        <v xml:space="preserve"> </v>
      </c>
      <c r="G1400" s="24"/>
      <c r="H1400" s="25" t="str">
        <f t="shared" si="86"/>
        <v xml:space="preserve"> </v>
      </c>
      <c r="I1400" s="26"/>
      <c r="J1400" s="27" t="str">
        <f t="shared" si="87"/>
        <v xml:space="preserve"> </v>
      </c>
    </row>
    <row r="1401" spans="1:10" x14ac:dyDescent="0.3">
      <c r="A1401" s="23" t="str">
        <f t="shared" si="84"/>
        <v xml:space="preserve"> </v>
      </c>
      <c r="B1401" s="24"/>
      <c r="C1401" s="4"/>
      <c r="D1401" s="24"/>
      <c r="E1401" s="24"/>
      <c r="F1401" s="25" t="str">
        <f t="shared" si="85"/>
        <v xml:space="preserve"> </v>
      </c>
      <c r="G1401" s="24"/>
      <c r="H1401" s="25" t="str">
        <f t="shared" si="86"/>
        <v xml:space="preserve"> </v>
      </c>
      <c r="I1401" s="26"/>
      <c r="J1401" s="27" t="str">
        <f t="shared" si="87"/>
        <v xml:space="preserve"> </v>
      </c>
    </row>
    <row r="1402" spans="1:10" x14ac:dyDescent="0.3">
      <c r="A1402" s="23" t="str">
        <f t="shared" si="84"/>
        <v xml:space="preserve"> </v>
      </c>
      <c r="B1402" s="24"/>
      <c r="C1402" s="4"/>
      <c r="D1402" s="24"/>
      <c r="E1402" s="24"/>
      <c r="F1402" s="25" t="str">
        <f t="shared" si="85"/>
        <v xml:space="preserve"> </v>
      </c>
      <c r="G1402" s="24"/>
      <c r="H1402" s="25" t="str">
        <f t="shared" si="86"/>
        <v xml:space="preserve"> </v>
      </c>
      <c r="I1402" s="26"/>
      <c r="J1402" s="27" t="str">
        <f t="shared" si="87"/>
        <v xml:space="preserve"> </v>
      </c>
    </row>
    <row r="1403" spans="1:10" x14ac:dyDescent="0.3">
      <c r="A1403" s="23" t="str">
        <f t="shared" si="84"/>
        <v xml:space="preserve"> </v>
      </c>
      <c r="B1403" s="24"/>
      <c r="C1403" s="4"/>
      <c r="D1403" s="24"/>
      <c r="E1403" s="24"/>
      <c r="F1403" s="25" t="str">
        <f t="shared" si="85"/>
        <v xml:space="preserve"> </v>
      </c>
      <c r="G1403" s="24"/>
      <c r="H1403" s="25" t="str">
        <f t="shared" si="86"/>
        <v xml:space="preserve"> </v>
      </c>
      <c r="I1403" s="26"/>
      <c r="J1403" s="27" t="str">
        <f t="shared" si="87"/>
        <v xml:space="preserve"> </v>
      </c>
    </row>
    <row r="1404" spans="1:10" x14ac:dyDescent="0.3">
      <c r="A1404" s="23" t="str">
        <f t="shared" si="84"/>
        <v xml:space="preserve"> </v>
      </c>
      <c r="B1404" s="24"/>
      <c r="C1404" s="4"/>
      <c r="D1404" s="24"/>
      <c r="E1404" s="24"/>
      <c r="F1404" s="25" t="str">
        <f t="shared" si="85"/>
        <v xml:space="preserve"> </v>
      </c>
      <c r="G1404" s="24"/>
      <c r="H1404" s="25" t="str">
        <f t="shared" si="86"/>
        <v xml:space="preserve"> </v>
      </c>
      <c r="I1404" s="26"/>
      <c r="J1404" s="27" t="str">
        <f t="shared" si="87"/>
        <v xml:space="preserve"> </v>
      </c>
    </row>
    <row r="1405" spans="1:10" x14ac:dyDescent="0.3">
      <c r="A1405" s="23" t="str">
        <f t="shared" si="84"/>
        <v xml:space="preserve"> </v>
      </c>
      <c r="B1405" s="24"/>
      <c r="C1405" s="4"/>
      <c r="D1405" s="24"/>
      <c r="E1405" s="24"/>
      <c r="F1405" s="25" t="str">
        <f t="shared" si="85"/>
        <v xml:space="preserve"> </v>
      </c>
      <c r="G1405" s="24"/>
      <c r="H1405" s="25" t="str">
        <f t="shared" si="86"/>
        <v xml:space="preserve"> </v>
      </c>
      <c r="I1405" s="26"/>
      <c r="J1405" s="27" t="str">
        <f t="shared" si="87"/>
        <v xml:space="preserve"> </v>
      </c>
    </row>
    <row r="1406" spans="1:10" x14ac:dyDescent="0.3">
      <c r="A1406" s="23" t="str">
        <f t="shared" si="84"/>
        <v xml:space="preserve"> </v>
      </c>
      <c r="B1406" s="24"/>
      <c r="C1406" s="4"/>
      <c r="D1406" s="24"/>
      <c r="E1406" s="24"/>
      <c r="F1406" s="25" t="str">
        <f t="shared" si="85"/>
        <v xml:space="preserve"> </v>
      </c>
      <c r="G1406" s="24"/>
      <c r="H1406" s="25" t="str">
        <f t="shared" si="86"/>
        <v xml:space="preserve"> </v>
      </c>
      <c r="I1406" s="26"/>
      <c r="J1406" s="27" t="str">
        <f t="shared" si="87"/>
        <v xml:space="preserve"> </v>
      </c>
    </row>
    <row r="1407" spans="1:10" x14ac:dyDescent="0.3">
      <c r="A1407" s="23" t="str">
        <f t="shared" si="84"/>
        <v xml:space="preserve"> </v>
      </c>
      <c r="B1407" s="24"/>
      <c r="C1407" s="4"/>
      <c r="D1407" s="24"/>
      <c r="E1407" s="24"/>
      <c r="F1407" s="25" t="str">
        <f t="shared" si="85"/>
        <v xml:space="preserve"> </v>
      </c>
      <c r="G1407" s="24"/>
      <c r="H1407" s="25" t="str">
        <f t="shared" si="86"/>
        <v xml:space="preserve"> </v>
      </c>
      <c r="I1407" s="26"/>
      <c r="J1407" s="27" t="str">
        <f t="shared" si="87"/>
        <v xml:space="preserve"> </v>
      </c>
    </row>
    <row r="1408" spans="1:10" x14ac:dyDescent="0.3">
      <c r="A1408" s="23" t="str">
        <f t="shared" si="84"/>
        <v xml:space="preserve"> </v>
      </c>
      <c r="B1408" s="24"/>
      <c r="C1408" s="4"/>
      <c r="D1408" s="24"/>
      <c r="E1408" s="24"/>
      <c r="F1408" s="25" t="str">
        <f t="shared" si="85"/>
        <v xml:space="preserve"> </v>
      </c>
      <c r="G1408" s="24"/>
      <c r="H1408" s="25" t="str">
        <f t="shared" si="86"/>
        <v xml:space="preserve"> </v>
      </c>
      <c r="I1408" s="26"/>
      <c r="J1408" s="27" t="str">
        <f t="shared" si="87"/>
        <v xml:space="preserve"> </v>
      </c>
    </row>
    <row r="1409" spans="1:10" x14ac:dyDescent="0.3">
      <c r="A1409" s="23" t="str">
        <f t="shared" si="84"/>
        <v xml:space="preserve"> </v>
      </c>
      <c r="B1409" s="24"/>
      <c r="C1409" s="4"/>
      <c r="D1409" s="24"/>
      <c r="E1409" s="24"/>
      <c r="F1409" s="25" t="str">
        <f t="shared" si="85"/>
        <v xml:space="preserve"> </v>
      </c>
      <c r="G1409" s="24"/>
      <c r="H1409" s="25" t="str">
        <f t="shared" si="86"/>
        <v xml:space="preserve"> </v>
      </c>
      <c r="I1409" s="26"/>
      <c r="J1409" s="27" t="str">
        <f t="shared" si="87"/>
        <v xml:space="preserve"> </v>
      </c>
    </row>
    <row r="1410" spans="1:10" x14ac:dyDescent="0.3">
      <c r="A1410" s="23" t="str">
        <f t="shared" si="84"/>
        <v xml:space="preserve"> </v>
      </c>
      <c r="B1410" s="24"/>
      <c r="C1410" s="4"/>
      <c r="D1410" s="24"/>
      <c r="E1410" s="24"/>
      <c r="F1410" s="25" t="str">
        <f t="shared" si="85"/>
        <v xml:space="preserve"> </v>
      </c>
      <c r="G1410" s="24"/>
      <c r="H1410" s="25" t="str">
        <f t="shared" si="86"/>
        <v xml:space="preserve"> </v>
      </c>
      <c r="I1410" s="26"/>
      <c r="J1410" s="27" t="str">
        <f t="shared" si="87"/>
        <v xml:space="preserve"> </v>
      </c>
    </row>
    <row r="1411" spans="1:10" x14ac:dyDescent="0.3">
      <c r="A1411" s="23" t="str">
        <f t="shared" si="84"/>
        <v xml:space="preserve"> </v>
      </c>
      <c r="B1411" s="24"/>
      <c r="C1411" s="4"/>
      <c r="D1411" s="24"/>
      <c r="E1411" s="24"/>
      <c r="F1411" s="25" t="str">
        <f t="shared" si="85"/>
        <v xml:space="preserve"> </v>
      </c>
      <c r="G1411" s="24"/>
      <c r="H1411" s="25" t="str">
        <f t="shared" si="86"/>
        <v xml:space="preserve"> </v>
      </c>
      <c r="I1411" s="26"/>
      <c r="J1411" s="27" t="str">
        <f t="shared" si="87"/>
        <v xml:space="preserve"> </v>
      </c>
    </row>
    <row r="1412" spans="1:10" x14ac:dyDescent="0.3">
      <c r="A1412" s="23" t="str">
        <f t="shared" si="84"/>
        <v xml:space="preserve"> </v>
      </c>
      <c r="B1412" s="24"/>
      <c r="C1412" s="4"/>
      <c r="D1412" s="24"/>
      <c r="E1412" s="24"/>
      <c r="F1412" s="25" t="str">
        <f t="shared" si="85"/>
        <v xml:space="preserve"> </v>
      </c>
      <c r="G1412" s="24"/>
      <c r="H1412" s="25" t="str">
        <f t="shared" si="86"/>
        <v xml:space="preserve"> </v>
      </c>
      <c r="I1412" s="26"/>
      <c r="J1412" s="27" t="str">
        <f t="shared" si="87"/>
        <v xml:space="preserve"> </v>
      </c>
    </row>
    <row r="1413" spans="1:10" x14ac:dyDescent="0.3">
      <c r="A1413" s="23" t="str">
        <f t="shared" ref="A1413:A1476" si="88">IF(C1413&gt;0,RIGHT($D$3,10)," ")</f>
        <v xml:space="preserve"> </v>
      </c>
      <c r="B1413" s="24"/>
      <c r="C1413" s="4"/>
      <c r="D1413" s="24"/>
      <c r="E1413" s="24"/>
      <c r="F1413" s="25" t="str">
        <f t="shared" ref="F1413:F1476" si="89">IF(C1413&gt;0,$C$3," ")</f>
        <v xml:space="preserve"> </v>
      </c>
      <c r="G1413" s="24"/>
      <c r="H1413" s="25" t="str">
        <f t="shared" ref="H1413:H1476" si="90">IF(G1413&gt;0,"Pcs."," ")</f>
        <v xml:space="preserve"> </v>
      </c>
      <c r="I1413" s="26"/>
      <c r="J1413" s="27" t="str">
        <f t="shared" ref="J1413:J1476" si="91">IF(I1413*G1413=0," ",I1413*G1413)</f>
        <v xml:space="preserve"> </v>
      </c>
    </row>
    <row r="1414" spans="1:10" x14ac:dyDescent="0.3">
      <c r="A1414" s="23" t="str">
        <f t="shared" si="88"/>
        <v xml:space="preserve"> </v>
      </c>
      <c r="B1414" s="24"/>
      <c r="C1414" s="4"/>
      <c r="D1414" s="24"/>
      <c r="E1414" s="24"/>
      <c r="F1414" s="25" t="str">
        <f t="shared" si="89"/>
        <v xml:space="preserve"> </v>
      </c>
      <c r="G1414" s="24"/>
      <c r="H1414" s="25" t="str">
        <f t="shared" si="90"/>
        <v xml:space="preserve"> </v>
      </c>
      <c r="I1414" s="26"/>
      <c r="J1414" s="27" t="str">
        <f t="shared" si="91"/>
        <v xml:space="preserve"> </v>
      </c>
    </row>
    <row r="1415" spans="1:10" x14ac:dyDescent="0.3">
      <c r="A1415" s="23" t="str">
        <f t="shared" si="88"/>
        <v xml:space="preserve"> </v>
      </c>
      <c r="B1415" s="24"/>
      <c r="C1415" s="4"/>
      <c r="D1415" s="24"/>
      <c r="E1415" s="24"/>
      <c r="F1415" s="25" t="str">
        <f t="shared" si="89"/>
        <v xml:space="preserve"> </v>
      </c>
      <c r="G1415" s="24"/>
      <c r="H1415" s="25" t="str">
        <f t="shared" si="90"/>
        <v xml:space="preserve"> </v>
      </c>
      <c r="I1415" s="26"/>
      <c r="J1415" s="27" t="str">
        <f t="shared" si="91"/>
        <v xml:space="preserve"> </v>
      </c>
    </row>
    <row r="1416" spans="1:10" x14ac:dyDescent="0.3">
      <c r="A1416" s="23" t="str">
        <f t="shared" si="88"/>
        <v xml:space="preserve"> </v>
      </c>
      <c r="B1416" s="24"/>
      <c r="C1416" s="4"/>
      <c r="D1416" s="24"/>
      <c r="E1416" s="24"/>
      <c r="F1416" s="25" t="str">
        <f t="shared" si="89"/>
        <v xml:space="preserve"> </v>
      </c>
      <c r="G1416" s="24"/>
      <c r="H1416" s="25" t="str">
        <f t="shared" si="90"/>
        <v xml:space="preserve"> </v>
      </c>
      <c r="I1416" s="26"/>
      <c r="J1416" s="27" t="str">
        <f t="shared" si="91"/>
        <v xml:space="preserve"> </v>
      </c>
    </row>
    <row r="1417" spans="1:10" x14ac:dyDescent="0.3">
      <c r="A1417" s="23" t="str">
        <f t="shared" si="88"/>
        <v xml:space="preserve"> </v>
      </c>
      <c r="B1417" s="24"/>
      <c r="C1417" s="4"/>
      <c r="D1417" s="24"/>
      <c r="E1417" s="24"/>
      <c r="F1417" s="25" t="str">
        <f t="shared" si="89"/>
        <v xml:space="preserve"> </v>
      </c>
      <c r="G1417" s="24"/>
      <c r="H1417" s="25" t="str">
        <f t="shared" si="90"/>
        <v xml:space="preserve"> </v>
      </c>
      <c r="I1417" s="26"/>
      <c r="J1417" s="27" t="str">
        <f t="shared" si="91"/>
        <v xml:space="preserve"> </v>
      </c>
    </row>
    <row r="1418" spans="1:10" x14ac:dyDescent="0.3">
      <c r="A1418" s="23" t="str">
        <f t="shared" si="88"/>
        <v xml:space="preserve"> </v>
      </c>
      <c r="B1418" s="24"/>
      <c r="C1418" s="4"/>
      <c r="D1418" s="24"/>
      <c r="E1418" s="24"/>
      <c r="F1418" s="25" t="str">
        <f t="shared" si="89"/>
        <v xml:space="preserve"> </v>
      </c>
      <c r="G1418" s="24"/>
      <c r="H1418" s="25" t="str">
        <f t="shared" si="90"/>
        <v xml:space="preserve"> </v>
      </c>
      <c r="I1418" s="26"/>
      <c r="J1418" s="27" t="str">
        <f t="shared" si="91"/>
        <v xml:space="preserve"> </v>
      </c>
    </row>
    <row r="1419" spans="1:10" x14ac:dyDescent="0.3">
      <c r="A1419" s="23" t="str">
        <f t="shared" si="88"/>
        <v xml:space="preserve"> </v>
      </c>
      <c r="B1419" s="24"/>
      <c r="C1419" s="4"/>
      <c r="D1419" s="24"/>
      <c r="E1419" s="24"/>
      <c r="F1419" s="25" t="str">
        <f t="shared" si="89"/>
        <v xml:space="preserve"> </v>
      </c>
      <c r="G1419" s="24"/>
      <c r="H1419" s="25" t="str">
        <f t="shared" si="90"/>
        <v xml:space="preserve"> </v>
      </c>
      <c r="I1419" s="26"/>
      <c r="J1419" s="27" t="str">
        <f t="shared" si="91"/>
        <v xml:space="preserve"> </v>
      </c>
    </row>
    <row r="1420" spans="1:10" x14ac:dyDescent="0.3">
      <c r="A1420" s="23" t="str">
        <f t="shared" si="88"/>
        <v xml:space="preserve"> </v>
      </c>
      <c r="B1420" s="24"/>
      <c r="C1420" s="4"/>
      <c r="D1420" s="24"/>
      <c r="E1420" s="24"/>
      <c r="F1420" s="25" t="str">
        <f t="shared" si="89"/>
        <v xml:space="preserve"> </v>
      </c>
      <c r="G1420" s="24"/>
      <c r="H1420" s="25" t="str">
        <f t="shared" si="90"/>
        <v xml:space="preserve"> </v>
      </c>
      <c r="I1420" s="26"/>
      <c r="J1420" s="27" t="str">
        <f t="shared" si="91"/>
        <v xml:space="preserve"> </v>
      </c>
    </row>
    <row r="1421" spans="1:10" x14ac:dyDescent="0.3">
      <c r="A1421" s="23" t="str">
        <f t="shared" si="88"/>
        <v xml:space="preserve"> </v>
      </c>
      <c r="B1421" s="24"/>
      <c r="C1421" s="4"/>
      <c r="D1421" s="24"/>
      <c r="E1421" s="24"/>
      <c r="F1421" s="25" t="str">
        <f t="shared" si="89"/>
        <v xml:space="preserve"> </v>
      </c>
      <c r="G1421" s="24"/>
      <c r="H1421" s="25" t="str">
        <f t="shared" si="90"/>
        <v xml:space="preserve"> </v>
      </c>
      <c r="I1421" s="26"/>
      <c r="J1421" s="27" t="str">
        <f t="shared" si="91"/>
        <v xml:space="preserve"> </v>
      </c>
    </row>
    <row r="1422" spans="1:10" x14ac:dyDescent="0.3">
      <c r="A1422" s="23" t="str">
        <f t="shared" si="88"/>
        <v xml:space="preserve"> </v>
      </c>
      <c r="B1422" s="24"/>
      <c r="C1422" s="4"/>
      <c r="D1422" s="24"/>
      <c r="E1422" s="24"/>
      <c r="F1422" s="25" t="str">
        <f t="shared" si="89"/>
        <v xml:space="preserve"> </v>
      </c>
      <c r="G1422" s="24"/>
      <c r="H1422" s="25" t="str">
        <f t="shared" si="90"/>
        <v xml:space="preserve"> </v>
      </c>
      <c r="I1422" s="26"/>
      <c r="J1422" s="27" t="str">
        <f t="shared" si="91"/>
        <v xml:space="preserve"> </v>
      </c>
    </row>
    <row r="1423" spans="1:10" x14ac:dyDescent="0.3">
      <c r="A1423" s="23" t="str">
        <f t="shared" si="88"/>
        <v xml:space="preserve"> </v>
      </c>
      <c r="B1423" s="24"/>
      <c r="C1423" s="4"/>
      <c r="D1423" s="24"/>
      <c r="E1423" s="24"/>
      <c r="F1423" s="25" t="str">
        <f t="shared" si="89"/>
        <v xml:space="preserve"> </v>
      </c>
      <c r="G1423" s="24"/>
      <c r="H1423" s="25" t="str">
        <f t="shared" si="90"/>
        <v xml:space="preserve"> </v>
      </c>
      <c r="I1423" s="26"/>
      <c r="J1423" s="27" t="str">
        <f t="shared" si="91"/>
        <v xml:space="preserve"> </v>
      </c>
    </row>
    <row r="1424" spans="1:10" x14ac:dyDescent="0.3">
      <c r="A1424" s="23" t="str">
        <f t="shared" si="88"/>
        <v xml:space="preserve"> </v>
      </c>
      <c r="B1424" s="24"/>
      <c r="C1424" s="4"/>
      <c r="D1424" s="24"/>
      <c r="E1424" s="24"/>
      <c r="F1424" s="25" t="str">
        <f t="shared" si="89"/>
        <v xml:space="preserve"> </v>
      </c>
      <c r="G1424" s="24"/>
      <c r="H1424" s="25" t="str">
        <f t="shared" si="90"/>
        <v xml:space="preserve"> </v>
      </c>
      <c r="I1424" s="26"/>
      <c r="J1424" s="27" t="str">
        <f t="shared" si="91"/>
        <v xml:space="preserve"> </v>
      </c>
    </row>
    <row r="1425" spans="1:10" x14ac:dyDescent="0.3">
      <c r="A1425" s="23" t="str">
        <f t="shared" si="88"/>
        <v xml:space="preserve"> </v>
      </c>
      <c r="B1425" s="24"/>
      <c r="C1425" s="4"/>
      <c r="D1425" s="24"/>
      <c r="E1425" s="24"/>
      <c r="F1425" s="25" t="str">
        <f t="shared" si="89"/>
        <v xml:space="preserve"> </v>
      </c>
      <c r="G1425" s="24"/>
      <c r="H1425" s="25" t="str">
        <f t="shared" si="90"/>
        <v xml:space="preserve"> </v>
      </c>
      <c r="I1425" s="26"/>
      <c r="J1425" s="27" t="str">
        <f t="shared" si="91"/>
        <v xml:space="preserve"> </v>
      </c>
    </row>
    <row r="1426" spans="1:10" x14ac:dyDescent="0.3">
      <c r="A1426" s="23" t="str">
        <f t="shared" si="88"/>
        <v xml:space="preserve"> </v>
      </c>
      <c r="B1426" s="24"/>
      <c r="C1426" s="4"/>
      <c r="D1426" s="24"/>
      <c r="E1426" s="24"/>
      <c r="F1426" s="25" t="str">
        <f t="shared" si="89"/>
        <v xml:space="preserve"> </v>
      </c>
      <c r="G1426" s="24"/>
      <c r="H1426" s="25" t="str">
        <f t="shared" si="90"/>
        <v xml:space="preserve"> </v>
      </c>
      <c r="I1426" s="26"/>
      <c r="J1426" s="27" t="str">
        <f t="shared" si="91"/>
        <v xml:space="preserve"> </v>
      </c>
    </row>
    <row r="1427" spans="1:10" x14ac:dyDescent="0.3">
      <c r="A1427" s="23" t="str">
        <f t="shared" si="88"/>
        <v xml:space="preserve"> </v>
      </c>
      <c r="B1427" s="24"/>
      <c r="C1427" s="4"/>
      <c r="D1427" s="24"/>
      <c r="E1427" s="24"/>
      <c r="F1427" s="25" t="str">
        <f t="shared" si="89"/>
        <v xml:space="preserve"> </v>
      </c>
      <c r="G1427" s="24"/>
      <c r="H1427" s="25" t="str">
        <f t="shared" si="90"/>
        <v xml:space="preserve"> </v>
      </c>
      <c r="I1427" s="26"/>
      <c r="J1427" s="27" t="str">
        <f t="shared" si="91"/>
        <v xml:space="preserve"> </v>
      </c>
    </row>
    <row r="1428" spans="1:10" x14ac:dyDescent="0.3">
      <c r="A1428" s="23" t="str">
        <f t="shared" si="88"/>
        <v xml:space="preserve"> </v>
      </c>
      <c r="B1428" s="24"/>
      <c r="C1428" s="4"/>
      <c r="D1428" s="24"/>
      <c r="E1428" s="24"/>
      <c r="F1428" s="25" t="str">
        <f t="shared" si="89"/>
        <v xml:space="preserve"> </v>
      </c>
      <c r="G1428" s="24"/>
      <c r="H1428" s="25" t="str">
        <f t="shared" si="90"/>
        <v xml:space="preserve"> </v>
      </c>
      <c r="I1428" s="26"/>
      <c r="J1428" s="27" t="str">
        <f t="shared" si="91"/>
        <v xml:space="preserve"> </v>
      </c>
    </row>
    <row r="1429" spans="1:10" x14ac:dyDescent="0.3">
      <c r="A1429" s="23" t="str">
        <f t="shared" si="88"/>
        <v xml:space="preserve"> </v>
      </c>
      <c r="B1429" s="24"/>
      <c r="C1429" s="4"/>
      <c r="D1429" s="24"/>
      <c r="E1429" s="24"/>
      <c r="F1429" s="25" t="str">
        <f t="shared" si="89"/>
        <v xml:space="preserve"> </v>
      </c>
      <c r="G1429" s="24"/>
      <c r="H1429" s="25" t="str">
        <f t="shared" si="90"/>
        <v xml:space="preserve"> </v>
      </c>
      <c r="I1429" s="26"/>
      <c r="J1429" s="27" t="str">
        <f t="shared" si="91"/>
        <v xml:space="preserve"> </v>
      </c>
    </row>
    <row r="1430" spans="1:10" x14ac:dyDescent="0.3">
      <c r="A1430" s="23" t="str">
        <f t="shared" si="88"/>
        <v xml:space="preserve"> </v>
      </c>
      <c r="B1430" s="24"/>
      <c r="C1430" s="4"/>
      <c r="D1430" s="24"/>
      <c r="E1430" s="24"/>
      <c r="F1430" s="25" t="str">
        <f t="shared" si="89"/>
        <v xml:space="preserve"> </v>
      </c>
      <c r="G1430" s="24"/>
      <c r="H1430" s="25" t="str">
        <f t="shared" si="90"/>
        <v xml:space="preserve"> </v>
      </c>
      <c r="I1430" s="26"/>
      <c r="J1430" s="27" t="str">
        <f t="shared" si="91"/>
        <v xml:space="preserve"> </v>
      </c>
    </row>
    <row r="1431" spans="1:10" x14ac:dyDescent="0.3">
      <c r="A1431" s="23" t="str">
        <f t="shared" si="88"/>
        <v xml:space="preserve"> </v>
      </c>
      <c r="B1431" s="24"/>
      <c r="C1431" s="4"/>
      <c r="D1431" s="24"/>
      <c r="E1431" s="24"/>
      <c r="F1431" s="25" t="str">
        <f t="shared" si="89"/>
        <v xml:space="preserve"> </v>
      </c>
      <c r="G1431" s="24"/>
      <c r="H1431" s="25" t="str">
        <f t="shared" si="90"/>
        <v xml:space="preserve"> </v>
      </c>
      <c r="I1431" s="26"/>
      <c r="J1431" s="27" t="str">
        <f t="shared" si="91"/>
        <v xml:space="preserve"> </v>
      </c>
    </row>
    <row r="1432" spans="1:10" x14ac:dyDescent="0.3">
      <c r="A1432" s="23" t="str">
        <f t="shared" si="88"/>
        <v xml:space="preserve"> </v>
      </c>
      <c r="B1432" s="24"/>
      <c r="C1432" s="4"/>
      <c r="D1432" s="24"/>
      <c r="E1432" s="24"/>
      <c r="F1432" s="25" t="str">
        <f t="shared" si="89"/>
        <v xml:space="preserve"> </v>
      </c>
      <c r="G1432" s="24"/>
      <c r="H1432" s="25" t="str">
        <f t="shared" si="90"/>
        <v xml:space="preserve"> </v>
      </c>
      <c r="I1432" s="26"/>
      <c r="J1432" s="27" t="str">
        <f t="shared" si="91"/>
        <v xml:space="preserve"> </v>
      </c>
    </row>
    <row r="1433" spans="1:10" x14ac:dyDescent="0.3">
      <c r="A1433" s="23" t="str">
        <f t="shared" si="88"/>
        <v xml:space="preserve"> </v>
      </c>
      <c r="B1433" s="24"/>
      <c r="C1433" s="4"/>
      <c r="D1433" s="24"/>
      <c r="E1433" s="24"/>
      <c r="F1433" s="25" t="str">
        <f t="shared" si="89"/>
        <v xml:space="preserve"> </v>
      </c>
      <c r="G1433" s="24"/>
      <c r="H1433" s="25" t="str">
        <f t="shared" si="90"/>
        <v xml:space="preserve"> </v>
      </c>
      <c r="I1433" s="26"/>
      <c r="J1433" s="27" t="str">
        <f t="shared" si="91"/>
        <v xml:space="preserve"> </v>
      </c>
    </row>
    <row r="1434" spans="1:10" x14ac:dyDescent="0.3">
      <c r="A1434" s="23" t="str">
        <f t="shared" si="88"/>
        <v xml:space="preserve"> </v>
      </c>
      <c r="B1434" s="24"/>
      <c r="C1434" s="4"/>
      <c r="D1434" s="24"/>
      <c r="E1434" s="24"/>
      <c r="F1434" s="25" t="str">
        <f t="shared" si="89"/>
        <v xml:space="preserve"> </v>
      </c>
      <c r="G1434" s="24"/>
      <c r="H1434" s="25" t="str">
        <f t="shared" si="90"/>
        <v xml:space="preserve"> </v>
      </c>
      <c r="I1434" s="26"/>
      <c r="J1434" s="27" t="str">
        <f t="shared" si="91"/>
        <v xml:space="preserve"> </v>
      </c>
    </row>
    <row r="1435" spans="1:10" x14ac:dyDescent="0.3">
      <c r="A1435" s="23" t="str">
        <f t="shared" si="88"/>
        <v xml:space="preserve"> </v>
      </c>
      <c r="B1435" s="24"/>
      <c r="C1435" s="4"/>
      <c r="D1435" s="24"/>
      <c r="E1435" s="24"/>
      <c r="F1435" s="25" t="str">
        <f t="shared" si="89"/>
        <v xml:space="preserve"> </v>
      </c>
      <c r="G1435" s="24"/>
      <c r="H1435" s="25" t="str">
        <f t="shared" si="90"/>
        <v xml:space="preserve"> </v>
      </c>
      <c r="I1435" s="26"/>
      <c r="J1435" s="27" t="str">
        <f t="shared" si="91"/>
        <v xml:space="preserve"> </v>
      </c>
    </row>
    <row r="1436" spans="1:10" x14ac:dyDescent="0.3">
      <c r="A1436" s="23" t="str">
        <f t="shared" si="88"/>
        <v xml:space="preserve"> </v>
      </c>
      <c r="B1436" s="24"/>
      <c r="C1436" s="4"/>
      <c r="D1436" s="24"/>
      <c r="E1436" s="24"/>
      <c r="F1436" s="25" t="str">
        <f t="shared" si="89"/>
        <v xml:space="preserve"> </v>
      </c>
      <c r="G1436" s="24"/>
      <c r="H1436" s="25" t="str">
        <f t="shared" si="90"/>
        <v xml:space="preserve"> </v>
      </c>
      <c r="I1436" s="26"/>
      <c r="J1436" s="27" t="str">
        <f t="shared" si="91"/>
        <v xml:space="preserve"> </v>
      </c>
    </row>
    <row r="1437" spans="1:10" x14ac:dyDescent="0.3">
      <c r="A1437" s="23" t="str">
        <f t="shared" si="88"/>
        <v xml:space="preserve"> </v>
      </c>
      <c r="B1437" s="24"/>
      <c r="C1437" s="4"/>
      <c r="D1437" s="24"/>
      <c r="E1437" s="24"/>
      <c r="F1437" s="25" t="str">
        <f t="shared" si="89"/>
        <v xml:space="preserve"> </v>
      </c>
      <c r="G1437" s="24"/>
      <c r="H1437" s="25" t="str">
        <f t="shared" si="90"/>
        <v xml:space="preserve"> </v>
      </c>
      <c r="I1437" s="26"/>
      <c r="J1437" s="27" t="str">
        <f t="shared" si="91"/>
        <v xml:space="preserve"> </v>
      </c>
    </row>
    <row r="1438" spans="1:10" x14ac:dyDescent="0.3">
      <c r="A1438" s="23" t="str">
        <f t="shared" si="88"/>
        <v xml:space="preserve"> </v>
      </c>
      <c r="B1438" s="24"/>
      <c r="C1438" s="4"/>
      <c r="D1438" s="24"/>
      <c r="E1438" s="24"/>
      <c r="F1438" s="25" t="str">
        <f t="shared" si="89"/>
        <v xml:space="preserve"> </v>
      </c>
      <c r="G1438" s="24"/>
      <c r="H1438" s="25" t="str">
        <f t="shared" si="90"/>
        <v xml:space="preserve"> </v>
      </c>
      <c r="I1438" s="26"/>
      <c r="J1438" s="27" t="str">
        <f t="shared" si="91"/>
        <v xml:space="preserve"> </v>
      </c>
    </row>
    <row r="1439" spans="1:10" x14ac:dyDescent="0.3">
      <c r="A1439" s="23" t="str">
        <f t="shared" si="88"/>
        <v xml:space="preserve"> </v>
      </c>
      <c r="B1439" s="24"/>
      <c r="C1439" s="4"/>
      <c r="D1439" s="24"/>
      <c r="E1439" s="24"/>
      <c r="F1439" s="25" t="str">
        <f t="shared" si="89"/>
        <v xml:space="preserve"> </v>
      </c>
      <c r="G1439" s="24"/>
      <c r="H1439" s="25" t="str">
        <f t="shared" si="90"/>
        <v xml:space="preserve"> </v>
      </c>
      <c r="I1439" s="26"/>
      <c r="J1439" s="27" t="str">
        <f t="shared" si="91"/>
        <v xml:space="preserve"> </v>
      </c>
    </row>
    <row r="1440" spans="1:10" x14ac:dyDescent="0.3">
      <c r="A1440" s="23" t="str">
        <f t="shared" si="88"/>
        <v xml:space="preserve"> </v>
      </c>
      <c r="B1440" s="24"/>
      <c r="C1440" s="4"/>
      <c r="D1440" s="24"/>
      <c r="E1440" s="24"/>
      <c r="F1440" s="25" t="str">
        <f t="shared" si="89"/>
        <v xml:space="preserve"> </v>
      </c>
      <c r="G1440" s="24"/>
      <c r="H1440" s="25" t="str">
        <f t="shared" si="90"/>
        <v xml:space="preserve"> </v>
      </c>
      <c r="I1440" s="26"/>
      <c r="J1440" s="27" t="str">
        <f t="shared" si="91"/>
        <v xml:space="preserve"> </v>
      </c>
    </row>
    <row r="1441" spans="1:10" x14ac:dyDescent="0.3">
      <c r="A1441" s="23" t="str">
        <f t="shared" si="88"/>
        <v xml:space="preserve"> </v>
      </c>
      <c r="B1441" s="24"/>
      <c r="C1441" s="4"/>
      <c r="D1441" s="24"/>
      <c r="E1441" s="24"/>
      <c r="F1441" s="25" t="str">
        <f t="shared" si="89"/>
        <v xml:space="preserve"> </v>
      </c>
      <c r="G1441" s="24"/>
      <c r="H1441" s="25" t="str">
        <f t="shared" si="90"/>
        <v xml:space="preserve"> </v>
      </c>
      <c r="I1441" s="26"/>
      <c r="J1441" s="27" t="str">
        <f t="shared" si="91"/>
        <v xml:space="preserve"> </v>
      </c>
    </row>
    <row r="1442" spans="1:10" x14ac:dyDescent="0.3">
      <c r="A1442" s="23" t="str">
        <f t="shared" si="88"/>
        <v xml:space="preserve"> </v>
      </c>
      <c r="B1442" s="24"/>
      <c r="C1442" s="4"/>
      <c r="D1442" s="24"/>
      <c r="E1442" s="24"/>
      <c r="F1442" s="25" t="str">
        <f t="shared" si="89"/>
        <v xml:space="preserve"> </v>
      </c>
      <c r="G1442" s="24"/>
      <c r="H1442" s="25" t="str">
        <f t="shared" si="90"/>
        <v xml:space="preserve"> </v>
      </c>
      <c r="I1442" s="26"/>
      <c r="J1442" s="27" t="str">
        <f t="shared" si="91"/>
        <v xml:space="preserve"> </v>
      </c>
    </row>
    <row r="1443" spans="1:10" x14ac:dyDescent="0.3">
      <c r="A1443" s="23" t="str">
        <f t="shared" si="88"/>
        <v xml:space="preserve"> </v>
      </c>
      <c r="B1443" s="24"/>
      <c r="C1443" s="4"/>
      <c r="D1443" s="24"/>
      <c r="E1443" s="24"/>
      <c r="F1443" s="25" t="str">
        <f t="shared" si="89"/>
        <v xml:space="preserve"> </v>
      </c>
      <c r="G1443" s="24"/>
      <c r="H1443" s="25" t="str">
        <f t="shared" si="90"/>
        <v xml:space="preserve"> </v>
      </c>
      <c r="I1443" s="26"/>
      <c r="J1443" s="27" t="str">
        <f t="shared" si="91"/>
        <v xml:space="preserve"> </v>
      </c>
    </row>
    <row r="1444" spans="1:10" x14ac:dyDescent="0.3">
      <c r="A1444" s="23" t="str">
        <f t="shared" si="88"/>
        <v xml:space="preserve"> </v>
      </c>
      <c r="B1444" s="24"/>
      <c r="C1444" s="4"/>
      <c r="D1444" s="24"/>
      <c r="E1444" s="24"/>
      <c r="F1444" s="25" t="str">
        <f t="shared" si="89"/>
        <v xml:space="preserve"> </v>
      </c>
      <c r="G1444" s="24"/>
      <c r="H1444" s="25" t="str">
        <f t="shared" si="90"/>
        <v xml:space="preserve"> </v>
      </c>
      <c r="I1444" s="26"/>
      <c r="J1444" s="27" t="str">
        <f t="shared" si="91"/>
        <v xml:space="preserve"> </v>
      </c>
    </row>
    <row r="1445" spans="1:10" x14ac:dyDescent="0.3">
      <c r="A1445" s="23" t="str">
        <f t="shared" si="88"/>
        <v xml:space="preserve"> </v>
      </c>
      <c r="B1445" s="24"/>
      <c r="C1445" s="4"/>
      <c r="D1445" s="24"/>
      <c r="E1445" s="24"/>
      <c r="F1445" s="25" t="str">
        <f t="shared" si="89"/>
        <v xml:space="preserve"> </v>
      </c>
      <c r="G1445" s="24"/>
      <c r="H1445" s="25" t="str">
        <f t="shared" si="90"/>
        <v xml:space="preserve"> </v>
      </c>
      <c r="I1445" s="26"/>
      <c r="J1445" s="27" t="str">
        <f t="shared" si="91"/>
        <v xml:space="preserve"> </v>
      </c>
    </row>
    <row r="1446" spans="1:10" x14ac:dyDescent="0.3">
      <c r="A1446" s="23" t="str">
        <f t="shared" si="88"/>
        <v xml:space="preserve"> </v>
      </c>
      <c r="B1446" s="24"/>
      <c r="C1446" s="4"/>
      <c r="D1446" s="24"/>
      <c r="E1446" s="24"/>
      <c r="F1446" s="25" t="str">
        <f t="shared" si="89"/>
        <v xml:space="preserve"> </v>
      </c>
      <c r="G1446" s="24"/>
      <c r="H1446" s="25" t="str">
        <f t="shared" si="90"/>
        <v xml:space="preserve"> </v>
      </c>
      <c r="I1446" s="26"/>
      <c r="J1446" s="27" t="str">
        <f t="shared" si="91"/>
        <v xml:space="preserve"> </v>
      </c>
    </row>
    <row r="1447" spans="1:10" x14ac:dyDescent="0.3">
      <c r="A1447" s="23" t="str">
        <f t="shared" si="88"/>
        <v xml:space="preserve"> </v>
      </c>
      <c r="B1447" s="24"/>
      <c r="C1447" s="4"/>
      <c r="D1447" s="24"/>
      <c r="E1447" s="24"/>
      <c r="F1447" s="25" t="str">
        <f t="shared" si="89"/>
        <v xml:space="preserve"> </v>
      </c>
      <c r="G1447" s="24"/>
      <c r="H1447" s="25" t="str">
        <f t="shared" si="90"/>
        <v xml:space="preserve"> </v>
      </c>
      <c r="I1447" s="26"/>
      <c r="J1447" s="27" t="str">
        <f t="shared" si="91"/>
        <v xml:space="preserve"> </v>
      </c>
    </row>
    <row r="1448" spans="1:10" x14ac:dyDescent="0.3">
      <c r="A1448" s="23" t="str">
        <f t="shared" si="88"/>
        <v xml:space="preserve"> </v>
      </c>
      <c r="B1448" s="24"/>
      <c r="C1448" s="4"/>
      <c r="D1448" s="24"/>
      <c r="E1448" s="24"/>
      <c r="F1448" s="25" t="str">
        <f t="shared" si="89"/>
        <v xml:space="preserve"> </v>
      </c>
      <c r="G1448" s="24"/>
      <c r="H1448" s="25" t="str">
        <f t="shared" si="90"/>
        <v xml:space="preserve"> </v>
      </c>
      <c r="I1448" s="26"/>
      <c r="J1448" s="27" t="str">
        <f t="shared" si="91"/>
        <v xml:space="preserve"> </v>
      </c>
    </row>
    <row r="1449" spans="1:10" x14ac:dyDescent="0.3">
      <c r="A1449" s="23" t="str">
        <f t="shared" si="88"/>
        <v xml:space="preserve"> </v>
      </c>
      <c r="B1449" s="24"/>
      <c r="C1449" s="4"/>
      <c r="D1449" s="24"/>
      <c r="E1449" s="24"/>
      <c r="F1449" s="25" t="str">
        <f t="shared" si="89"/>
        <v xml:space="preserve"> </v>
      </c>
      <c r="G1449" s="24"/>
      <c r="H1449" s="25" t="str">
        <f t="shared" si="90"/>
        <v xml:space="preserve"> </v>
      </c>
      <c r="I1449" s="26"/>
      <c r="J1449" s="27" t="str">
        <f t="shared" si="91"/>
        <v xml:space="preserve"> </v>
      </c>
    </row>
    <row r="1450" spans="1:10" x14ac:dyDescent="0.3">
      <c r="A1450" s="23" t="str">
        <f t="shared" si="88"/>
        <v xml:space="preserve"> </v>
      </c>
      <c r="B1450" s="24"/>
      <c r="C1450" s="4"/>
      <c r="D1450" s="24"/>
      <c r="E1450" s="24"/>
      <c r="F1450" s="25" t="str">
        <f t="shared" si="89"/>
        <v xml:space="preserve"> </v>
      </c>
      <c r="G1450" s="24"/>
      <c r="H1450" s="25" t="str">
        <f t="shared" si="90"/>
        <v xml:space="preserve"> </v>
      </c>
      <c r="I1450" s="26"/>
      <c r="J1450" s="27" t="str">
        <f t="shared" si="91"/>
        <v xml:space="preserve"> </v>
      </c>
    </row>
    <row r="1451" spans="1:10" x14ac:dyDescent="0.3">
      <c r="A1451" s="23" t="str">
        <f t="shared" si="88"/>
        <v xml:space="preserve"> </v>
      </c>
      <c r="B1451" s="24"/>
      <c r="C1451" s="4"/>
      <c r="D1451" s="24"/>
      <c r="E1451" s="24"/>
      <c r="F1451" s="25" t="str">
        <f t="shared" si="89"/>
        <v xml:space="preserve"> </v>
      </c>
      <c r="G1451" s="24"/>
      <c r="H1451" s="25" t="str">
        <f t="shared" si="90"/>
        <v xml:space="preserve"> </v>
      </c>
      <c r="I1451" s="26"/>
      <c r="J1451" s="27" t="str">
        <f t="shared" si="91"/>
        <v xml:space="preserve"> </v>
      </c>
    </row>
    <row r="1452" spans="1:10" x14ac:dyDescent="0.3">
      <c r="A1452" s="23" t="str">
        <f t="shared" si="88"/>
        <v xml:space="preserve"> </v>
      </c>
      <c r="B1452" s="24"/>
      <c r="C1452" s="4"/>
      <c r="D1452" s="24"/>
      <c r="E1452" s="24"/>
      <c r="F1452" s="25" t="str">
        <f t="shared" si="89"/>
        <v xml:space="preserve"> </v>
      </c>
      <c r="G1452" s="24"/>
      <c r="H1452" s="25" t="str">
        <f t="shared" si="90"/>
        <v xml:space="preserve"> </v>
      </c>
      <c r="I1452" s="26"/>
      <c r="J1452" s="27" t="str">
        <f t="shared" si="91"/>
        <v xml:space="preserve"> </v>
      </c>
    </row>
    <row r="1453" spans="1:10" x14ac:dyDescent="0.3">
      <c r="A1453" s="23" t="str">
        <f t="shared" si="88"/>
        <v xml:space="preserve"> </v>
      </c>
      <c r="B1453" s="24"/>
      <c r="C1453" s="4"/>
      <c r="D1453" s="24"/>
      <c r="E1453" s="24"/>
      <c r="F1453" s="25" t="str">
        <f t="shared" si="89"/>
        <v xml:space="preserve"> </v>
      </c>
      <c r="G1453" s="24"/>
      <c r="H1453" s="25" t="str">
        <f t="shared" si="90"/>
        <v xml:space="preserve"> </v>
      </c>
      <c r="I1453" s="26"/>
      <c r="J1453" s="27" t="str">
        <f t="shared" si="91"/>
        <v xml:space="preserve"> </v>
      </c>
    </row>
    <row r="1454" spans="1:10" x14ac:dyDescent="0.3">
      <c r="A1454" s="23" t="str">
        <f t="shared" si="88"/>
        <v xml:space="preserve"> </v>
      </c>
      <c r="B1454" s="24"/>
      <c r="C1454" s="4"/>
      <c r="D1454" s="24"/>
      <c r="E1454" s="24"/>
      <c r="F1454" s="25" t="str">
        <f t="shared" si="89"/>
        <v xml:space="preserve"> </v>
      </c>
      <c r="G1454" s="24"/>
      <c r="H1454" s="25" t="str">
        <f t="shared" si="90"/>
        <v xml:space="preserve"> </v>
      </c>
      <c r="I1454" s="26"/>
      <c r="J1454" s="27" t="str">
        <f t="shared" si="91"/>
        <v xml:space="preserve"> </v>
      </c>
    </row>
    <row r="1455" spans="1:10" x14ac:dyDescent="0.3">
      <c r="A1455" s="23" t="str">
        <f t="shared" si="88"/>
        <v xml:space="preserve"> </v>
      </c>
      <c r="B1455" s="24"/>
      <c r="C1455" s="4"/>
      <c r="D1455" s="24"/>
      <c r="E1455" s="24"/>
      <c r="F1455" s="25" t="str">
        <f t="shared" si="89"/>
        <v xml:space="preserve"> </v>
      </c>
      <c r="G1455" s="24"/>
      <c r="H1455" s="25" t="str">
        <f t="shared" si="90"/>
        <v xml:space="preserve"> </v>
      </c>
      <c r="I1455" s="26"/>
      <c r="J1455" s="27" t="str">
        <f t="shared" si="91"/>
        <v xml:space="preserve"> </v>
      </c>
    </row>
    <row r="1456" spans="1:10" x14ac:dyDescent="0.3">
      <c r="A1456" s="23" t="str">
        <f t="shared" si="88"/>
        <v xml:space="preserve"> </v>
      </c>
      <c r="B1456" s="24"/>
      <c r="C1456" s="4"/>
      <c r="D1456" s="24"/>
      <c r="E1456" s="24"/>
      <c r="F1456" s="25" t="str">
        <f t="shared" si="89"/>
        <v xml:space="preserve"> </v>
      </c>
      <c r="G1456" s="24"/>
      <c r="H1456" s="25" t="str">
        <f t="shared" si="90"/>
        <v xml:space="preserve"> </v>
      </c>
      <c r="I1456" s="26"/>
      <c r="J1456" s="27" t="str">
        <f t="shared" si="91"/>
        <v xml:space="preserve"> </v>
      </c>
    </row>
    <row r="1457" spans="1:10" x14ac:dyDescent="0.3">
      <c r="A1457" s="23" t="str">
        <f t="shared" si="88"/>
        <v xml:space="preserve"> </v>
      </c>
      <c r="B1457" s="24"/>
      <c r="C1457" s="4"/>
      <c r="D1457" s="24"/>
      <c r="E1457" s="24"/>
      <c r="F1457" s="25" t="str">
        <f t="shared" si="89"/>
        <v xml:space="preserve"> </v>
      </c>
      <c r="G1457" s="24"/>
      <c r="H1457" s="25" t="str">
        <f t="shared" si="90"/>
        <v xml:space="preserve"> </v>
      </c>
      <c r="I1457" s="26"/>
      <c r="J1457" s="27" t="str">
        <f t="shared" si="91"/>
        <v xml:space="preserve"> </v>
      </c>
    </row>
    <row r="1458" spans="1:10" x14ac:dyDescent="0.3">
      <c r="A1458" s="23" t="str">
        <f t="shared" si="88"/>
        <v xml:space="preserve"> </v>
      </c>
      <c r="B1458" s="24"/>
      <c r="C1458" s="4"/>
      <c r="D1458" s="24"/>
      <c r="E1458" s="24"/>
      <c r="F1458" s="25" t="str">
        <f t="shared" si="89"/>
        <v xml:space="preserve"> </v>
      </c>
      <c r="G1458" s="24"/>
      <c r="H1458" s="25" t="str">
        <f t="shared" si="90"/>
        <v xml:space="preserve"> </v>
      </c>
      <c r="I1458" s="26"/>
      <c r="J1458" s="27" t="str">
        <f t="shared" si="91"/>
        <v xml:space="preserve"> </v>
      </c>
    </row>
    <row r="1459" spans="1:10" x14ac:dyDescent="0.3">
      <c r="A1459" s="23" t="str">
        <f t="shared" si="88"/>
        <v xml:space="preserve"> </v>
      </c>
      <c r="B1459" s="24"/>
      <c r="C1459" s="4"/>
      <c r="D1459" s="24"/>
      <c r="E1459" s="24"/>
      <c r="F1459" s="25" t="str">
        <f t="shared" si="89"/>
        <v xml:space="preserve"> </v>
      </c>
      <c r="G1459" s="24"/>
      <c r="H1459" s="25" t="str">
        <f t="shared" si="90"/>
        <v xml:space="preserve"> </v>
      </c>
      <c r="I1459" s="26"/>
      <c r="J1459" s="27" t="str">
        <f t="shared" si="91"/>
        <v xml:space="preserve"> </v>
      </c>
    </row>
    <row r="1460" spans="1:10" x14ac:dyDescent="0.3">
      <c r="A1460" s="23" t="str">
        <f t="shared" si="88"/>
        <v xml:space="preserve"> </v>
      </c>
      <c r="B1460" s="24"/>
      <c r="C1460" s="4"/>
      <c r="D1460" s="24"/>
      <c r="E1460" s="24"/>
      <c r="F1460" s="25" t="str">
        <f t="shared" si="89"/>
        <v xml:space="preserve"> </v>
      </c>
      <c r="G1460" s="24"/>
      <c r="H1460" s="25" t="str">
        <f t="shared" si="90"/>
        <v xml:space="preserve"> </v>
      </c>
      <c r="I1460" s="26"/>
      <c r="J1460" s="27" t="str">
        <f t="shared" si="91"/>
        <v xml:space="preserve"> </v>
      </c>
    </row>
    <row r="1461" spans="1:10" x14ac:dyDescent="0.3">
      <c r="A1461" s="23" t="str">
        <f t="shared" si="88"/>
        <v xml:space="preserve"> </v>
      </c>
      <c r="B1461" s="24"/>
      <c r="C1461" s="4"/>
      <c r="D1461" s="24"/>
      <c r="E1461" s="24"/>
      <c r="F1461" s="25" t="str">
        <f t="shared" si="89"/>
        <v xml:space="preserve"> </v>
      </c>
      <c r="G1461" s="24"/>
      <c r="H1461" s="25" t="str">
        <f t="shared" si="90"/>
        <v xml:space="preserve"> </v>
      </c>
      <c r="I1461" s="26"/>
      <c r="J1461" s="27" t="str">
        <f t="shared" si="91"/>
        <v xml:space="preserve"> </v>
      </c>
    </row>
    <row r="1462" spans="1:10" x14ac:dyDescent="0.3">
      <c r="A1462" s="23" t="str">
        <f t="shared" si="88"/>
        <v xml:space="preserve"> </v>
      </c>
      <c r="B1462" s="24"/>
      <c r="C1462" s="4"/>
      <c r="D1462" s="24"/>
      <c r="E1462" s="24"/>
      <c r="F1462" s="25" t="str">
        <f t="shared" si="89"/>
        <v xml:space="preserve"> </v>
      </c>
      <c r="G1462" s="24"/>
      <c r="H1462" s="25" t="str">
        <f t="shared" si="90"/>
        <v xml:space="preserve"> </v>
      </c>
      <c r="I1462" s="26"/>
      <c r="J1462" s="27" t="str">
        <f t="shared" si="91"/>
        <v xml:space="preserve"> </v>
      </c>
    </row>
    <row r="1463" spans="1:10" x14ac:dyDescent="0.3">
      <c r="A1463" s="23" t="str">
        <f t="shared" si="88"/>
        <v xml:space="preserve"> </v>
      </c>
      <c r="B1463" s="24"/>
      <c r="C1463" s="4"/>
      <c r="D1463" s="24"/>
      <c r="E1463" s="24"/>
      <c r="F1463" s="25" t="str">
        <f t="shared" si="89"/>
        <v xml:space="preserve"> </v>
      </c>
      <c r="G1463" s="24"/>
      <c r="H1463" s="25" t="str">
        <f t="shared" si="90"/>
        <v xml:space="preserve"> </v>
      </c>
      <c r="I1463" s="26"/>
      <c r="J1463" s="27" t="str">
        <f t="shared" si="91"/>
        <v xml:space="preserve"> </v>
      </c>
    </row>
    <row r="1464" spans="1:10" x14ac:dyDescent="0.3">
      <c r="A1464" s="23" t="str">
        <f t="shared" si="88"/>
        <v xml:space="preserve"> </v>
      </c>
      <c r="B1464" s="24"/>
      <c r="C1464" s="4"/>
      <c r="D1464" s="24"/>
      <c r="E1464" s="24"/>
      <c r="F1464" s="25" t="str">
        <f t="shared" si="89"/>
        <v xml:space="preserve"> </v>
      </c>
      <c r="G1464" s="24"/>
      <c r="H1464" s="25" t="str">
        <f t="shared" si="90"/>
        <v xml:space="preserve"> </v>
      </c>
      <c r="I1464" s="26"/>
      <c r="J1464" s="27" t="str">
        <f t="shared" si="91"/>
        <v xml:space="preserve"> </v>
      </c>
    </row>
    <row r="1465" spans="1:10" x14ac:dyDescent="0.3">
      <c r="A1465" s="23" t="str">
        <f t="shared" si="88"/>
        <v xml:space="preserve"> </v>
      </c>
      <c r="B1465" s="24"/>
      <c r="C1465" s="4"/>
      <c r="D1465" s="24"/>
      <c r="E1465" s="24"/>
      <c r="F1465" s="25" t="str">
        <f t="shared" si="89"/>
        <v xml:space="preserve"> </v>
      </c>
      <c r="G1465" s="24"/>
      <c r="H1465" s="25" t="str">
        <f t="shared" si="90"/>
        <v xml:space="preserve"> </v>
      </c>
      <c r="I1465" s="26"/>
      <c r="J1465" s="27" t="str">
        <f t="shared" si="91"/>
        <v xml:space="preserve"> </v>
      </c>
    </row>
    <row r="1466" spans="1:10" x14ac:dyDescent="0.3">
      <c r="A1466" s="23" t="str">
        <f t="shared" si="88"/>
        <v xml:space="preserve"> </v>
      </c>
      <c r="B1466" s="24"/>
      <c r="C1466" s="4"/>
      <c r="D1466" s="24"/>
      <c r="E1466" s="24"/>
      <c r="F1466" s="25" t="str">
        <f t="shared" si="89"/>
        <v xml:space="preserve"> </v>
      </c>
      <c r="G1466" s="24"/>
      <c r="H1466" s="25" t="str">
        <f t="shared" si="90"/>
        <v xml:space="preserve"> </v>
      </c>
      <c r="I1466" s="26"/>
      <c r="J1466" s="27" t="str">
        <f t="shared" si="91"/>
        <v xml:space="preserve"> </v>
      </c>
    </row>
    <row r="1467" spans="1:10" x14ac:dyDescent="0.3">
      <c r="A1467" s="23" t="str">
        <f t="shared" si="88"/>
        <v xml:space="preserve"> </v>
      </c>
      <c r="B1467" s="24"/>
      <c r="C1467" s="4"/>
      <c r="D1467" s="24"/>
      <c r="E1467" s="24"/>
      <c r="F1467" s="25" t="str">
        <f t="shared" si="89"/>
        <v xml:space="preserve"> </v>
      </c>
      <c r="G1467" s="24"/>
      <c r="H1467" s="25" t="str">
        <f t="shared" si="90"/>
        <v xml:space="preserve"> </v>
      </c>
      <c r="I1467" s="26"/>
      <c r="J1467" s="27" t="str">
        <f t="shared" si="91"/>
        <v xml:space="preserve"> </v>
      </c>
    </row>
    <row r="1468" spans="1:10" x14ac:dyDescent="0.3">
      <c r="A1468" s="23" t="str">
        <f t="shared" si="88"/>
        <v xml:space="preserve"> </v>
      </c>
      <c r="B1468" s="24"/>
      <c r="C1468" s="4"/>
      <c r="D1468" s="24"/>
      <c r="E1468" s="24"/>
      <c r="F1468" s="25" t="str">
        <f t="shared" si="89"/>
        <v xml:space="preserve"> </v>
      </c>
      <c r="G1468" s="24"/>
      <c r="H1468" s="25" t="str">
        <f t="shared" si="90"/>
        <v xml:space="preserve"> </v>
      </c>
      <c r="I1468" s="26"/>
      <c r="J1468" s="27" t="str">
        <f t="shared" si="91"/>
        <v xml:space="preserve"> </v>
      </c>
    </row>
    <row r="1469" spans="1:10" x14ac:dyDescent="0.3">
      <c r="A1469" s="23" t="str">
        <f t="shared" si="88"/>
        <v xml:space="preserve"> </v>
      </c>
      <c r="B1469" s="24"/>
      <c r="C1469" s="4"/>
      <c r="D1469" s="24"/>
      <c r="E1469" s="24"/>
      <c r="F1469" s="25" t="str">
        <f t="shared" si="89"/>
        <v xml:space="preserve"> </v>
      </c>
      <c r="G1469" s="24"/>
      <c r="H1469" s="25" t="str">
        <f t="shared" si="90"/>
        <v xml:space="preserve"> </v>
      </c>
      <c r="I1469" s="26"/>
      <c r="J1469" s="27" t="str">
        <f t="shared" si="91"/>
        <v xml:space="preserve"> </v>
      </c>
    </row>
    <row r="1470" spans="1:10" x14ac:dyDescent="0.3">
      <c r="A1470" s="23" t="str">
        <f t="shared" si="88"/>
        <v xml:space="preserve"> </v>
      </c>
      <c r="B1470" s="24"/>
      <c r="C1470" s="4"/>
      <c r="D1470" s="24"/>
      <c r="E1470" s="24"/>
      <c r="F1470" s="25" t="str">
        <f t="shared" si="89"/>
        <v xml:space="preserve"> </v>
      </c>
      <c r="G1470" s="24"/>
      <c r="H1470" s="25" t="str">
        <f t="shared" si="90"/>
        <v xml:space="preserve"> </v>
      </c>
      <c r="I1470" s="26"/>
      <c r="J1470" s="27" t="str">
        <f t="shared" si="91"/>
        <v xml:space="preserve"> </v>
      </c>
    </row>
    <row r="1471" spans="1:10" x14ac:dyDescent="0.3">
      <c r="A1471" s="23" t="str">
        <f t="shared" si="88"/>
        <v xml:space="preserve"> </v>
      </c>
      <c r="B1471" s="24"/>
      <c r="C1471" s="4"/>
      <c r="D1471" s="24"/>
      <c r="E1471" s="24"/>
      <c r="F1471" s="25" t="str">
        <f t="shared" si="89"/>
        <v xml:space="preserve"> </v>
      </c>
      <c r="G1471" s="24"/>
      <c r="H1471" s="25" t="str">
        <f t="shared" si="90"/>
        <v xml:space="preserve"> </v>
      </c>
      <c r="I1471" s="26"/>
      <c r="J1471" s="27" t="str">
        <f t="shared" si="91"/>
        <v xml:space="preserve"> </v>
      </c>
    </row>
    <row r="1472" spans="1:10" x14ac:dyDescent="0.3">
      <c r="A1472" s="23" t="str">
        <f t="shared" si="88"/>
        <v xml:space="preserve"> </v>
      </c>
      <c r="B1472" s="24"/>
      <c r="C1472" s="4"/>
      <c r="D1472" s="24"/>
      <c r="E1472" s="24"/>
      <c r="F1472" s="25" t="str">
        <f t="shared" si="89"/>
        <v xml:space="preserve"> </v>
      </c>
      <c r="G1472" s="24"/>
      <c r="H1472" s="25" t="str">
        <f t="shared" si="90"/>
        <v xml:space="preserve"> </v>
      </c>
      <c r="I1472" s="26"/>
      <c r="J1472" s="27" t="str">
        <f t="shared" si="91"/>
        <v xml:space="preserve"> </v>
      </c>
    </row>
    <row r="1473" spans="1:10" x14ac:dyDescent="0.3">
      <c r="A1473" s="23" t="str">
        <f t="shared" si="88"/>
        <v xml:space="preserve"> </v>
      </c>
      <c r="B1473" s="24"/>
      <c r="C1473" s="4"/>
      <c r="D1473" s="24"/>
      <c r="E1473" s="24"/>
      <c r="F1473" s="25" t="str">
        <f t="shared" si="89"/>
        <v xml:space="preserve"> </v>
      </c>
      <c r="G1473" s="24"/>
      <c r="H1473" s="25" t="str">
        <f t="shared" si="90"/>
        <v xml:space="preserve"> </v>
      </c>
      <c r="I1473" s="26"/>
      <c r="J1473" s="27" t="str">
        <f t="shared" si="91"/>
        <v xml:space="preserve"> </v>
      </c>
    </row>
    <row r="1474" spans="1:10" x14ac:dyDescent="0.3">
      <c r="A1474" s="23" t="str">
        <f t="shared" si="88"/>
        <v xml:space="preserve"> </v>
      </c>
      <c r="B1474" s="24"/>
      <c r="C1474" s="4"/>
      <c r="D1474" s="24"/>
      <c r="E1474" s="24"/>
      <c r="F1474" s="25" t="str">
        <f t="shared" si="89"/>
        <v xml:space="preserve"> </v>
      </c>
      <c r="G1474" s="24"/>
      <c r="H1474" s="25" t="str">
        <f t="shared" si="90"/>
        <v xml:space="preserve"> </v>
      </c>
      <c r="I1474" s="26"/>
      <c r="J1474" s="27" t="str">
        <f t="shared" si="91"/>
        <v xml:space="preserve"> </v>
      </c>
    </row>
    <row r="1475" spans="1:10" x14ac:dyDescent="0.3">
      <c r="A1475" s="23" t="str">
        <f t="shared" si="88"/>
        <v xml:space="preserve"> </v>
      </c>
      <c r="B1475" s="24"/>
      <c r="C1475" s="4"/>
      <c r="D1475" s="24"/>
      <c r="E1475" s="24"/>
      <c r="F1475" s="25" t="str">
        <f t="shared" si="89"/>
        <v xml:space="preserve"> </v>
      </c>
      <c r="G1475" s="24"/>
      <c r="H1475" s="25" t="str">
        <f t="shared" si="90"/>
        <v xml:space="preserve"> </v>
      </c>
      <c r="I1475" s="26"/>
      <c r="J1475" s="27" t="str">
        <f t="shared" si="91"/>
        <v xml:space="preserve"> </v>
      </c>
    </row>
    <row r="1476" spans="1:10" x14ac:dyDescent="0.3">
      <c r="A1476" s="23" t="str">
        <f t="shared" si="88"/>
        <v xml:space="preserve"> </v>
      </c>
      <c r="B1476" s="24"/>
      <c r="C1476" s="4"/>
      <c r="D1476" s="24"/>
      <c r="E1476" s="24"/>
      <c r="F1476" s="25" t="str">
        <f t="shared" si="89"/>
        <v xml:space="preserve"> </v>
      </c>
      <c r="G1476" s="24"/>
      <c r="H1476" s="25" t="str">
        <f t="shared" si="90"/>
        <v xml:space="preserve"> </v>
      </c>
      <c r="I1476" s="26"/>
      <c r="J1476" s="27" t="str">
        <f t="shared" si="91"/>
        <v xml:space="preserve"> </v>
      </c>
    </row>
    <row r="1477" spans="1:10" x14ac:dyDescent="0.3">
      <c r="A1477" s="23" t="str">
        <f t="shared" ref="A1477:A1540" si="92">IF(C1477&gt;0,RIGHT($D$3,10)," ")</f>
        <v xml:space="preserve"> </v>
      </c>
      <c r="B1477" s="24"/>
      <c r="C1477" s="4"/>
      <c r="D1477" s="24"/>
      <c r="E1477" s="24"/>
      <c r="F1477" s="25" t="str">
        <f t="shared" ref="F1477:F1540" si="93">IF(C1477&gt;0,$C$3," ")</f>
        <v xml:space="preserve"> </v>
      </c>
      <c r="G1477" s="24"/>
      <c r="H1477" s="25" t="str">
        <f t="shared" ref="H1477:H1540" si="94">IF(G1477&gt;0,"Pcs."," ")</f>
        <v xml:space="preserve"> </v>
      </c>
      <c r="I1477" s="26"/>
      <c r="J1477" s="27" t="str">
        <f t="shared" ref="J1477:J1540" si="95">IF(I1477*G1477=0," ",I1477*G1477)</f>
        <v xml:space="preserve"> </v>
      </c>
    </row>
    <row r="1478" spans="1:10" x14ac:dyDescent="0.3">
      <c r="A1478" s="23" t="str">
        <f t="shared" si="92"/>
        <v xml:space="preserve"> </v>
      </c>
      <c r="B1478" s="24"/>
      <c r="C1478" s="4"/>
      <c r="D1478" s="24"/>
      <c r="E1478" s="24"/>
      <c r="F1478" s="25" t="str">
        <f t="shared" si="93"/>
        <v xml:space="preserve"> </v>
      </c>
      <c r="G1478" s="24"/>
      <c r="H1478" s="25" t="str">
        <f t="shared" si="94"/>
        <v xml:space="preserve"> </v>
      </c>
      <c r="I1478" s="26"/>
      <c r="J1478" s="27" t="str">
        <f t="shared" si="95"/>
        <v xml:space="preserve"> </v>
      </c>
    </row>
    <row r="1479" spans="1:10" x14ac:dyDescent="0.3">
      <c r="A1479" s="23" t="str">
        <f t="shared" si="92"/>
        <v xml:space="preserve"> </v>
      </c>
      <c r="B1479" s="24"/>
      <c r="C1479" s="4"/>
      <c r="D1479" s="24"/>
      <c r="E1479" s="24"/>
      <c r="F1479" s="25" t="str">
        <f t="shared" si="93"/>
        <v xml:space="preserve"> </v>
      </c>
      <c r="G1479" s="24"/>
      <c r="H1479" s="25" t="str">
        <f t="shared" si="94"/>
        <v xml:space="preserve"> </v>
      </c>
      <c r="I1479" s="26"/>
      <c r="J1479" s="27" t="str">
        <f t="shared" si="95"/>
        <v xml:space="preserve"> </v>
      </c>
    </row>
    <row r="1480" spans="1:10" x14ac:dyDescent="0.3">
      <c r="A1480" s="23" t="str">
        <f t="shared" si="92"/>
        <v xml:space="preserve"> </v>
      </c>
      <c r="B1480" s="24"/>
      <c r="C1480" s="4"/>
      <c r="D1480" s="24"/>
      <c r="E1480" s="24"/>
      <c r="F1480" s="25" t="str">
        <f t="shared" si="93"/>
        <v xml:space="preserve"> </v>
      </c>
      <c r="G1480" s="24"/>
      <c r="H1480" s="25" t="str">
        <f t="shared" si="94"/>
        <v xml:space="preserve"> </v>
      </c>
      <c r="I1480" s="26"/>
      <c r="J1480" s="27" t="str">
        <f t="shared" si="95"/>
        <v xml:space="preserve"> </v>
      </c>
    </row>
    <row r="1481" spans="1:10" x14ac:dyDescent="0.3">
      <c r="A1481" s="23" t="str">
        <f t="shared" si="92"/>
        <v xml:space="preserve"> </v>
      </c>
      <c r="B1481" s="24"/>
      <c r="C1481" s="4"/>
      <c r="D1481" s="24"/>
      <c r="E1481" s="24"/>
      <c r="F1481" s="25" t="str">
        <f t="shared" si="93"/>
        <v xml:space="preserve"> </v>
      </c>
      <c r="G1481" s="24"/>
      <c r="H1481" s="25" t="str">
        <f t="shared" si="94"/>
        <v xml:space="preserve"> </v>
      </c>
      <c r="I1481" s="26"/>
      <c r="J1481" s="27" t="str">
        <f t="shared" si="95"/>
        <v xml:space="preserve"> </v>
      </c>
    </row>
    <row r="1482" spans="1:10" x14ac:dyDescent="0.3">
      <c r="A1482" s="23" t="str">
        <f t="shared" si="92"/>
        <v xml:space="preserve"> </v>
      </c>
      <c r="B1482" s="24"/>
      <c r="C1482" s="4"/>
      <c r="D1482" s="24"/>
      <c r="E1482" s="24"/>
      <c r="F1482" s="25" t="str">
        <f t="shared" si="93"/>
        <v xml:space="preserve"> </v>
      </c>
      <c r="G1482" s="24"/>
      <c r="H1482" s="25" t="str">
        <f t="shared" si="94"/>
        <v xml:space="preserve"> </v>
      </c>
      <c r="I1482" s="26"/>
      <c r="J1482" s="27" t="str">
        <f t="shared" si="95"/>
        <v xml:space="preserve"> </v>
      </c>
    </row>
    <row r="1483" spans="1:10" x14ac:dyDescent="0.3">
      <c r="A1483" s="23" t="str">
        <f t="shared" si="92"/>
        <v xml:space="preserve"> </v>
      </c>
      <c r="B1483" s="24"/>
      <c r="C1483" s="4"/>
      <c r="D1483" s="24"/>
      <c r="E1483" s="24"/>
      <c r="F1483" s="25" t="str">
        <f t="shared" si="93"/>
        <v xml:space="preserve"> </v>
      </c>
      <c r="G1483" s="24"/>
      <c r="H1483" s="25" t="str">
        <f t="shared" si="94"/>
        <v xml:space="preserve"> </v>
      </c>
      <c r="I1483" s="26"/>
      <c r="J1483" s="27" t="str">
        <f t="shared" si="95"/>
        <v xml:space="preserve"> </v>
      </c>
    </row>
    <row r="1484" spans="1:10" x14ac:dyDescent="0.3">
      <c r="A1484" s="23" t="str">
        <f t="shared" si="92"/>
        <v xml:space="preserve"> </v>
      </c>
      <c r="B1484" s="24"/>
      <c r="C1484" s="4"/>
      <c r="D1484" s="24"/>
      <c r="E1484" s="24"/>
      <c r="F1484" s="25" t="str">
        <f t="shared" si="93"/>
        <v xml:space="preserve"> </v>
      </c>
      <c r="G1484" s="24"/>
      <c r="H1484" s="25" t="str">
        <f t="shared" si="94"/>
        <v xml:space="preserve"> </v>
      </c>
      <c r="I1484" s="26"/>
      <c r="J1484" s="27" t="str">
        <f t="shared" si="95"/>
        <v xml:space="preserve"> </v>
      </c>
    </row>
    <row r="1485" spans="1:10" x14ac:dyDescent="0.3">
      <c r="A1485" s="23" t="str">
        <f t="shared" si="92"/>
        <v xml:space="preserve"> </v>
      </c>
      <c r="B1485" s="24"/>
      <c r="C1485" s="4"/>
      <c r="D1485" s="24"/>
      <c r="E1485" s="24"/>
      <c r="F1485" s="25" t="str">
        <f t="shared" si="93"/>
        <v xml:space="preserve"> </v>
      </c>
      <c r="G1485" s="24"/>
      <c r="H1485" s="25" t="str">
        <f t="shared" si="94"/>
        <v xml:space="preserve"> </v>
      </c>
      <c r="I1485" s="26"/>
      <c r="J1485" s="27" t="str">
        <f t="shared" si="95"/>
        <v xml:space="preserve"> </v>
      </c>
    </row>
    <row r="1486" spans="1:10" x14ac:dyDescent="0.3">
      <c r="A1486" s="23" t="str">
        <f t="shared" si="92"/>
        <v xml:space="preserve"> </v>
      </c>
      <c r="B1486" s="24"/>
      <c r="C1486" s="4"/>
      <c r="D1486" s="24"/>
      <c r="E1486" s="24"/>
      <c r="F1486" s="25" t="str">
        <f t="shared" si="93"/>
        <v xml:space="preserve"> </v>
      </c>
      <c r="G1486" s="24"/>
      <c r="H1486" s="25" t="str">
        <f t="shared" si="94"/>
        <v xml:space="preserve"> </v>
      </c>
      <c r="I1486" s="26"/>
      <c r="J1486" s="27" t="str">
        <f t="shared" si="95"/>
        <v xml:space="preserve"> </v>
      </c>
    </row>
    <row r="1487" spans="1:10" x14ac:dyDescent="0.3">
      <c r="A1487" s="23" t="str">
        <f t="shared" si="92"/>
        <v xml:space="preserve"> </v>
      </c>
      <c r="B1487" s="24"/>
      <c r="C1487" s="4"/>
      <c r="D1487" s="24"/>
      <c r="E1487" s="24"/>
      <c r="F1487" s="25" t="str">
        <f t="shared" si="93"/>
        <v xml:space="preserve"> </v>
      </c>
      <c r="G1487" s="24"/>
      <c r="H1487" s="25" t="str">
        <f t="shared" si="94"/>
        <v xml:space="preserve"> </v>
      </c>
      <c r="I1487" s="26"/>
      <c r="J1487" s="27" t="str">
        <f t="shared" si="95"/>
        <v xml:space="preserve"> </v>
      </c>
    </row>
    <row r="1488" spans="1:10" x14ac:dyDescent="0.3">
      <c r="A1488" s="23" t="str">
        <f t="shared" si="92"/>
        <v xml:space="preserve"> </v>
      </c>
      <c r="B1488" s="24"/>
      <c r="C1488" s="4"/>
      <c r="D1488" s="24"/>
      <c r="E1488" s="24"/>
      <c r="F1488" s="25" t="str">
        <f t="shared" si="93"/>
        <v xml:space="preserve"> </v>
      </c>
      <c r="G1488" s="24"/>
      <c r="H1488" s="25" t="str">
        <f t="shared" si="94"/>
        <v xml:space="preserve"> </v>
      </c>
      <c r="I1488" s="26"/>
      <c r="J1488" s="27" t="str">
        <f t="shared" si="95"/>
        <v xml:space="preserve"> </v>
      </c>
    </row>
    <row r="1489" spans="1:10" x14ac:dyDescent="0.3">
      <c r="A1489" s="23" t="str">
        <f t="shared" si="92"/>
        <v xml:space="preserve"> </v>
      </c>
      <c r="B1489" s="24"/>
      <c r="C1489" s="4"/>
      <c r="D1489" s="24"/>
      <c r="E1489" s="24"/>
      <c r="F1489" s="25" t="str">
        <f t="shared" si="93"/>
        <v xml:space="preserve"> </v>
      </c>
      <c r="G1489" s="24"/>
      <c r="H1489" s="25" t="str">
        <f t="shared" si="94"/>
        <v xml:space="preserve"> </v>
      </c>
      <c r="I1489" s="26"/>
      <c r="J1489" s="27" t="str">
        <f t="shared" si="95"/>
        <v xml:space="preserve"> </v>
      </c>
    </row>
    <row r="1490" spans="1:10" x14ac:dyDescent="0.3">
      <c r="A1490" s="23" t="str">
        <f t="shared" si="92"/>
        <v xml:space="preserve"> </v>
      </c>
      <c r="B1490" s="24"/>
      <c r="C1490" s="4"/>
      <c r="D1490" s="24"/>
      <c r="E1490" s="24"/>
      <c r="F1490" s="25" t="str">
        <f t="shared" si="93"/>
        <v xml:space="preserve"> </v>
      </c>
      <c r="G1490" s="24"/>
      <c r="H1490" s="25" t="str">
        <f t="shared" si="94"/>
        <v xml:space="preserve"> </v>
      </c>
      <c r="I1490" s="26"/>
      <c r="J1490" s="27" t="str">
        <f t="shared" si="95"/>
        <v xml:space="preserve"> </v>
      </c>
    </row>
    <row r="1491" spans="1:10" x14ac:dyDescent="0.3">
      <c r="A1491" s="23" t="str">
        <f t="shared" si="92"/>
        <v xml:space="preserve"> </v>
      </c>
      <c r="B1491" s="24"/>
      <c r="C1491" s="4"/>
      <c r="D1491" s="24"/>
      <c r="E1491" s="24"/>
      <c r="F1491" s="25" t="str">
        <f t="shared" si="93"/>
        <v xml:space="preserve"> </v>
      </c>
      <c r="G1491" s="24"/>
      <c r="H1491" s="25" t="str">
        <f t="shared" si="94"/>
        <v xml:space="preserve"> </v>
      </c>
      <c r="I1491" s="26"/>
      <c r="J1491" s="27" t="str">
        <f t="shared" si="95"/>
        <v xml:space="preserve"> </v>
      </c>
    </row>
    <row r="1492" spans="1:10" x14ac:dyDescent="0.3">
      <c r="A1492" s="23" t="str">
        <f t="shared" si="92"/>
        <v xml:space="preserve"> </v>
      </c>
      <c r="B1492" s="24"/>
      <c r="C1492" s="4"/>
      <c r="D1492" s="24"/>
      <c r="E1492" s="24"/>
      <c r="F1492" s="25" t="str">
        <f t="shared" si="93"/>
        <v xml:space="preserve"> </v>
      </c>
      <c r="G1492" s="24"/>
      <c r="H1492" s="25" t="str">
        <f t="shared" si="94"/>
        <v xml:space="preserve"> </v>
      </c>
      <c r="I1492" s="26"/>
      <c r="J1492" s="27" t="str">
        <f t="shared" si="95"/>
        <v xml:space="preserve"> </v>
      </c>
    </row>
    <row r="1493" spans="1:10" x14ac:dyDescent="0.3">
      <c r="A1493" s="23" t="str">
        <f t="shared" si="92"/>
        <v xml:space="preserve"> </v>
      </c>
      <c r="B1493" s="24"/>
      <c r="C1493" s="4"/>
      <c r="D1493" s="24"/>
      <c r="E1493" s="24"/>
      <c r="F1493" s="25" t="str">
        <f t="shared" si="93"/>
        <v xml:space="preserve"> </v>
      </c>
      <c r="G1493" s="24"/>
      <c r="H1493" s="25" t="str">
        <f t="shared" si="94"/>
        <v xml:space="preserve"> </v>
      </c>
      <c r="I1493" s="26"/>
      <c r="J1493" s="27" t="str">
        <f t="shared" si="95"/>
        <v xml:space="preserve"> </v>
      </c>
    </row>
    <row r="1494" spans="1:10" x14ac:dyDescent="0.3">
      <c r="A1494" s="23" t="str">
        <f t="shared" si="92"/>
        <v xml:space="preserve"> </v>
      </c>
      <c r="B1494" s="24"/>
      <c r="C1494" s="4"/>
      <c r="D1494" s="24"/>
      <c r="E1494" s="24"/>
      <c r="F1494" s="25" t="str">
        <f t="shared" si="93"/>
        <v xml:space="preserve"> </v>
      </c>
      <c r="G1494" s="24"/>
      <c r="H1494" s="25" t="str">
        <f t="shared" si="94"/>
        <v xml:space="preserve"> </v>
      </c>
      <c r="I1494" s="26"/>
      <c r="J1494" s="27" t="str">
        <f t="shared" si="95"/>
        <v xml:space="preserve"> </v>
      </c>
    </row>
    <row r="1495" spans="1:10" x14ac:dyDescent="0.3">
      <c r="A1495" s="23" t="str">
        <f t="shared" si="92"/>
        <v xml:space="preserve"> </v>
      </c>
      <c r="B1495" s="24"/>
      <c r="C1495" s="4"/>
      <c r="D1495" s="24"/>
      <c r="E1495" s="24"/>
      <c r="F1495" s="25" t="str">
        <f t="shared" si="93"/>
        <v xml:space="preserve"> </v>
      </c>
      <c r="G1495" s="24"/>
      <c r="H1495" s="25" t="str">
        <f t="shared" si="94"/>
        <v xml:space="preserve"> </v>
      </c>
      <c r="I1495" s="26"/>
      <c r="J1495" s="27" t="str">
        <f t="shared" si="95"/>
        <v xml:space="preserve"> </v>
      </c>
    </row>
    <row r="1496" spans="1:10" x14ac:dyDescent="0.3">
      <c r="A1496" s="23" t="str">
        <f t="shared" si="92"/>
        <v xml:space="preserve"> </v>
      </c>
      <c r="B1496" s="24"/>
      <c r="C1496" s="4"/>
      <c r="D1496" s="24"/>
      <c r="E1496" s="24"/>
      <c r="F1496" s="25" t="str">
        <f t="shared" si="93"/>
        <v xml:space="preserve"> </v>
      </c>
      <c r="G1496" s="24"/>
      <c r="H1496" s="25" t="str">
        <f t="shared" si="94"/>
        <v xml:space="preserve"> </v>
      </c>
      <c r="I1496" s="26"/>
      <c r="J1496" s="27" t="str">
        <f t="shared" si="95"/>
        <v xml:space="preserve"> </v>
      </c>
    </row>
    <row r="1497" spans="1:10" x14ac:dyDescent="0.3">
      <c r="A1497" s="23" t="str">
        <f t="shared" si="92"/>
        <v xml:space="preserve"> </v>
      </c>
      <c r="B1497" s="24"/>
      <c r="C1497" s="4"/>
      <c r="D1497" s="24"/>
      <c r="E1497" s="24"/>
      <c r="F1497" s="25" t="str">
        <f t="shared" si="93"/>
        <v xml:space="preserve"> </v>
      </c>
      <c r="G1497" s="24"/>
      <c r="H1497" s="25" t="str">
        <f t="shared" si="94"/>
        <v xml:space="preserve"> </v>
      </c>
      <c r="I1497" s="26"/>
      <c r="J1497" s="27" t="str">
        <f t="shared" si="95"/>
        <v xml:space="preserve"> </v>
      </c>
    </row>
    <row r="1498" spans="1:10" x14ac:dyDescent="0.3">
      <c r="A1498" s="23" t="str">
        <f t="shared" si="92"/>
        <v xml:space="preserve"> </v>
      </c>
      <c r="B1498" s="24"/>
      <c r="C1498" s="4"/>
      <c r="D1498" s="24"/>
      <c r="E1498" s="24"/>
      <c r="F1498" s="25" t="str">
        <f t="shared" si="93"/>
        <v xml:space="preserve"> </v>
      </c>
      <c r="G1498" s="24"/>
      <c r="H1498" s="25" t="str">
        <f t="shared" si="94"/>
        <v xml:space="preserve"> </v>
      </c>
      <c r="I1498" s="26"/>
      <c r="J1498" s="27" t="str">
        <f t="shared" si="95"/>
        <v xml:space="preserve"> </v>
      </c>
    </row>
    <row r="1499" spans="1:10" x14ac:dyDescent="0.3">
      <c r="A1499" s="23" t="str">
        <f t="shared" si="92"/>
        <v xml:space="preserve"> </v>
      </c>
      <c r="B1499" s="24"/>
      <c r="C1499" s="4"/>
      <c r="D1499" s="24"/>
      <c r="E1499" s="24"/>
      <c r="F1499" s="25" t="str">
        <f t="shared" si="93"/>
        <v xml:space="preserve"> </v>
      </c>
      <c r="G1499" s="24"/>
      <c r="H1499" s="25" t="str">
        <f t="shared" si="94"/>
        <v xml:space="preserve"> </v>
      </c>
      <c r="I1499" s="26"/>
      <c r="J1499" s="27" t="str">
        <f t="shared" si="95"/>
        <v xml:space="preserve"> </v>
      </c>
    </row>
    <row r="1500" spans="1:10" x14ac:dyDescent="0.3">
      <c r="A1500" s="23" t="str">
        <f t="shared" si="92"/>
        <v xml:space="preserve"> </v>
      </c>
      <c r="B1500" s="24"/>
      <c r="C1500" s="4"/>
      <c r="D1500" s="24"/>
      <c r="E1500" s="24"/>
      <c r="F1500" s="25" t="str">
        <f t="shared" si="93"/>
        <v xml:space="preserve"> </v>
      </c>
      <c r="G1500" s="24"/>
      <c r="H1500" s="25" t="str">
        <f t="shared" si="94"/>
        <v xml:space="preserve"> </v>
      </c>
      <c r="I1500" s="26"/>
      <c r="J1500" s="27" t="str">
        <f t="shared" si="95"/>
        <v xml:space="preserve"> </v>
      </c>
    </row>
    <row r="1501" spans="1:10" x14ac:dyDescent="0.3">
      <c r="A1501" s="23" t="str">
        <f t="shared" si="92"/>
        <v xml:space="preserve"> </v>
      </c>
      <c r="B1501" s="24"/>
      <c r="C1501" s="4"/>
      <c r="D1501" s="24"/>
      <c r="E1501" s="24"/>
      <c r="F1501" s="25" t="str">
        <f t="shared" si="93"/>
        <v xml:space="preserve"> </v>
      </c>
      <c r="G1501" s="24"/>
      <c r="H1501" s="25" t="str">
        <f t="shared" si="94"/>
        <v xml:space="preserve"> </v>
      </c>
      <c r="I1501" s="26"/>
      <c r="J1501" s="27" t="str">
        <f t="shared" si="95"/>
        <v xml:space="preserve"> </v>
      </c>
    </row>
    <row r="1502" spans="1:10" x14ac:dyDescent="0.3">
      <c r="A1502" s="23" t="str">
        <f t="shared" si="92"/>
        <v xml:space="preserve"> </v>
      </c>
      <c r="B1502" s="24"/>
      <c r="C1502" s="4"/>
      <c r="D1502" s="24"/>
      <c r="E1502" s="24"/>
      <c r="F1502" s="25" t="str">
        <f t="shared" si="93"/>
        <v xml:space="preserve"> </v>
      </c>
      <c r="G1502" s="24"/>
      <c r="H1502" s="25" t="str">
        <f t="shared" si="94"/>
        <v xml:space="preserve"> </v>
      </c>
      <c r="I1502" s="26"/>
      <c r="J1502" s="27" t="str">
        <f t="shared" si="95"/>
        <v xml:space="preserve"> </v>
      </c>
    </row>
    <row r="1503" spans="1:10" x14ac:dyDescent="0.3">
      <c r="A1503" s="23" t="str">
        <f t="shared" si="92"/>
        <v xml:space="preserve"> </v>
      </c>
      <c r="B1503" s="24"/>
      <c r="C1503" s="4"/>
      <c r="D1503" s="24"/>
      <c r="E1503" s="24"/>
      <c r="F1503" s="25" t="str">
        <f t="shared" si="93"/>
        <v xml:space="preserve"> </v>
      </c>
      <c r="G1503" s="24"/>
      <c r="H1503" s="25" t="str">
        <f t="shared" si="94"/>
        <v xml:space="preserve"> </v>
      </c>
      <c r="I1503" s="26"/>
      <c r="J1503" s="27" t="str">
        <f t="shared" si="95"/>
        <v xml:space="preserve"> </v>
      </c>
    </row>
    <row r="1504" spans="1:10" x14ac:dyDescent="0.3">
      <c r="A1504" s="23" t="str">
        <f t="shared" si="92"/>
        <v xml:space="preserve"> </v>
      </c>
      <c r="B1504" s="24"/>
      <c r="C1504" s="4"/>
      <c r="D1504" s="24"/>
      <c r="E1504" s="24"/>
      <c r="F1504" s="25" t="str">
        <f t="shared" si="93"/>
        <v xml:space="preserve"> </v>
      </c>
      <c r="G1504" s="24"/>
      <c r="H1504" s="25" t="str">
        <f t="shared" si="94"/>
        <v xml:space="preserve"> </v>
      </c>
      <c r="I1504" s="26"/>
      <c r="J1504" s="27" t="str">
        <f t="shared" si="95"/>
        <v xml:space="preserve"> </v>
      </c>
    </row>
    <row r="1505" spans="1:10" x14ac:dyDescent="0.3">
      <c r="A1505" s="23" t="str">
        <f t="shared" si="92"/>
        <v xml:space="preserve"> </v>
      </c>
      <c r="B1505" s="24"/>
      <c r="C1505" s="4"/>
      <c r="D1505" s="24"/>
      <c r="E1505" s="24"/>
      <c r="F1505" s="25" t="str">
        <f t="shared" si="93"/>
        <v xml:space="preserve"> </v>
      </c>
      <c r="G1505" s="24"/>
      <c r="H1505" s="25" t="str">
        <f t="shared" si="94"/>
        <v xml:space="preserve"> </v>
      </c>
      <c r="I1505" s="26"/>
      <c r="J1505" s="27" t="str">
        <f t="shared" si="95"/>
        <v xml:space="preserve"> </v>
      </c>
    </row>
    <row r="1506" spans="1:10" x14ac:dyDescent="0.3">
      <c r="A1506" s="23" t="str">
        <f t="shared" si="92"/>
        <v xml:space="preserve"> </v>
      </c>
      <c r="B1506" s="24"/>
      <c r="C1506" s="4"/>
      <c r="D1506" s="24"/>
      <c r="E1506" s="24"/>
      <c r="F1506" s="25" t="str">
        <f t="shared" si="93"/>
        <v xml:space="preserve"> </v>
      </c>
      <c r="G1506" s="24"/>
      <c r="H1506" s="25" t="str">
        <f t="shared" si="94"/>
        <v xml:space="preserve"> </v>
      </c>
      <c r="I1506" s="26"/>
      <c r="J1506" s="27" t="str">
        <f t="shared" si="95"/>
        <v xml:space="preserve"> </v>
      </c>
    </row>
    <row r="1507" spans="1:10" x14ac:dyDescent="0.3">
      <c r="A1507" s="23" t="str">
        <f t="shared" si="92"/>
        <v xml:space="preserve"> </v>
      </c>
      <c r="B1507" s="24"/>
      <c r="C1507" s="4"/>
      <c r="D1507" s="24"/>
      <c r="E1507" s="24"/>
      <c r="F1507" s="25" t="str">
        <f t="shared" si="93"/>
        <v xml:space="preserve"> </v>
      </c>
      <c r="G1507" s="24"/>
      <c r="H1507" s="25" t="str">
        <f t="shared" si="94"/>
        <v xml:space="preserve"> </v>
      </c>
      <c r="I1507" s="26"/>
      <c r="J1507" s="27" t="str">
        <f t="shared" si="95"/>
        <v xml:space="preserve"> </v>
      </c>
    </row>
    <row r="1508" spans="1:10" x14ac:dyDescent="0.3">
      <c r="A1508" s="23" t="str">
        <f t="shared" si="92"/>
        <v xml:space="preserve"> </v>
      </c>
      <c r="B1508" s="24"/>
      <c r="C1508" s="4"/>
      <c r="D1508" s="24"/>
      <c r="E1508" s="24"/>
      <c r="F1508" s="25" t="str">
        <f t="shared" si="93"/>
        <v xml:space="preserve"> </v>
      </c>
      <c r="G1508" s="24"/>
      <c r="H1508" s="25" t="str">
        <f t="shared" si="94"/>
        <v xml:space="preserve"> </v>
      </c>
      <c r="I1508" s="26"/>
      <c r="J1508" s="27" t="str">
        <f t="shared" si="95"/>
        <v xml:space="preserve"> </v>
      </c>
    </row>
    <row r="1509" spans="1:10" x14ac:dyDescent="0.3">
      <c r="A1509" s="23" t="str">
        <f t="shared" si="92"/>
        <v xml:space="preserve"> </v>
      </c>
      <c r="B1509" s="24"/>
      <c r="C1509" s="4"/>
      <c r="D1509" s="24"/>
      <c r="E1509" s="24"/>
      <c r="F1509" s="25" t="str">
        <f t="shared" si="93"/>
        <v xml:space="preserve"> </v>
      </c>
      <c r="G1509" s="24"/>
      <c r="H1509" s="25" t="str">
        <f t="shared" si="94"/>
        <v xml:space="preserve"> </v>
      </c>
      <c r="I1509" s="26"/>
      <c r="J1509" s="27" t="str">
        <f t="shared" si="95"/>
        <v xml:space="preserve"> </v>
      </c>
    </row>
    <row r="1510" spans="1:10" x14ac:dyDescent="0.3">
      <c r="A1510" s="23" t="str">
        <f t="shared" si="92"/>
        <v xml:space="preserve"> </v>
      </c>
      <c r="B1510" s="24"/>
      <c r="C1510" s="4"/>
      <c r="D1510" s="24"/>
      <c r="E1510" s="24"/>
      <c r="F1510" s="25" t="str">
        <f t="shared" si="93"/>
        <v xml:space="preserve"> </v>
      </c>
      <c r="G1510" s="24"/>
      <c r="H1510" s="25" t="str">
        <f t="shared" si="94"/>
        <v xml:space="preserve"> </v>
      </c>
      <c r="I1510" s="26"/>
      <c r="J1510" s="27" t="str">
        <f t="shared" si="95"/>
        <v xml:space="preserve"> </v>
      </c>
    </row>
    <row r="1511" spans="1:10" x14ac:dyDescent="0.3">
      <c r="A1511" s="23" t="str">
        <f t="shared" si="92"/>
        <v xml:space="preserve"> </v>
      </c>
      <c r="B1511" s="24"/>
      <c r="C1511" s="4"/>
      <c r="D1511" s="24"/>
      <c r="E1511" s="24"/>
      <c r="F1511" s="25" t="str">
        <f t="shared" si="93"/>
        <v xml:space="preserve"> </v>
      </c>
      <c r="G1511" s="24"/>
      <c r="H1511" s="25" t="str">
        <f t="shared" si="94"/>
        <v xml:space="preserve"> </v>
      </c>
      <c r="I1511" s="26"/>
      <c r="J1511" s="27" t="str">
        <f t="shared" si="95"/>
        <v xml:space="preserve"> </v>
      </c>
    </row>
    <row r="1512" spans="1:10" x14ac:dyDescent="0.3">
      <c r="A1512" s="23" t="str">
        <f t="shared" si="92"/>
        <v xml:space="preserve"> </v>
      </c>
      <c r="B1512" s="24"/>
      <c r="C1512" s="4"/>
      <c r="D1512" s="24"/>
      <c r="E1512" s="24"/>
      <c r="F1512" s="25" t="str">
        <f t="shared" si="93"/>
        <v xml:space="preserve"> </v>
      </c>
      <c r="G1512" s="24"/>
      <c r="H1512" s="25" t="str">
        <f t="shared" si="94"/>
        <v xml:space="preserve"> </v>
      </c>
      <c r="I1512" s="26"/>
      <c r="J1512" s="27" t="str">
        <f t="shared" si="95"/>
        <v xml:space="preserve"> </v>
      </c>
    </row>
    <row r="1513" spans="1:10" x14ac:dyDescent="0.3">
      <c r="A1513" s="23" t="str">
        <f t="shared" si="92"/>
        <v xml:space="preserve"> </v>
      </c>
      <c r="B1513" s="24"/>
      <c r="C1513" s="4"/>
      <c r="D1513" s="24"/>
      <c r="E1513" s="24"/>
      <c r="F1513" s="25" t="str">
        <f t="shared" si="93"/>
        <v xml:space="preserve"> </v>
      </c>
      <c r="G1513" s="24"/>
      <c r="H1513" s="25" t="str">
        <f t="shared" si="94"/>
        <v xml:space="preserve"> </v>
      </c>
      <c r="I1513" s="26"/>
      <c r="J1513" s="27" t="str">
        <f t="shared" si="95"/>
        <v xml:space="preserve"> </v>
      </c>
    </row>
    <row r="1514" spans="1:10" x14ac:dyDescent="0.3">
      <c r="A1514" s="23" t="str">
        <f t="shared" si="92"/>
        <v xml:space="preserve"> </v>
      </c>
      <c r="B1514" s="24"/>
      <c r="C1514" s="4"/>
      <c r="D1514" s="24"/>
      <c r="E1514" s="24"/>
      <c r="F1514" s="25" t="str">
        <f t="shared" si="93"/>
        <v xml:space="preserve"> </v>
      </c>
      <c r="G1514" s="24"/>
      <c r="H1514" s="25" t="str">
        <f t="shared" si="94"/>
        <v xml:space="preserve"> </v>
      </c>
      <c r="I1514" s="26"/>
      <c r="J1514" s="27" t="str">
        <f t="shared" si="95"/>
        <v xml:space="preserve"> </v>
      </c>
    </row>
    <row r="1515" spans="1:10" x14ac:dyDescent="0.3">
      <c r="A1515" s="23" t="str">
        <f t="shared" si="92"/>
        <v xml:space="preserve"> </v>
      </c>
      <c r="B1515" s="24"/>
      <c r="C1515" s="4"/>
      <c r="D1515" s="24"/>
      <c r="E1515" s="24"/>
      <c r="F1515" s="25" t="str">
        <f t="shared" si="93"/>
        <v xml:space="preserve"> </v>
      </c>
      <c r="G1515" s="24"/>
      <c r="H1515" s="25" t="str">
        <f t="shared" si="94"/>
        <v xml:space="preserve"> </v>
      </c>
      <c r="I1515" s="26"/>
      <c r="J1515" s="27" t="str">
        <f t="shared" si="95"/>
        <v xml:space="preserve"> </v>
      </c>
    </row>
    <row r="1516" spans="1:10" x14ac:dyDescent="0.3">
      <c r="A1516" s="23" t="str">
        <f t="shared" si="92"/>
        <v xml:space="preserve"> </v>
      </c>
      <c r="B1516" s="24"/>
      <c r="C1516" s="4"/>
      <c r="D1516" s="24"/>
      <c r="E1516" s="24"/>
      <c r="F1516" s="25" t="str">
        <f t="shared" si="93"/>
        <v xml:space="preserve"> </v>
      </c>
      <c r="G1516" s="24"/>
      <c r="H1516" s="25" t="str">
        <f t="shared" si="94"/>
        <v xml:space="preserve"> </v>
      </c>
      <c r="I1516" s="26"/>
      <c r="J1516" s="27" t="str">
        <f t="shared" si="95"/>
        <v xml:space="preserve"> </v>
      </c>
    </row>
    <row r="1517" spans="1:10" x14ac:dyDescent="0.3">
      <c r="A1517" s="23" t="str">
        <f t="shared" si="92"/>
        <v xml:space="preserve"> </v>
      </c>
      <c r="B1517" s="24"/>
      <c r="C1517" s="4"/>
      <c r="D1517" s="24"/>
      <c r="E1517" s="24"/>
      <c r="F1517" s="25" t="str">
        <f t="shared" si="93"/>
        <v xml:space="preserve"> </v>
      </c>
      <c r="G1517" s="24"/>
      <c r="H1517" s="25" t="str">
        <f t="shared" si="94"/>
        <v xml:space="preserve"> </v>
      </c>
      <c r="I1517" s="26"/>
      <c r="J1517" s="27" t="str">
        <f t="shared" si="95"/>
        <v xml:space="preserve"> </v>
      </c>
    </row>
    <row r="1518" spans="1:10" x14ac:dyDescent="0.3">
      <c r="A1518" s="23" t="str">
        <f t="shared" si="92"/>
        <v xml:space="preserve"> </v>
      </c>
      <c r="B1518" s="24"/>
      <c r="C1518" s="4"/>
      <c r="D1518" s="24"/>
      <c r="E1518" s="24"/>
      <c r="F1518" s="25" t="str">
        <f t="shared" si="93"/>
        <v xml:space="preserve"> </v>
      </c>
      <c r="G1518" s="24"/>
      <c r="H1518" s="25" t="str">
        <f t="shared" si="94"/>
        <v xml:space="preserve"> </v>
      </c>
      <c r="I1518" s="26"/>
      <c r="J1518" s="27" t="str">
        <f t="shared" si="95"/>
        <v xml:space="preserve"> </v>
      </c>
    </row>
    <row r="1519" spans="1:10" x14ac:dyDescent="0.3">
      <c r="A1519" s="23" t="str">
        <f t="shared" si="92"/>
        <v xml:space="preserve"> </v>
      </c>
      <c r="B1519" s="24"/>
      <c r="C1519" s="4"/>
      <c r="D1519" s="24"/>
      <c r="E1519" s="24"/>
      <c r="F1519" s="25" t="str">
        <f t="shared" si="93"/>
        <v xml:space="preserve"> </v>
      </c>
      <c r="G1519" s="24"/>
      <c r="H1519" s="25" t="str">
        <f t="shared" si="94"/>
        <v xml:space="preserve"> </v>
      </c>
      <c r="I1519" s="26"/>
      <c r="J1519" s="27" t="str">
        <f t="shared" si="95"/>
        <v xml:space="preserve"> </v>
      </c>
    </row>
    <row r="1520" spans="1:10" x14ac:dyDescent="0.3">
      <c r="A1520" s="23" t="str">
        <f t="shared" si="92"/>
        <v xml:space="preserve"> </v>
      </c>
      <c r="B1520" s="24"/>
      <c r="C1520" s="4"/>
      <c r="D1520" s="24"/>
      <c r="E1520" s="24"/>
      <c r="F1520" s="25" t="str">
        <f t="shared" si="93"/>
        <v xml:space="preserve"> </v>
      </c>
      <c r="G1520" s="24"/>
      <c r="H1520" s="25" t="str">
        <f t="shared" si="94"/>
        <v xml:space="preserve"> </v>
      </c>
      <c r="I1520" s="26"/>
      <c r="J1520" s="27" t="str">
        <f t="shared" si="95"/>
        <v xml:space="preserve"> </v>
      </c>
    </row>
    <row r="1521" spans="1:10" x14ac:dyDescent="0.3">
      <c r="A1521" s="23" t="str">
        <f t="shared" si="92"/>
        <v xml:space="preserve"> </v>
      </c>
      <c r="B1521" s="24"/>
      <c r="C1521" s="4"/>
      <c r="D1521" s="24"/>
      <c r="E1521" s="24"/>
      <c r="F1521" s="25" t="str">
        <f t="shared" si="93"/>
        <v xml:space="preserve"> </v>
      </c>
      <c r="G1521" s="24"/>
      <c r="H1521" s="25" t="str">
        <f t="shared" si="94"/>
        <v xml:space="preserve"> </v>
      </c>
      <c r="I1521" s="26"/>
      <c r="J1521" s="27" t="str">
        <f t="shared" si="95"/>
        <v xml:space="preserve"> </v>
      </c>
    </row>
    <row r="1522" spans="1:10" x14ac:dyDescent="0.3">
      <c r="A1522" s="23" t="str">
        <f t="shared" si="92"/>
        <v xml:space="preserve"> </v>
      </c>
      <c r="B1522" s="24"/>
      <c r="C1522" s="4"/>
      <c r="D1522" s="24"/>
      <c r="E1522" s="24"/>
      <c r="F1522" s="25" t="str">
        <f t="shared" si="93"/>
        <v xml:space="preserve"> </v>
      </c>
      <c r="G1522" s="24"/>
      <c r="H1522" s="25" t="str">
        <f t="shared" si="94"/>
        <v xml:space="preserve"> </v>
      </c>
      <c r="I1522" s="26"/>
      <c r="J1522" s="27" t="str">
        <f t="shared" si="95"/>
        <v xml:space="preserve"> </v>
      </c>
    </row>
    <row r="1523" spans="1:10" x14ac:dyDescent="0.3">
      <c r="A1523" s="23" t="str">
        <f t="shared" si="92"/>
        <v xml:space="preserve"> </v>
      </c>
      <c r="B1523" s="24"/>
      <c r="C1523" s="4"/>
      <c r="D1523" s="24"/>
      <c r="E1523" s="24"/>
      <c r="F1523" s="25" t="str">
        <f t="shared" si="93"/>
        <v xml:space="preserve"> </v>
      </c>
      <c r="G1523" s="24"/>
      <c r="H1523" s="25" t="str">
        <f t="shared" si="94"/>
        <v xml:space="preserve"> </v>
      </c>
      <c r="I1523" s="26"/>
      <c r="J1523" s="27" t="str">
        <f t="shared" si="95"/>
        <v xml:space="preserve"> </v>
      </c>
    </row>
    <row r="1524" spans="1:10" x14ac:dyDescent="0.3">
      <c r="A1524" s="23" t="str">
        <f t="shared" si="92"/>
        <v xml:space="preserve"> </v>
      </c>
      <c r="B1524" s="24"/>
      <c r="C1524" s="4"/>
      <c r="D1524" s="24"/>
      <c r="E1524" s="24"/>
      <c r="F1524" s="25" t="str">
        <f t="shared" si="93"/>
        <v xml:space="preserve"> </v>
      </c>
      <c r="G1524" s="24"/>
      <c r="H1524" s="25" t="str">
        <f t="shared" si="94"/>
        <v xml:space="preserve"> </v>
      </c>
      <c r="I1524" s="26"/>
      <c r="J1524" s="27" t="str">
        <f t="shared" si="95"/>
        <v xml:space="preserve"> </v>
      </c>
    </row>
    <row r="1525" spans="1:10" x14ac:dyDescent="0.3">
      <c r="A1525" s="23" t="str">
        <f t="shared" si="92"/>
        <v xml:space="preserve"> </v>
      </c>
      <c r="B1525" s="24"/>
      <c r="C1525" s="4"/>
      <c r="D1525" s="24"/>
      <c r="E1525" s="24"/>
      <c r="F1525" s="25" t="str">
        <f t="shared" si="93"/>
        <v xml:space="preserve"> </v>
      </c>
      <c r="G1525" s="24"/>
      <c r="H1525" s="25" t="str">
        <f t="shared" si="94"/>
        <v xml:space="preserve"> </v>
      </c>
      <c r="I1525" s="26"/>
      <c r="J1525" s="27" t="str">
        <f t="shared" si="95"/>
        <v xml:space="preserve"> </v>
      </c>
    </row>
    <row r="1526" spans="1:10" x14ac:dyDescent="0.3">
      <c r="A1526" s="23" t="str">
        <f t="shared" si="92"/>
        <v xml:space="preserve"> </v>
      </c>
      <c r="B1526" s="24"/>
      <c r="C1526" s="4"/>
      <c r="D1526" s="24"/>
      <c r="E1526" s="24"/>
      <c r="F1526" s="25" t="str">
        <f t="shared" si="93"/>
        <v xml:space="preserve"> </v>
      </c>
      <c r="G1526" s="24"/>
      <c r="H1526" s="25" t="str">
        <f t="shared" si="94"/>
        <v xml:space="preserve"> </v>
      </c>
      <c r="I1526" s="26"/>
      <c r="J1526" s="27" t="str">
        <f t="shared" si="95"/>
        <v xml:space="preserve"> </v>
      </c>
    </row>
    <row r="1527" spans="1:10" x14ac:dyDescent="0.3">
      <c r="A1527" s="23" t="str">
        <f t="shared" si="92"/>
        <v xml:space="preserve"> </v>
      </c>
      <c r="B1527" s="24"/>
      <c r="C1527" s="4"/>
      <c r="D1527" s="24"/>
      <c r="E1527" s="24"/>
      <c r="F1527" s="25" t="str">
        <f t="shared" si="93"/>
        <v xml:space="preserve"> </v>
      </c>
      <c r="G1527" s="24"/>
      <c r="H1527" s="25" t="str">
        <f t="shared" si="94"/>
        <v xml:space="preserve"> </v>
      </c>
      <c r="I1527" s="26"/>
      <c r="J1527" s="27" t="str">
        <f t="shared" si="95"/>
        <v xml:space="preserve"> </v>
      </c>
    </row>
    <row r="1528" spans="1:10" x14ac:dyDescent="0.3">
      <c r="A1528" s="23" t="str">
        <f t="shared" si="92"/>
        <v xml:space="preserve"> </v>
      </c>
      <c r="B1528" s="24"/>
      <c r="C1528" s="4"/>
      <c r="D1528" s="24"/>
      <c r="E1528" s="24"/>
      <c r="F1528" s="25" t="str">
        <f t="shared" si="93"/>
        <v xml:space="preserve"> </v>
      </c>
      <c r="G1528" s="24"/>
      <c r="H1528" s="25" t="str">
        <f t="shared" si="94"/>
        <v xml:space="preserve"> </v>
      </c>
      <c r="I1528" s="26"/>
      <c r="J1528" s="27" t="str">
        <f t="shared" si="95"/>
        <v xml:space="preserve"> </v>
      </c>
    </row>
    <row r="1529" spans="1:10" x14ac:dyDescent="0.3">
      <c r="A1529" s="23" t="str">
        <f t="shared" si="92"/>
        <v xml:space="preserve"> </v>
      </c>
      <c r="B1529" s="24"/>
      <c r="C1529" s="4"/>
      <c r="D1529" s="24"/>
      <c r="E1529" s="24"/>
      <c r="F1529" s="25" t="str">
        <f t="shared" si="93"/>
        <v xml:space="preserve"> </v>
      </c>
      <c r="G1529" s="24"/>
      <c r="H1529" s="25" t="str">
        <f t="shared" si="94"/>
        <v xml:space="preserve"> </v>
      </c>
      <c r="I1529" s="26"/>
      <c r="J1529" s="27" t="str">
        <f t="shared" si="95"/>
        <v xml:space="preserve"> </v>
      </c>
    </row>
    <row r="1530" spans="1:10" x14ac:dyDescent="0.3">
      <c r="A1530" s="23" t="str">
        <f t="shared" si="92"/>
        <v xml:space="preserve"> </v>
      </c>
      <c r="B1530" s="24"/>
      <c r="C1530" s="4"/>
      <c r="D1530" s="24"/>
      <c r="E1530" s="24"/>
      <c r="F1530" s="25" t="str">
        <f t="shared" si="93"/>
        <v xml:space="preserve"> </v>
      </c>
      <c r="G1530" s="24"/>
      <c r="H1530" s="25" t="str">
        <f t="shared" si="94"/>
        <v xml:space="preserve"> </v>
      </c>
      <c r="I1530" s="26"/>
      <c r="J1530" s="27" t="str">
        <f t="shared" si="95"/>
        <v xml:space="preserve"> </v>
      </c>
    </row>
    <row r="1531" spans="1:10" x14ac:dyDescent="0.3">
      <c r="A1531" s="23" t="str">
        <f t="shared" si="92"/>
        <v xml:space="preserve"> </v>
      </c>
      <c r="B1531" s="24"/>
      <c r="C1531" s="4"/>
      <c r="D1531" s="24"/>
      <c r="E1531" s="24"/>
      <c r="F1531" s="25" t="str">
        <f t="shared" si="93"/>
        <v xml:space="preserve"> </v>
      </c>
      <c r="G1531" s="24"/>
      <c r="H1531" s="25" t="str">
        <f t="shared" si="94"/>
        <v xml:space="preserve"> </v>
      </c>
      <c r="I1531" s="26"/>
      <c r="J1531" s="27" t="str">
        <f t="shared" si="95"/>
        <v xml:space="preserve"> </v>
      </c>
    </row>
    <row r="1532" spans="1:10" x14ac:dyDescent="0.3">
      <c r="A1532" s="23" t="str">
        <f t="shared" si="92"/>
        <v xml:space="preserve"> </v>
      </c>
      <c r="B1532" s="24"/>
      <c r="C1532" s="4"/>
      <c r="D1532" s="24"/>
      <c r="E1532" s="24"/>
      <c r="F1532" s="25" t="str">
        <f t="shared" si="93"/>
        <v xml:space="preserve"> </v>
      </c>
      <c r="G1532" s="24"/>
      <c r="H1532" s="25" t="str">
        <f t="shared" si="94"/>
        <v xml:space="preserve"> </v>
      </c>
      <c r="I1532" s="26"/>
      <c r="J1532" s="27" t="str">
        <f t="shared" si="95"/>
        <v xml:space="preserve"> </v>
      </c>
    </row>
    <row r="1533" spans="1:10" x14ac:dyDescent="0.3">
      <c r="A1533" s="23" t="str">
        <f t="shared" si="92"/>
        <v xml:space="preserve"> </v>
      </c>
      <c r="B1533" s="24"/>
      <c r="C1533" s="4"/>
      <c r="D1533" s="24"/>
      <c r="E1533" s="24"/>
      <c r="F1533" s="25" t="str">
        <f t="shared" si="93"/>
        <v xml:space="preserve"> </v>
      </c>
      <c r="G1533" s="24"/>
      <c r="H1533" s="25" t="str">
        <f t="shared" si="94"/>
        <v xml:space="preserve"> </v>
      </c>
      <c r="I1533" s="26"/>
      <c r="J1533" s="27" t="str">
        <f t="shared" si="95"/>
        <v xml:space="preserve"> </v>
      </c>
    </row>
    <row r="1534" spans="1:10" x14ac:dyDescent="0.3">
      <c r="A1534" s="23" t="str">
        <f t="shared" si="92"/>
        <v xml:space="preserve"> </v>
      </c>
      <c r="B1534" s="24"/>
      <c r="C1534" s="4"/>
      <c r="D1534" s="24"/>
      <c r="E1534" s="24"/>
      <c r="F1534" s="25" t="str">
        <f t="shared" si="93"/>
        <v xml:space="preserve"> </v>
      </c>
      <c r="G1534" s="24"/>
      <c r="H1534" s="25" t="str">
        <f t="shared" si="94"/>
        <v xml:space="preserve"> </v>
      </c>
      <c r="I1534" s="26"/>
      <c r="J1534" s="27" t="str">
        <f t="shared" si="95"/>
        <v xml:space="preserve"> </v>
      </c>
    </row>
    <row r="1535" spans="1:10" x14ac:dyDescent="0.3">
      <c r="A1535" s="23" t="str">
        <f t="shared" si="92"/>
        <v xml:space="preserve"> </v>
      </c>
      <c r="B1535" s="24"/>
      <c r="C1535" s="4"/>
      <c r="D1535" s="24"/>
      <c r="E1535" s="24"/>
      <c r="F1535" s="25" t="str">
        <f t="shared" si="93"/>
        <v xml:space="preserve"> </v>
      </c>
      <c r="G1535" s="24"/>
      <c r="H1535" s="25" t="str">
        <f t="shared" si="94"/>
        <v xml:space="preserve"> </v>
      </c>
      <c r="I1535" s="26"/>
      <c r="J1535" s="27" t="str">
        <f t="shared" si="95"/>
        <v xml:space="preserve"> </v>
      </c>
    </row>
    <row r="1536" spans="1:10" x14ac:dyDescent="0.3">
      <c r="A1536" s="23" t="str">
        <f t="shared" si="92"/>
        <v xml:space="preserve"> </v>
      </c>
      <c r="B1536" s="24"/>
      <c r="C1536" s="4"/>
      <c r="D1536" s="24"/>
      <c r="E1536" s="24"/>
      <c r="F1536" s="25" t="str">
        <f t="shared" si="93"/>
        <v xml:space="preserve"> </v>
      </c>
      <c r="G1536" s="24"/>
      <c r="H1536" s="25" t="str">
        <f t="shared" si="94"/>
        <v xml:space="preserve"> </v>
      </c>
      <c r="I1536" s="26"/>
      <c r="J1536" s="27" t="str">
        <f t="shared" si="95"/>
        <v xml:space="preserve"> </v>
      </c>
    </row>
    <row r="1537" spans="1:10" x14ac:dyDescent="0.3">
      <c r="A1537" s="23" t="str">
        <f t="shared" si="92"/>
        <v xml:space="preserve"> </v>
      </c>
      <c r="B1537" s="24"/>
      <c r="C1537" s="4"/>
      <c r="D1537" s="24"/>
      <c r="E1537" s="24"/>
      <c r="F1537" s="25" t="str">
        <f t="shared" si="93"/>
        <v xml:space="preserve"> </v>
      </c>
      <c r="G1537" s="24"/>
      <c r="H1537" s="25" t="str">
        <f t="shared" si="94"/>
        <v xml:space="preserve"> </v>
      </c>
      <c r="I1537" s="26"/>
      <c r="J1537" s="27" t="str">
        <f t="shared" si="95"/>
        <v xml:space="preserve"> </v>
      </c>
    </row>
    <row r="1538" spans="1:10" x14ac:dyDescent="0.3">
      <c r="A1538" s="23" t="str">
        <f t="shared" si="92"/>
        <v xml:space="preserve"> </v>
      </c>
      <c r="B1538" s="24"/>
      <c r="C1538" s="4"/>
      <c r="D1538" s="24"/>
      <c r="E1538" s="24"/>
      <c r="F1538" s="25" t="str">
        <f t="shared" si="93"/>
        <v xml:space="preserve"> </v>
      </c>
      <c r="G1538" s="24"/>
      <c r="H1538" s="25" t="str">
        <f t="shared" si="94"/>
        <v xml:space="preserve"> </v>
      </c>
      <c r="I1538" s="26"/>
      <c r="J1538" s="27" t="str">
        <f t="shared" si="95"/>
        <v xml:space="preserve"> </v>
      </c>
    </row>
    <row r="1539" spans="1:10" x14ac:dyDescent="0.3">
      <c r="A1539" s="23" t="str">
        <f t="shared" si="92"/>
        <v xml:space="preserve"> </v>
      </c>
      <c r="B1539" s="24"/>
      <c r="C1539" s="4"/>
      <c r="D1539" s="24"/>
      <c r="E1539" s="24"/>
      <c r="F1539" s="25" t="str">
        <f t="shared" si="93"/>
        <v xml:space="preserve"> </v>
      </c>
      <c r="G1539" s="24"/>
      <c r="H1539" s="25" t="str">
        <f t="shared" si="94"/>
        <v xml:space="preserve"> </v>
      </c>
      <c r="I1539" s="26"/>
      <c r="J1539" s="27" t="str">
        <f t="shared" si="95"/>
        <v xml:space="preserve"> </v>
      </c>
    </row>
    <row r="1540" spans="1:10" x14ac:dyDescent="0.3">
      <c r="A1540" s="23" t="str">
        <f t="shared" si="92"/>
        <v xml:space="preserve"> </v>
      </c>
      <c r="B1540" s="24"/>
      <c r="C1540" s="4"/>
      <c r="D1540" s="24"/>
      <c r="E1540" s="24"/>
      <c r="F1540" s="25" t="str">
        <f t="shared" si="93"/>
        <v xml:space="preserve"> </v>
      </c>
      <c r="G1540" s="24"/>
      <c r="H1540" s="25" t="str">
        <f t="shared" si="94"/>
        <v xml:space="preserve"> </v>
      </c>
      <c r="I1540" s="26"/>
      <c r="J1540" s="27" t="str">
        <f t="shared" si="95"/>
        <v xml:space="preserve"> </v>
      </c>
    </row>
    <row r="1541" spans="1:10" x14ac:dyDescent="0.3">
      <c r="A1541" s="23" t="str">
        <f t="shared" ref="A1541:A1604" si="96">IF(C1541&gt;0,RIGHT($D$3,10)," ")</f>
        <v xml:space="preserve"> </v>
      </c>
      <c r="B1541" s="24"/>
      <c r="C1541" s="4"/>
      <c r="D1541" s="24"/>
      <c r="E1541" s="24"/>
      <c r="F1541" s="25" t="str">
        <f t="shared" ref="F1541:F1604" si="97">IF(C1541&gt;0,$C$3," ")</f>
        <v xml:space="preserve"> </v>
      </c>
      <c r="G1541" s="24"/>
      <c r="H1541" s="25" t="str">
        <f t="shared" ref="H1541:H1604" si="98">IF(G1541&gt;0,"Pcs."," ")</f>
        <v xml:space="preserve"> </v>
      </c>
      <c r="I1541" s="26"/>
      <c r="J1541" s="27" t="str">
        <f t="shared" ref="J1541:J1604" si="99">IF(I1541*G1541=0," ",I1541*G1541)</f>
        <v xml:space="preserve"> </v>
      </c>
    </row>
    <row r="1542" spans="1:10" x14ac:dyDescent="0.3">
      <c r="A1542" s="23" t="str">
        <f t="shared" si="96"/>
        <v xml:space="preserve"> </v>
      </c>
      <c r="B1542" s="24"/>
      <c r="C1542" s="4"/>
      <c r="D1542" s="24"/>
      <c r="E1542" s="24"/>
      <c r="F1542" s="25" t="str">
        <f t="shared" si="97"/>
        <v xml:space="preserve"> </v>
      </c>
      <c r="G1542" s="24"/>
      <c r="H1542" s="25" t="str">
        <f t="shared" si="98"/>
        <v xml:space="preserve"> </v>
      </c>
      <c r="I1542" s="26"/>
      <c r="J1542" s="27" t="str">
        <f t="shared" si="99"/>
        <v xml:space="preserve"> </v>
      </c>
    </row>
    <row r="1543" spans="1:10" x14ac:dyDescent="0.3">
      <c r="A1543" s="23" t="str">
        <f t="shared" si="96"/>
        <v xml:space="preserve"> </v>
      </c>
      <c r="B1543" s="24"/>
      <c r="C1543" s="4"/>
      <c r="D1543" s="24"/>
      <c r="E1543" s="24"/>
      <c r="F1543" s="25" t="str">
        <f t="shared" si="97"/>
        <v xml:space="preserve"> </v>
      </c>
      <c r="G1543" s="24"/>
      <c r="H1543" s="25" t="str">
        <f t="shared" si="98"/>
        <v xml:space="preserve"> </v>
      </c>
      <c r="I1543" s="26"/>
      <c r="J1543" s="27" t="str">
        <f t="shared" si="99"/>
        <v xml:space="preserve"> </v>
      </c>
    </row>
    <row r="1544" spans="1:10" x14ac:dyDescent="0.3">
      <c r="A1544" s="23" t="str">
        <f t="shared" si="96"/>
        <v xml:space="preserve"> </v>
      </c>
      <c r="B1544" s="24"/>
      <c r="C1544" s="4"/>
      <c r="D1544" s="24"/>
      <c r="E1544" s="24"/>
      <c r="F1544" s="25" t="str">
        <f t="shared" si="97"/>
        <v xml:space="preserve"> </v>
      </c>
      <c r="G1544" s="24"/>
      <c r="H1544" s="25" t="str">
        <f t="shared" si="98"/>
        <v xml:space="preserve"> </v>
      </c>
      <c r="I1544" s="26"/>
      <c r="J1544" s="27" t="str">
        <f t="shared" si="99"/>
        <v xml:space="preserve"> </v>
      </c>
    </row>
    <row r="1545" spans="1:10" x14ac:dyDescent="0.3">
      <c r="A1545" s="23" t="str">
        <f t="shared" si="96"/>
        <v xml:space="preserve"> </v>
      </c>
      <c r="B1545" s="24"/>
      <c r="C1545" s="4"/>
      <c r="D1545" s="24"/>
      <c r="E1545" s="24"/>
      <c r="F1545" s="25" t="str">
        <f t="shared" si="97"/>
        <v xml:space="preserve"> </v>
      </c>
      <c r="G1545" s="24"/>
      <c r="H1545" s="25" t="str">
        <f t="shared" si="98"/>
        <v xml:space="preserve"> </v>
      </c>
      <c r="I1545" s="26"/>
      <c r="J1545" s="27" t="str">
        <f t="shared" si="99"/>
        <v xml:space="preserve"> </v>
      </c>
    </row>
    <row r="1546" spans="1:10" x14ac:dyDescent="0.3">
      <c r="A1546" s="23" t="str">
        <f t="shared" si="96"/>
        <v xml:space="preserve"> </v>
      </c>
      <c r="B1546" s="24"/>
      <c r="C1546" s="4"/>
      <c r="D1546" s="24"/>
      <c r="E1546" s="24"/>
      <c r="F1546" s="25" t="str">
        <f t="shared" si="97"/>
        <v xml:space="preserve"> </v>
      </c>
      <c r="G1546" s="24"/>
      <c r="H1546" s="25" t="str">
        <f t="shared" si="98"/>
        <v xml:space="preserve"> </v>
      </c>
      <c r="I1546" s="26"/>
      <c r="J1546" s="27" t="str">
        <f t="shared" si="99"/>
        <v xml:space="preserve"> </v>
      </c>
    </row>
    <row r="1547" spans="1:10" x14ac:dyDescent="0.3">
      <c r="A1547" s="23" t="str">
        <f t="shared" si="96"/>
        <v xml:space="preserve"> </v>
      </c>
      <c r="B1547" s="24"/>
      <c r="C1547" s="4"/>
      <c r="D1547" s="24"/>
      <c r="E1547" s="24"/>
      <c r="F1547" s="25" t="str">
        <f t="shared" si="97"/>
        <v xml:space="preserve"> </v>
      </c>
      <c r="G1547" s="24"/>
      <c r="H1547" s="25" t="str">
        <f t="shared" si="98"/>
        <v xml:space="preserve"> </v>
      </c>
      <c r="I1547" s="26"/>
      <c r="J1547" s="27" t="str">
        <f t="shared" si="99"/>
        <v xml:space="preserve"> </v>
      </c>
    </row>
    <row r="1548" spans="1:10" x14ac:dyDescent="0.3">
      <c r="A1548" s="23" t="str">
        <f t="shared" si="96"/>
        <v xml:space="preserve"> </v>
      </c>
      <c r="B1548" s="24"/>
      <c r="C1548" s="4"/>
      <c r="D1548" s="24"/>
      <c r="E1548" s="24"/>
      <c r="F1548" s="25" t="str">
        <f t="shared" si="97"/>
        <v xml:space="preserve"> </v>
      </c>
      <c r="G1548" s="24"/>
      <c r="H1548" s="25" t="str">
        <f t="shared" si="98"/>
        <v xml:space="preserve"> </v>
      </c>
      <c r="I1548" s="26"/>
      <c r="J1548" s="27" t="str">
        <f t="shared" si="99"/>
        <v xml:space="preserve"> </v>
      </c>
    </row>
    <row r="1549" spans="1:10" x14ac:dyDescent="0.3">
      <c r="A1549" s="23" t="str">
        <f t="shared" si="96"/>
        <v xml:space="preserve"> </v>
      </c>
      <c r="B1549" s="24"/>
      <c r="C1549" s="4"/>
      <c r="D1549" s="24"/>
      <c r="E1549" s="24"/>
      <c r="F1549" s="25" t="str">
        <f t="shared" si="97"/>
        <v xml:space="preserve"> </v>
      </c>
      <c r="G1549" s="24"/>
      <c r="H1549" s="25" t="str">
        <f t="shared" si="98"/>
        <v xml:space="preserve"> </v>
      </c>
      <c r="I1549" s="26"/>
      <c r="J1549" s="27" t="str">
        <f t="shared" si="99"/>
        <v xml:space="preserve"> </v>
      </c>
    </row>
    <row r="1550" spans="1:10" x14ac:dyDescent="0.3">
      <c r="A1550" s="23" t="str">
        <f t="shared" si="96"/>
        <v xml:space="preserve"> </v>
      </c>
      <c r="B1550" s="24"/>
      <c r="C1550" s="4"/>
      <c r="D1550" s="24"/>
      <c r="E1550" s="24"/>
      <c r="F1550" s="25" t="str">
        <f t="shared" si="97"/>
        <v xml:space="preserve"> </v>
      </c>
      <c r="G1550" s="24"/>
      <c r="H1550" s="25" t="str">
        <f t="shared" si="98"/>
        <v xml:space="preserve"> </v>
      </c>
      <c r="I1550" s="26"/>
      <c r="J1550" s="27" t="str">
        <f t="shared" si="99"/>
        <v xml:space="preserve"> </v>
      </c>
    </row>
    <row r="1551" spans="1:10" x14ac:dyDescent="0.3">
      <c r="A1551" s="23" t="str">
        <f t="shared" si="96"/>
        <v xml:space="preserve"> </v>
      </c>
      <c r="B1551" s="24"/>
      <c r="C1551" s="4"/>
      <c r="D1551" s="24"/>
      <c r="E1551" s="24"/>
      <c r="F1551" s="25" t="str">
        <f t="shared" si="97"/>
        <v xml:space="preserve"> </v>
      </c>
      <c r="G1551" s="24"/>
      <c r="H1551" s="25" t="str">
        <f t="shared" si="98"/>
        <v xml:space="preserve"> </v>
      </c>
      <c r="I1551" s="26"/>
      <c r="J1551" s="27" t="str">
        <f t="shared" si="99"/>
        <v xml:space="preserve"> </v>
      </c>
    </row>
    <row r="1552" spans="1:10" x14ac:dyDescent="0.3">
      <c r="A1552" s="23" t="str">
        <f t="shared" si="96"/>
        <v xml:space="preserve"> </v>
      </c>
      <c r="B1552" s="24"/>
      <c r="C1552" s="4"/>
      <c r="D1552" s="24"/>
      <c r="E1552" s="24"/>
      <c r="F1552" s="25" t="str">
        <f t="shared" si="97"/>
        <v xml:space="preserve"> </v>
      </c>
      <c r="G1552" s="24"/>
      <c r="H1552" s="25" t="str">
        <f t="shared" si="98"/>
        <v xml:space="preserve"> </v>
      </c>
      <c r="I1552" s="26"/>
      <c r="J1552" s="27" t="str">
        <f t="shared" si="99"/>
        <v xml:space="preserve"> </v>
      </c>
    </row>
    <row r="1553" spans="1:10" x14ac:dyDescent="0.3">
      <c r="A1553" s="23" t="str">
        <f t="shared" si="96"/>
        <v xml:space="preserve"> </v>
      </c>
      <c r="B1553" s="24"/>
      <c r="C1553" s="4"/>
      <c r="D1553" s="24"/>
      <c r="E1553" s="24"/>
      <c r="F1553" s="25" t="str">
        <f t="shared" si="97"/>
        <v xml:space="preserve"> </v>
      </c>
      <c r="G1553" s="24"/>
      <c r="H1553" s="25" t="str">
        <f t="shared" si="98"/>
        <v xml:space="preserve"> </v>
      </c>
      <c r="I1553" s="26"/>
      <c r="J1553" s="27" t="str">
        <f t="shared" si="99"/>
        <v xml:space="preserve"> </v>
      </c>
    </row>
    <row r="1554" spans="1:10" x14ac:dyDescent="0.3">
      <c r="A1554" s="23" t="str">
        <f t="shared" si="96"/>
        <v xml:space="preserve"> </v>
      </c>
      <c r="B1554" s="24"/>
      <c r="C1554" s="4"/>
      <c r="D1554" s="24"/>
      <c r="E1554" s="24"/>
      <c r="F1554" s="25" t="str">
        <f t="shared" si="97"/>
        <v xml:space="preserve"> </v>
      </c>
      <c r="G1554" s="24"/>
      <c r="H1554" s="25" t="str">
        <f t="shared" si="98"/>
        <v xml:space="preserve"> </v>
      </c>
      <c r="I1554" s="26"/>
      <c r="J1554" s="27" t="str">
        <f t="shared" si="99"/>
        <v xml:space="preserve"> </v>
      </c>
    </row>
    <row r="1555" spans="1:10" x14ac:dyDescent="0.3">
      <c r="A1555" s="23" t="str">
        <f t="shared" si="96"/>
        <v xml:space="preserve"> </v>
      </c>
      <c r="B1555" s="24"/>
      <c r="C1555" s="4"/>
      <c r="D1555" s="24"/>
      <c r="E1555" s="24"/>
      <c r="F1555" s="25" t="str">
        <f t="shared" si="97"/>
        <v xml:space="preserve"> </v>
      </c>
      <c r="G1555" s="24"/>
      <c r="H1555" s="25" t="str">
        <f t="shared" si="98"/>
        <v xml:space="preserve"> </v>
      </c>
      <c r="I1555" s="26"/>
      <c r="J1555" s="27" t="str">
        <f t="shared" si="99"/>
        <v xml:space="preserve"> </v>
      </c>
    </row>
    <row r="1556" spans="1:10" x14ac:dyDescent="0.3">
      <c r="A1556" s="23" t="str">
        <f t="shared" si="96"/>
        <v xml:space="preserve"> </v>
      </c>
      <c r="B1556" s="24"/>
      <c r="C1556" s="4"/>
      <c r="D1556" s="24"/>
      <c r="E1556" s="24"/>
      <c r="F1556" s="25" t="str">
        <f t="shared" si="97"/>
        <v xml:space="preserve"> </v>
      </c>
      <c r="G1556" s="24"/>
      <c r="H1556" s="25" t="str">
        <f t="shared" si="98"/>
        <v xml:space="preserve"> </v>
      </c>
      <c r="I1556" s="26"/>
      <c r="J1556" s="27" t="str">
        <f t="shared" si="99"/>
        <v xml:space="preserve"> </v>
      </c>
    </row>
    <row r="1557" spans="1:10" x14ac:dyDescent="0.3">
      <c r="A1557" s="23" t="str">
        <f t="shared" si="96"/>
        <v xml:space="preserve"> </v>
      </c>
      <c r="B1557" s="24"/>
      <c r="C1557" s="4"/>
      <c r="D1557" s="24"/>
      <c r="E1557" s="24"/>
      <c r="F1557" s="25" t="str">
        <f t="shared" si="97"/>
        <v xml:space="preserve"> </v>
      </c>
      <c r="G1557" s="24"/>
      <c r="H1557" s="25" t="str">
        <f t="shared" si="98"/>
        <v xml:space="preserve"> </v>
      </c>
      <c r="I1557" s="26"/>
      <c r="J1557" s="27" t="str">
        <f t="shared" si="99"/>
        <v xml:space="preserve"> </v>
      </c>
    </row>
    <row r="1558" spans="1:10" x14ac:dyDescent="0.3">
      <c r="A1558" s="23" t="str">
        <f t="shared" si="96"/>
        <v xml:space="preserve"> </v>
      </c>
      <c r="B1558" s="24"/>
      <c r="C1558" s="4"/>
      <c r="D1558" s="24"/>
      <c r="E1558" s="24"/>
      <c r="F1558" s="25" t="str">
        <f t="shared" si="97"/>
        <v xml:space="preserve"> </v>
      </c>
      <c r="G1558" s="24"/>
      <c r="H1558" s="25" t="str">
        <f t="shared" si="98"/>
        <v xml:space="preserve"> </v>
      </c>
      <c r="I1558" s="26"/>
      <c r="J1558" s="27" t="str">
        <f t="shared" si="99"/>
        <v xml:space="preserve"> </v>
      </c>
    </row>
    <row r="1559" spans="1:10" x14ac:dyDescent="0.3">
      <c r="A1559" s="23" t="str">
        <f t="shared" si="96"/>
        <v xml:space="preserve"> </v>
      </c>
      <c r="B1559" s="24"/>
      <c r="C1559" s="4"/>
      <c r="D1559" s="24"/>
      <c r="E1559" s="24"/>
      <c r="F1559" s="25" t="str">
        <f t="shared" si="97"/>
        <v xml:space="preserve"> </v>
      </c>
      <c r="G1559" s="24"/>
      <c r="H1559" s="25" t="str">
        <f t="shared" si="98"/>
        <v xml:space="preserve"> </v>
      </c>
      <c r="I1559" s="26"/>
      <c r="J1559" s="27" t="str">
        <f t="shared" si="99"/>
        <v xml:space="preserve"> </v>
      </c>
    </row>
    <row r="1560" spans="1:10" x14ac:dyDescent="0.3">
      <c r="A1560" s="23" t="str">
        <f t="shared" si="96"/>
        <v xml:space="preserve"> </v>
      </c>
      <c r="B1560" s="24"/>
      <c r="C1560" s="4"/>
      <c r="D1560" s="24"/>
      <c r="E1560" s="24"/>
      <c r="F1560" s="25" t="str">
        <f t="shared" si="97"/>
        <v xml:space="preserve"> </v>
      </c>
      <c r="G1560" s="24"/>
      <c r="H1560" s="25" t="str">
        <f t="shared" si="98"/>
        <v xml:space="preserve"> </v>
      </c>
      <c r="I1560" s="26"/>
      <c r="J1560" s="27" t="str">
        <f t="shared" si="99"/>
        <v xml:space="preserve"> </v>
      </c>
    </row>
    <row r="1561" spans="1:10" x14ac:dyDescent="0.3">
      <c r="A1561" s="23" t="str">
        <f t="shared" si="96"/>
        <v xml:space="preserve"> </v>
      </c>
      <c r="B1561" s="24"/>
      <c r="C1561" s="4"/>
      <c r="D1561" s="24"/>
      <c r="E1561" s="24"/>
      <c r="F1561" s="25" t="str">
        <f t="shared" si="97"/>
        <v xml:space="preserve"> </v>
      </c>
      <c r="G1561" s="24"/>
      <c r="H1561" s="25" t="str">
        <f t="shared" si="98"/>
        <v xml:space="preserve"> </v>
      </c>
      <c r="I1561" s="26"/>
      <c r="J1561" s="27" t="str">
        <f t="shared" si="99"/>
        <v xml:space="preserve"> </v>
      </c>
    </row>
    <row r="1562" spans="1:10" x14ac:dyDescent="0.3">
      <c r="A1562" s="23" t="str">
        <f t="shared" si="96"/>
        <v xml:space="preserve"> </v>
      </c>
      <c r="B1562" s="24"/>
      <c r="C1562" s="4"/>
      <c r="D1562" s="24"/>
      <c r="E1562" s="24"/>
      <c r="F1562" s="25" t="str">
        <f t="shared" si="97"/>
        <v xml:space="preserve"> </v>
      </c>
      <c r="G1562" s="24"/>
      <c r="H1562" s="25" t="str">
        <f t="shared" si="98"/>
        <v xml:space="preserve"> </v>
      </c>
      <c r="I1562" s="26"/>
      <c r="J1562" s="27" t="str">
        <f t="shared" si="99"/>
        <v xml:space="preserve"> </v>
      </c>
    </row>
    <row r="1563" spans="1:10" x14ac:dyDescent="0.3">
      <c r="A1563" s="23" t="str">
        <f t="shared" si="96"/>
        <v xml:space="preserve"> </v>
      </c>
      <c r="B1563" s="24"/>
      <c r="C1563" s="4"/>
      <c r="D1563" s="24"/>
      <c r="E1563" s="24"/>
      <c r="F1563" s="25" t="str">
        <f t="shared" si="97"/>
        <v xml:space="preserve"> </v>
      </c>
      <c r="G1563" s="24"/>
      <c r="H1563" s="25" t="str">
        <f t="shared" si="98"/>
        <v xml:space="preserve"> </v>
      </c>
      <c r="I1563" s="26"/>
      <c r="J1563" s="27" t="str">
        <f t="shared" si="99"/>
        <v xml:space="preserve"> </v>
      </c>
    </row>
    <row r="1564" spans="1:10" x14ac:dyDescent="0.3">
      <c r="A1564" s="23" t="str">
        <f t="shared" si="96"/>
        <v xml:space="preserve"> </v>
      </c>
      <c r="B1564" s="24"/>
      <c r="C1564" s="4"/>
      <c r="D1564" s="24"/>
      <c r="E1564" s="24"/>
      <c r="F1564" s="25" t="str">
        <f t="shared" si="97"/>
        <v xml:space="preserve"> </v>
      </c>
      <c r="G1564" s="24"/>
      <c r="H1564" s="25" t="str">
        <f t="shared" si="98"/>
        <v xml:space="preserve"> </v>
      </c>
      <c r="I1564" s="26"/>
      <c r="J1564" s="27" t="str">
        <f t="shared" si="99"/>
        <v xml:space="preserve"> </v>
      </c>
    </row>
    <row r="1565" spans="1:10" x14ac:dyDescent="0.3">
      <c r="A1565" s="23" t="str">
        <f t="shared" si="96"/>
        <v xml:space="preserve"> </v>
      </c>
      <c r="B1565" s="24"/>
      <c r="C1565" s="4"/>
      <c r="D1565" s="24"/>
      <c r="E1565" s="24"/>
      <c r="F1565" s="25" t="str">
        <f t="shared" si="97"/>
        <v xml:space="preserve"> </v>
      </c>
      <c r="G1565" s="24"/>
      <c r="H1565" s="25" t="str">
        <f t="shared" si="98"/>
        <v xml:space="preserve"> </v>
      </c>
      <c r="I1565" s="26"/>
      <c r="J1565" s="27" t="str">
        <f t="shared" si="99"/>
        <v xml:space="preserve"> </v>
      </c>
    </row>
    <row r="1566" spans="1:10" x14ac:dyDescent="0.3">
      <c r="A1566" s="23" t="str">
        <f t="shared" si="96"/>
        <v xml:space="preserve"> </v>
      </c>
      <c r="B1566" s="24"/>
      <c r="C1566" s="4"/>
      <c r="D1566" s="24"/>
      <c r="E1566" s="24"/>
      <c r="F1566" s="25" t="str">
        <f t="shared" si="97"/>
        <v xml:space="preserve"> </v>
      </c>
      <c r="G1566" s="24"/>
      <c r="H1566" s="25" t="str">
        <f t="shared" si="98"/>
        <v xml:space="preserve"> </v>
      </c>
      <c r="I1566" s="26"/>
      <c r="J1566" s="27" t="str">
        <f t="shared" si="99"/>
        <v xml:space="preserve"> </v>
      </c>
    </row>
    <row r="1567" spans="1:10" x14ac:dyDescent="0.3">
      <c r="A1567" s="23" t="str">
        <f t="shared" si="96"/>
        <v xml:space="preserve"> </v>
      </c>
      <c r="B1567" s="24"/>
      <c r="C1567" s="4"/>
      <c r="D1567" s="24"/>
      <c r="E1567" s="24"/>
      <c r="F1567" s="25" t="str">
        <f t="shared" si="97"/>
        <v xml:space="preserve"> </v>
      </c>
      <c r="G1567" s="24"/>
      <c r="H1567" s="25" t="str">
        <f t="shared" si="98"/>
        <v xml:space="preserve"> </v>
      </c>
      <c r="I1567" s="26"/>
      <c r="J1567" s="27" t="str">
        <f t="shared" si="99"/>
        <v xml:space="preserve"> </v>
      </c>
    </row>
    <row r="1568" spans="1:10" x14ac:dyDescent="0.3">
      <c r="A1568" s="23" t="str">
        <f t="shared" si="96"/>
        <v xml:space="preserve"> </v>
      </c>
      <c r="B1568" s="24"/>
      <c r="C1568" s="4"/>
      <c r="D1568" s="24"/>
      <c r="E1568" s="24"/>
      <c r="F1568" s="25" t="str">
        <f t="shared" si="97"/>
        <v xml:space="preserve"> </v>
      </c>
      <c r="G1568" s="24"/>
      <c r="H1568" s="25" t="str">
        <f t="shared" si="98"/>
        <v xml:space="preserve"> </v>
      </c>
      <c r="I1568" s="26"/>
      <c r="J1568" s="27" t="str">
        <f t="shared" si="99"/>
        <v xml:space="preserve"> </v>
      </c>
    </row>
    <row r="1569" spans="1:10" x14ac:dyDescent="0.3">
      <c r="A1569" s="23" t="str">
        <f t="shared" si="96"/>
        <v xml:space="preserve"> </v>
      </c>
      <c r="B1569" s="24"/>
      <c r="C1569" s="4"/>
      <c r="D1569" s="24"/>
      <c r="E1569" s="24"/>
      <c r="F1569" s="25" t="str">
        <f t="shared" si="97"/>
        <v xml:space="preserve"> </v>
      </c>
      <c r="G1569" s="24"/>
      <c r="H1569" s="25" t="str">
        <f t="shared" si="98"/>
        <v xml:space="preserve"> </v>
      </c>
      <c r="I1569" s="26"/>
      <c r="J1569" s="27" t="str">
        <f t="shared" si="99"/>
        <v xml:space="preserve"> </v>
      </c>
    </row>
    <row r="1570" spans="1:10" x14ac:dyDescent="0.3">
      <c r="A1570" s="23" t="str">
        <f t="shared" si="96"/>
        <v xml:space="preserve"> </v>
      </c>
      <c r="B1570" s="24"/>
      <c r="C1570" s="4"/>
      <c r="D1570" s="24"/>
      <c r="E1570" s="24"/>
      <c r="F1570" s="25" t="str">
        <f t="shared" si="97"/>
        <v xml:space="preserve"> </v>
      </c>
      <c r="G1570" s="24"/>
      <c r="H1570" s="25" t="str">
        <f t="shared" si="98"/>
        <v xml:space="preserve"> </v>
      </c>
      <c r="I1570" s="26"/>
      <c r="J1570" s="27" t="str">
        <f t="shared" si="99"/>
        <v xml:space="preserve"> </v>
      </c>
    </row>
    <row r="1571" spans="1:10" x14ac:dyDescent="0.3">
      <c r="A1571" s="23" t="str">
        <f t="shared" si="96"/>
        <v xml:space="preserve"> </v>
      </c>
      <c r="B1571" s="24"/>
      <c r="C1571" s="4"/>
      <c r="D1571" s="24"/>
      <c r="E1571" s="24"/>
      <c r="F1571" s="25" t="str">
        <f t="shared" si="97"/>
        <v xml:space="preserve"> </v>
      </c>
      <c r="G1571" s="24"/>
      <c r="H1571" s="25" t="str">
        <f t="shared" si="98"/>
        <v xml:space="preserve"> </v>
      </c>
      <c r="I1571" s="26"/>
      <c r="J1571" s="27" t="str">
        <f t="shared" si="99"/>
        <v xml:space="preserve"> </v>
      </c>
    </row>
    <row r="1572" spans="1:10" x14ac:dyDescent="0.3">
      <c r="A1572" s="23" t="str">
        <f t="shared" si="96"/>
        <v xml:space="preserve"> </v>
      </c>
      <c r="B1572" s="24"/>
      <c r="C1572" s="4"/>
      <c r="D1572" s="24"/>
      <c r="E1572" s="24"/>
      <c r="F1572" s="25" t="str">
        <f t="shared" si="97"/>
        <v xml:space="preserve"> </v>
      </c>
      <c r="G1572" s="24"/>
      <c r="H1572" s="25" t="str">
        <f t="shared" si="98"/>
        <v xml:space="preserve"> </v>
      </c>
      <c r="I1572" s="26"/>
      <c r="J1572" s="27" t="str">
        <f t="shared" si="99"/>
        <v xml:space="preserve"> </v>
      </c>
    </row>
    <row r="1573" spans="1:10" x14ac:dyDescent="0.3">
      <c r="A1573" s="23" t="str">
        <f t="shared" si="96"/>
        <v xml:space="preserve"> </v>
      </c>
      <c r="B1573" s="24"/>
      <c r="C1573" s="4"/>
      <c r="D1573" s="24"/>
      <c r="E1573" s="24"/>
      <c r="F1573" s="25" t="str">
        <f t="shared" si="97"/>
        <v xml:space="preserve"> </v>
      </c>
      <c r="G1573" s="24"/>
      <c r="H1573" s="25" t="str">
        <f t="shared" si="98"/>
        <v xml:space="preserve"> </v>
      </c>
      <c r="I1573" s="26"/>
      <c r="J1573" s="27" t="str">
        <f t="shared" si="99"/>
        <v xml:space="preserve"> </v>
      </c>
    </row>
    <row r="1574" spans="1:10" x14ac:dyDescent="0.3">
      <c r="A1574" s="23" t="str">
        <f t="shared" si="96"/>
        <v xml:space="preserve"> </v>
      </c>
      <c r="B1574" s="24"/>
      <c r="C1574" s="4"/>
      <c r="D1574" s="24"/>
      <c r="E1574" s="24"/>
      <c r="F1574" s="25" t="str">
        <f t="shared" si="97"/>
        <v xml:space="preserve"> </v>
      </c>
      <c r="G1574" s="24"/>
      <c r="H1574" s="25" t="str">
        <f t="shared" si="98"/>
        <v xml:space="preserve"> </v>
      </c>
      <c r="I1574" s="26"/>
      <c r="J1574" s="27" t="str">
        <f t="shared" si="99"/>
        <v xml:space="preserve"> </v>
      </c>
    </row>
    <row r="1575" spans="1:10" x14ac:dyDescent="0.3">
      <c r="A1575" s="23" t="str">
        <f t="shared" si="96"/>
        <v xml:space="preserve"> </v>
      </c>
      <c r="B1575" s="24"/>
      <c r="C1575" s="4"/>
      <c r="D1575" s="24"/>
      <c r="E1575" s="24"/>
      <c r="F1575" s="25" t="str">
        <f t="shared" si="97"/>
        <v xml:space="preserve"> </v>
      </c>
      <c r="G1575" s="24"/>
      <c r="H1575" s="25" t="str">
        <f t="shared" si="98"/>
        <v xml:space="preserve"> </v>
      </c>
      <c r="I1575" s="26"/>
      <c r="J1575" s="27" t="str">
        <f t="shared" si="99"/>
        <v xml:space="preserve"> </v>
      </c>
    </row>
    <row r="1576" spans="1:10" x14ac:dyDescent="0.3">
      <c r="A1576" s="23" t="str">
        <f t="shared" si="96"/>
        <v xml:space="preserve"> </v>
      </c>
      <c r="B1576" s="24"/>
      <c r="C1576" s="4"/>
      <c r="D1576" s="24"/>
      <c r="E1576" s="24"/>
      <c r="F1576" s="25" t="str">
        <f t="shared" si="97"/>
        <v xml:space="preserve"> </v>
      </c>
      <c r="G1576" s="24"/>
      <c r="H1576" s="25" t="str">
        <f t="shared" si="98"/>
        <v xml:space="preserve"> </v>
      </c>
      <c r="I1576" s="26"/>
      <c r="J1576" s="27" t="str">
        <f t="shared" si="99"/>
        <v xml:space="preserve"> </v>
      </c>
    </row>
    <row r="1577" spans="1:10" x14ac:dyDescent="0.3">
      <c r="A1577" s="23" t="str">
        <f t="shared" si="96"/>
        <v xml:space="preserve"> </v>
      </c>
      <c r="B1577" s="24"/>
      <c r="C1577" s="4"/>
      <c r="D1577" s="24"/>
      <c r="E1577" s="24"/>
      <c r="F1577" s="25" t="str">
        <f t="shared" si="97"/>
        <v xml:space="preserve"> </v>
      </c>
      <c r="G1577" s="24"/>
      <c r="H1577" s="25" t="str">
        <f t="shared" si="98"/>
        <v xml:space="preserve"> </v>
      </c>
      <c r="I1577" s="26"/>
      <c r="J1577" s="27" t="str">
        <f t="shared" si="99"/>
        <v xml:space="preserve"> </v>
      </c>
    </row>
    <row r="1578" spans="1:10" x14ac:dyDescent="0.3">
      <c r="A1578" s="23" t="str">
        <f t="shared" si="96"/>
        <v xml:space="preserve"> </v>
      </c>
      <c r="B1578" s="24"/>
      <c r="C1578" s="4"/>
      <c r="D1578" s="24"/>
      <c r="E1578" s="24"/>
      <c r="F1578" s="25" t="str">
        <f t="shared" si="97"/>
        <v xml:space="preserve"> </v>
      </c>
      <c r="G1578" s="24"/>
      <c r="H1578" s="25" t="str">
        <f t="shared" si="98"/>
        <v xml:space="preserve"> </v>
      </c>
      <c r="I1578" s="26"/>
      <c r="J1578" s="27" t="str">
        <f t="shared" si="99"/>
        <v xml:space="preserve"> </v>
      </c>
    </row>
    <row r="1579" spans="1:10" x14ac:dyDescent="0.3">
      <c r="A1579" s="23" t="str">
        <f t="shared" si="96"/>
        <v xml:space="preserve"> </v>
      </c>
      <c r="B1579" s="24"/>
      <c r="C1579" s="4"/>
      <c r="D1579" s="24"/>
      <c r="E1579" s="24"/>
      <c r="F1579" s="25" t="str">
        <f t="shared" si="97"/>
        <v xml:space="preserve"> </v>
      </c>
      <c r="G1579" s="24"/>
      <c r="H1579" s="25" t="str">
        <f t="shared" si="98"/>
        <v xml:space="preserve"> </v>
      </c>
      <c r="I1579" s="26"/>
      <c r="J1579" s="27" t="str">
        <f t="shared" si="99"/>
        <v xml:space="preserve"> </v>
      </c>
    </row>
    <row r="1580" spans="1:10" x14ac:dyDescent="0.3">
      <c r="A1580" s="23" t="str">
        <f t="shared" si="96"/>
        <v xml:space="preserve"> </v>
      </c>
      <c r="B1580" s="24"/>
      <c r="C1580" s="4"/>
      <c r="D1580" s="24"/>
      <c r="E1580" s="24"/>
      <c r="F1580" s="25" t="str">
        <f t="shared" si="97"/>
        <v xml:space="preserve"> </v>
      </c>
      <c r="G1580" s="24"/>
      <c r="H1580" s="25" t="str">
        <f t="shared" si="98"/>
        <v xml:space="preserve"> </v>
      </c>
      <c r="I1580" s="26"/>
      <c r="J1580" s="27" t="str">
        <f t="shared" si="99"/>
        <v xml:space="preserve"> </v>
      </c>
    </row>
    <row r="1581" spans="1:10" x14ac:dyDescent="0.3">
      <c r="A1581" s="23" t="str">
        <f t="shared" si="96"/>
        <v xml:space="preserve"> </v>
      </c>
      <c r="B1581" s="24"/>
      <c r="C1581" s="4"/>
      <c r="D1581" s="24"/>
      <c r="E1581" s="24"/>
      <c r="F1581" s="25" t="str">
        <f t="shared" si="97"/>
        <v xml:space="preserve"> </v>
      </c>
      <c r="G1581" s="24"/>
      <c r="H1581" s="25" t="str">
        <f t="shared" si="98"/>
        <v xml:space="preserve"> </v>
      </c>
      <c r="I1581" s="26"/>
      <c r="J1581" s="27" t="str">
        <f t="shared" si="99"/>
        <v xml:space="preserve"> </v>
      </c>
    </row>
    <row r="1582" spans="1:10" x14ac:dyDescent="0.3">
      <c r="A1582" s="23" t="str">
        <f t="shared" si="96"/>
        <v xml:space="preserve"> </v>
      </c>
      <c r="B1582" s="24"/>
      <c r="C1582" s="4"/>
      <c r="D1582" s="24"/>
      <c r="E1582" s="24"/>
      <c r="F1582" s="25" t="str">
        <f t="shared" si="97"/>
        <v xml:space="preserve"> </v>
      </c>
      <c r="G1582" s="24"/>
      <c r="H1582" s="25" t="str">
        <f t="shared" si="98"/>
        <v xml:space="preserve"> </v>
      </c>
      <c r="I1582" s="26"/>
      <c r="J1582" s="27" t="str">
        <f t="shared" si="99"/>
        <v xml:space="preserve"> </v>
      </c>
    </row>
    <row r="1583" spans="1:10" x14ac:dyDescent="0.3">
      <c r="A1583" s="23" t="str">
        <f t="shared" si="96"/>
        <v xml:space="preserve"> </v>
      </c>
      <c r="B1583" s="24"/>
      <c r="C1583" s="4"/>
      <c r="D1583" s="24"/>
      <c r="E1583" s="24"/>
      <c r="F1583" s="25" t="str">
        <f t="shared" si="97"/>
        <v xml:space="preserve"> </v>
      </c>
      <c r="G1583" s="24"/>
      <c r="H1583" s="25" t="str">
        <f t="shared" si="98"/>
        <v xml:space="preserve"> </v>
      </c>
      <c r="I1583" s="26"/>
      <c r="J1583" s="27" t="str">
        <f t="shared" si="99"/>
        <v xml:space="preserve"> </v>
      </c>
    </row>
    <row r="1584" spans="1:10" x14ac:dyDescent="0.3">
      <c r="A1584" s="23" t="str">
        <f t="shared" si="96"/>
        <v xml:space="preserve"> </v>
      </c>
      <c r="B1584" s="24"/>
      <c r="C1584" s="4"/>
      <c r="D1584" s="24"/>
      <c r="E1584" s="24"/>
      <c r="F1584" s="25" t="str">
        <f t="shared" si="97"/>
        <v xml:space="preserve"> </v>
      </c>
      <c r="G1584" s="24"/>
      <c r="H1584" s="25" t="str">
        <f t="shared" si="98"/>
        <v xml:space="preserve"> </v>
      </c>
      <c r="I1584" s="26"/>
      <c r="J1584" s="27" t="str">
        <f t="shared" si="99"/>
        <v xml:space="preserve"> </v>
      </c>
    </row>
    <row r="1585" spans="1:10" x14ac:dyDescent="0.3">
      <c r="A1585" s="23" t="str">
        <f t="shared" si="96"/>
        <v xml:space="preserve"> </v>
      </c>
      <c r="B1585" s="24"/>
      <c r="C1585" s="4"/>
      <c r="D1585" s="24"/>
      <c r="E1585" s="24"/>
      <c r="F1585" s="25" t="str">
        <f t="shared" si="97"/>
        <v xml:space="preserve"> </v>
      </c>
      <c r="G1585" s="24"/>
      <c r="H1585" s="25" t="str">
        <f t="shared" si="98"/>
        <v xml:space="preserve"> </v>
      </c>
      <c r="I1585" s="26"/>
      <c r="J1585" s="27" t="str">
        <f t="shared" si="99"/>
        <v xml:space="preserve"> </v>
      </c>
    </row>
    <row r="1586" spans="1:10" x14ac:dyDescent="0.3">
      <c r="A1586" s="23" t="str">
        <f t="shared" si="96"/>
        <v xml:space="preserve"> </v>
      </c>
      <c r="B1586" s="24"/>
      <c r="C1586" s="4"/>
      <c r="D1586" s="24"/>
      <c r="E1586" s="24"/>
      <c r="F1586" s="25" t="str">
        <f t="shared" si="97"/>
        <v xml:space="preserve"> </v>
      </c>
      <c r="G1586" s="24"/>
      <c r="H1586" s="25" t="str">
        <f t="shared" si="98"/>
        <v xml:space="preserve"> </v>
      </c>
      <c r="I1586" s="26"/>
      <c r="J1586" s="27" t="str">
        <f t="shared" si="99"/>
        <v xml:space="preserve"> </v>
      </c>
    </row>
    <row r="1587" spans="1:10" x14ac:dyDescent="0.3">
      <c r="A1587" s="23" t="str">
        <f t="shared" si="96"/>
        <v xml:space="preserve"> </v>
      </c>
      <c r="B1587" s="24"/>
      <c r="C1587" s="4"/>
      <c r="D1587" s="24"/>
      <c r="E1587" s="24"/>
      <c r="F1587" s="25" t="str">
        <f t="shared" si="97"/>
        <v xml:space="preserve"> </v>
      </c>
      <c r="G1587" s="24"/>
      <c r="H1587" s="25" t="str">
        <f t="shared" si="98"/>
        <v xml:space="preserve"> </v>
      </c>
      <c r="I1587" s="26"/>
      <c r="J1587" s="27" t="str">
        <f t="shared" si="99"/>
        <v xml:space="preserve"> </v>
      </c>
    </row>
    <row r="1588" spans="1:10" x14ac:dyDescent="0.3">
      <c r="A1588" s="23" t="str">
        <f t="shared" si="96"/>
        <v xml:space="preserve"> </v>
      </c>
      <c r="B1588" s="24"/>
      <c r="C1588" s="4"/>
      <c r="D1588" s="24"/>
      <c r="E1588" s="24"/>
      <c r="F1588" s="25" t="str">
        <f t="shared" si="97"/>
        <v xml:space="preserve"> </v>
      </c>
      <c r="G1588" s="24"/>
      <c r="H1588" s="25" t="str">
        <f t="shared" si="98"/>
        <v xml:space="preserve"> </v>
      </c>
      <c r="I1588" s="26"/>
      <c r="J1588" s="27" t="str">
        <f t="shared" si="99"/>
        <v xml:space="preserve"> </v>
      </c>
    </row>
    <row r="1589" spans="1:10" x14ac:dyDescent="0.3">
      <c r="A1589" s="23" t="str">
        <f t="shared" si="96"/>
        <v xml:space="preserve"> </v>
      </c>
      <c r="B1589" s="24"/>
      <c r="C1589" s="4"/>
      <c r="D1589" s="24"/>
      <c r="E1589" s="24"/>
      <c r="F1589" s="25" t="str">
        <f t="shared" si="97"/>
        <v xml:space="preserve"> </v>
      </c>
      <c r="G1589" s="24"/>
      <c r="H1589" s="25" t="str">
        <f t="shared" si="98"/>
        <v xml:space="preserve"> </v>
      </c>
      <c r="I1589" s="26"/>
      <c r="J1589" s="27" t="str">
        <f t="shared" si="99"/>
        <v xml:space="preserve"> </v>
      </c>
    </row>
    <row r="1590" spans="1:10" x14ac:dyDescent="0.3">
      <c r="A1590" s="23" t="str">
        <f t="shared" si="96"/>
        <v xml:space="preserve"> </v>
      </c>
      <c r="B1590" s="24"/>
      <c r="C1590" s="4"/>
      <c r="D1590" s="24"/>
      <c r="E1590" s="24"/>
      <c r="F1590" s="25" t="str">
        <f t="shared" si="97"/>
        <v xml:space="preserve"> </v>
      </c>
      <c r="G1590" s="24"/>
      <c r="H1590" s="25" t="str">
        <f t="shared" si="98"/>
        <v xml:space="preserve"> </v>
      </c>
      <c r="I1590" s="26"/>
      <c r="J1590" s="27" t="str">
        <f t="shared" si="99"/>
        <v xml:space="preserve"> </v>
      </c>
    </row>
    <row r="1591" spans="1:10" x14ac:dyDescent="0.3">
      <c r="A1591" s="23" t="str">
        <f t="shared" si="96"/>
        <v xml:space="preserve"> </v>
      </c>
      <c r="B1591" s="24"/>
      <c r="C1591" s="4"/>
      <c r="D1591" s="24"/>
      <c r="E1591" s="24"/>
      <c r="F1591" s="25" t="str">
        <f t="shared" si="97"/>
        <v xml:space="preserve"> </v>
      </c>
      <c r="G1591" s="24"/>
      <c r="H1591" s="25" t="str">
        <f t="shared" si="98"/>
        <v xml:space="preserve"> </v>
      </c>
      <c r="I1591" s="26"/>
      <c r="J1591" s="27" t="str">
        <f t="shared" si="99"/>
        <v xml:space="preserve"> </v>
      </c>
    </row>
    <row r="1592" spans="1:10" x14ac:dyDescent="0.3">
      <c r="A1592" s="23" t="str">
        <f t="shared" si="96"/>
        <v xml:space="preserve"> </v>
      </c>
      <c r="B1592" s="24"/>
      <c r="C1592" s="4"/>
      <c r="D1592" s="24"/>
      <c r="E1592" s="24"/>
      <c r="F1592" s="25" t="str">
        <f t="shared" si="97"/>
        <v xml:space="preserve"> </v>
      </c>
      <c r="G1592" s="24"/>
      <c r="H1592" s="25" t="str">
        <f t="shared" si="98"/>
        <v xml:space="preserve"> </v>
      </c>
      <c r="I1592" s="26"/>
      <c r="J1592" s="27" t="str">
        <f t="shared" si="99"/>
        <v xml:space="preserve"> </v>
      </c>
    </row>
    <row r="1593" spans="1:10" x14ac:dyDescent="0.3">
      <c r="A1593" s="23" t="str">
        <f t="shared" si="96"/>
        <v xml:space="preserve"> </v>
      </c>
      <c r="B1593" s="24"/>
      <c r="C1593" s="4"/>
      <c r="D1593" s="24"/>
      <c r="E1593" s="24"/>
      <c r="F1593" s="25" t="str">
        <f t="shared" si="97"/>
        <v xml:space="preserve"> </v>
      </c>
      <c r="G1593" s="24"/>
      <c r="H1593" s="25" t="str">
        <f t="shared" si="98"/>
        <v xml:space="preserve"> </v>
      </c>
      <c r="I1593" s="26"/>
      <c r="J1593" s="27" t="str">
        <f t="shared" si="99"/>
        <v xml:space="preserve"> </v>
      </c>
    </row>
    <row r="1594" spans="1:10" x14ac:dyDescent="0.3">
      <c r="A1594" s="23" t="str">
        <f t="shared" si="96"/>
        <v xml:space="preserve"> </v>
      </c>
      <c r="B1594" s="24"/>
      <c r="C1594" s="4"/>
      <c r="D1594" s="24"/>
      <c r="E1594" s="24"/>
      <c r="F1594" s="25" t="str">
        <f t="shared" si="97"/>
        <v xml:space="preserve"> </v>
      </c>
      <c r="G1594" s="24"/>
      <c r="H1594" s="25" t="str">
        <f t="shared" si="98"/>
        <v xml:space="preserve"> </v>
      </c>
      <c r="I1594" s="26"/>
      <c r="J1594" s="27" t="str">
        <f t="shared" si="99"/>
        <v xml:space="preserve"> </v>
      </c>
    </row>
    <row r="1595" spans="1:10" x14ac:dyDescent="0.3">
      <c r="A1595" s="23" t="str">
        <f t="shared" si="96"/>
        <v xml:space="preserve"> </v>
      </c>
      <c r="B1595" s="24"/>
      <c r="C1595" s="4"/>
      <c r="D1595" s="24"/>
      <c r="E1595" s="24"/>
      <c r="F1595" s="25" t="str">
        <f t="shared" si="97"/>
        <v xml:space="preserve"> </v>
      </c>
      <c r="G1595" s="24"/>
      <c r="H1595" s="25" t="str">
        <f t="shared" si="98"/>
        <v xml:space="preserve"> </v>
      </c>
      <c r="I1595" s="26"/>
      <c r="J1595" s="27" t="str">
        <f t="shared" si="99"/>
        <v xml:space="preserve"> </v>
      </c>
    </row>
    <row r="1596" spans="1:10" x14ac:dyDescent="0.3">
      <c r="A1596" s="23" t="str">
        <f t="shared" si="96"/>
        <v xml:space="preserve"> </v>
      </c>
      <c r="B1596" s="24"/>
      <c r="C1596" s="4"/>
      <c r="D1596" s="24"/>
      <c r="E1596" s="24"/>
      <c r="F1596" s="25" t="str">
        <f t="shared" si="97"/>
        <v xml:space="preserve"> </v>
      </c>
      <c r="G1596" s="24"/>
      <c r="H1596" s="25" t="str">
        <f t="shared" si="98"/>
        <v xml:space="preserve"> </v>
      </c>
      <c r="I1596" s="26"/>
      <c r="J1596" s="27" t="str">
        <f t="shared" si="99"/>
        <v xml:space="preserve"> </v>
      </c>
    </row>
    <row r="1597" spans="1:10" x14ac:dyDescent="0.3">
      <c r="A1597" s="23" t="str">
        <f t="shared" si="96"/>
        <v xml:space="preserve"> </v>
      </c>
      <c r="B1597" s="24"/>
      <c r="C1597" s="4"/>
      <c r="D1597" s="24"/>
      <c r="E1597" s="24"/>
      <c r="F1597" s="25" t="str">
        <f t="shared" si="97"/>
        <v xml:space="preserve"> </v>
      </c>
      <c r="G1597" s="24"/>
      <c r="H1597" s="25" t="str">
        <f t="shared" si="98"/>
        <v xml:space="preserve"> </v>
      </c>
      <c r="I1597" s="26"/>
      <c r="J1597" s="27" t="str">
        <f t="shared" si="99"/>
        <v xml:space="preserve"> </v>
      </c>
    </row>
    <row r="1598" spans="1:10" x14ac:dyDescent="0.3">
      <c r="A1598" s="23" t="str">
        <f t="shared" si="96"/>
        <v xml:space="preserve"> </v>
      </c>
      <c r="B1598" s="24"/>
      <c r="C1598" s="4"/>
      <c r="D1598" s="24"/>
      <c r="E1598" s="24"/>
      <c r="F1598" s="25" t="str">
        <f t="shared" si="97"/>
        <v xml:space="preserve"> </v>
      </c>
      <c r="G1598" s="24"/>
      <c r="H1598" s="25" t="str">
        <f t="shared" si="98"/>
        <v xml:space="preserve"> </v>
      </c>
      <c r="I1598" s="26"/>
      <c r="J1598" s="27" t="str">
        <f t="shared" si="99"/>
        <v xml:space="preserve"> </v>
      </c>
    </row>
    <row r="1599" spans="1:10" x14ac:dyDescent="0.3">
      <c r="A1599" s="23" t="str">
        <f t="shared" si="96"/>
        <v xml:space="preserve"> </v>
      </c>
      <c r="B1599" s="24"/>
      <c r="C1599" s="4"/>
      <c r="D1599" s="24"/>
      <c r="E1599" s="24"/>
      <c r="F1599" s="25" t="str">
        <f t="shared" si="97"/>
        <v xml:space="preserve"> </v>
      </c>
      <c r="G1599" s="24"/>
      <c r="H1599" s="25" t="str">
        <f t="shared" si="98"/>
        <v xml:space="preserve"> </v>
      </c>
      <c r="I1599" s="26"/>
      <c r="J1599" s="27" t="str">
        <f t="shared" si="99"/>
        <v xml:space="preserve"> </v>
      </c>
    </row>
    <row r="1600" spans="1:10" x14ac:dyDescent="0.3">
      <c r="A1600" s="23" t="str">
        <f t="shared" si="96"/>
        <v xml:space="preserve"> </v>
      </c>
      <c r="B1600" s="24"/>
      <c r="C1600" s="4"/>
      <c r="D1600" s="24"/>
      <c r="E1600" s="24"/>
      <c r="F1600" s="25" t="str">
        <f t="shared" si="97"/>
        <v xml:space="preserve"> </v>
      </c>
      <c r="G1600" s="24"/>
      <c r="H1600" s="25" t="str">
        <f t="shared" si="98"/>
        <v xml:space="preserve"> </v>
      </c>
      <c r="I1600" s="26"/>
      <c r="J1600" s="27" t="str">
        <f t="shared" si="99"/>
        <v xml:space="preserve"> </v>
      </c>
    </row>
    <row r="1601" spans="1:10" x14ac:dyDescent="0.3">
      <c r="A1601" s="23" t="str">
        <f t="shared" si="96"/>
        <v xml:space="preserve"> </v>
      </c>
      <c r="B1601" s="24"/>
      <c r="C1601" s="4"/>
      <c r="D1601" s="24"/>
      <c r="E1601" s="24"/>
      <c r="F1601" s="25" t="str">
        <f t="shared" si="97"/>
        <v xml:space="preserve"> </v>
      </c>
      <c r="G1601" s="24"/>
      <c r="H1601" s="25" t="str">
        <f t="shared" si="98"/>
        <v xml:space="preserve"> </v>
      </c>
      <c r="I1601" s="26"/>
      <c r="J1601" s="27" t="str">
        <f t="shared" si="99"/>
        <v xml:space="preserve"> </v>
      </c>
    </row>
    <row r="1602" spans="1:10" x14ac:dyDescent="0.3">
      <c r="A1602" s="23" t="str">
        <f t="shared" si="96"/>
        <v xml:space="preserve"> </v>
      </c>
      <c r="B1602" s="24"/>
      <c r="C1602" s="4"/>
      <c r="D1602" s="24"/>
      <c r="E1602" s="24"/>
      <c r="F1602" s="25" t="str">
        <f t="shared" si="97"/>
        <v xml:space="preserve"> </v>
      </c>
      <c r="G1602" s="24"/>
      <c r="H1602" s="25" t="str">
        <f t="shared" si="98"/>
        <v xml:space="preserve"> </v>
      </c>
      <c r="I1602" s="26"/>
      <c r="J1602" s="27" t="str">
        <f t="shared" si="99"/>
        <v xml:space="preserve"> </v>
      </c>
    </row>
    <row r="1603" spans="1:10" x14ac:dyDescent="0.3">
      <c r="A1603" s="23" t="str">
        <f t="shared" si="96"/>
        <v xml:space="preserve"> </v>
      </c>
      <c r="B1603" s="24"/>
      <c r="C1603" s="4"/>
      <c r="D1603" s="24"/>
      <c r="E1603" s="24"/>
      <c r="F1603" s="25" t="str">
        <f t="shared" si="97"/>
        <v xml:space="preserve"> </v>
      </c>
      <c r="G1603" s="24"/>
      <c r="H1603" s="25" t="str">
        <f t="shared" si="98"/>
        <v xml:space="preserve"> </v>
      </c>
      <c r="I1603" s="26"/>
      <c r="J1603" s="27" t="str">
        <f t="shared" si="99"/>
        <v xml:space="preserve"> </v>
      </c>
    </row>
    <row r="1604" spans="1:10" x14ac:dyDescent="0.3">
      <c r="A1604" s="23" t="str">
        <f t="shared" si="96"/>
        <v xml:space="preserve"> </v>
      </c>
      <c r="B1604" s="24"/>
      <c r="C1604" s="4"/>
      <c r="D1604" s="24"/>
      <c r="E1604" s="24"/>
      <c r="F1604" s="25" t="str">
        <f t="shared" si="97"/>
        <v xml:space="preserve"> </v>
      </c>
      <c r="G1604" s="24"/>
      <c r="H1604" s="25" t="str">
        <f t="shared" si="98"/>
        <v xml:space="preserve"> </v>
      </c>
      <c r="I1604" s="26"/>
      <c r="J1604" s="27" t="str">
        <f t="shared" si="99"/>
        <v xml:space="preserve"> </v>
      </c>
    </row>
    <row r="1605" spans="1:10" x14ac:dyDescent="0.3">
      <c r="A1605" s="23" t="str">
        <f t="shared" ref="A1605:A1668" si="100">IF(C1605&gt;0,RIGHT($D$3,10)," ")</f>
        <v xml:space="preserve"> </v>
      </c>
      <c r="B1605" s="24"/>
      <c r="C1605" s="4"/>
      <c r="D1605" s="24"/>
      <c r="E1605" s="24"/>
      <c r="F1605" s="25" t="str">
        <f t="shared" ref="F1605:F1668" si="101">IF(C1605&gt;0,$C$3," ")</f>
        <v xml:space="preserve"> </v>
      </c>
      <c r="G1605" s="24"/>
      <c r="H1605" s="25" t="str">
        <f t="shared" ref="H1605:H1668" si="102">IF(G1605&gt;0,"Pcs."," ")</f>
        <v xml:space="preserve"> </v>
      </c>
      <c r="I1605" s="26"/>
      <c r="J1605" s="27" t="str">
        <f t="shared" ref="J1605:J1668" si="103">IF(I1605*G1605=0," ",I1605*G1605)</f>
        <v xml:space="preserve"> </v>
      </c>
    </row>
    <row r="1606" spans="1:10" x14ac:dyDescent="0.3">
      <c r="A1606" s="23" t="str">
        <f t="shared" si="100"/>
        <v xml:space="preserve"> </v>
      </c>
      <c r="B1606" s="24"/>
      <c r="C1606" s="4"/>
      <c r="D1606" s="24"/>
      <c r="E1606" s="24"/>
      <c r="F1606" s="25" t="str">
        <f t="shared" si="101"/>
        <v xml:space="preserve"> </v>
      </c>
      <c r="G1606" s="24"/>
      <c r="H1606" s="25" t="str">
        <f t="shared" si="102"/>
        <v xml:space="preserve"> </v>
      </c>
      <c r="I1606" s="26"/>
      <c r="J1606" s="27" t="str">
        <f t="shared" si="103"/>
        <v xml:space="preserve"> </v>
      </c>
    </row>
    <row r="1607" spans="1:10" x14ac:dyDescent="0.3">
      <c r="A1607" s="23" t="str">
        <f t="shared" si="100"/>
        <v xml:space="preserve"> </v>
      </c>
      <c r="B1607" s="24"/>
      <c r="C1607" s="4"/>
      <c r="D1607" s="24"/>
      <c r="E1607" s="24"/>
      <c r="F1607" s="25" t="str">
        <f t="shared" si="101"/>
        <v xml:space="preserve"> </v>
      </c>
      <c r="G1607" s="24"/>
      <c r="H1607" s="25" t="str">
        <f t="shared" si="102"/>
        <v xml:space="preserve"> </v>
      </c>
      <c r="I1607" s="26"/>
      <c r="J1607" s="27" t="str">
        <f t="shared" si="103"/>
        <v xml:space="preserve"> </v>
      </c>
    </row>
    <row r="1608" spans="1:10" x14ac:dyDescent="0.3">
      <c r="A1608" s="23" t="str">
        <f t="shared" si="100"/>
        <v xml:space="preserve"> </v>
      </c>
      <c r="B1608" s="24"/>
      <c r="C1608" s="4"/>
      <c r="D1608" s="24"/>
      <c r="E1608" s="24"/>
      <c r="F1608" s="25" t="str">
        <f t="shared" si="101"/>
        <v xml:space="preserve"> </v>
      </c>
      <c r="G1608" s="24"/>
      <c r="H1608" s="25" t="str">
        <f t="shared" si="102"/>
        <v xml:space="preserve"> </v>
      </c>
      <c r="I1608" s="26"/>
      <c r="J1608" s="27" t="str">
        <f t="shared" si="103"/>
        <v xml:space="preserve"> </v>
      </c>
    </row>
    <row r="1609" spans="1:10" x14ac:dyDescent="0.3">
      <c r="A1609" s="23" t="str">
        <f t="shared" si="100"/>
        <v xml:space="preserve"> </v>
      </c>
      <c r="B1609" s="24"/>
      <c r="C1609" s="4"/>
      <c r="D1609" s="24"/>
      <c r="E1609" s="24"/>
      <c r="F1609" s="25" t="str">
        <f t="shared" si="101"/>
        <v xml:space="preserve"> </v>
      </c>
      <c r="G1609" s="24"/>
      <c r="H1609" s="25" t="str">
        <f t="shared" si="102"/>
        <v xml:space="preserve"> </v>
      </c>
      <c r="I1609" s="26"/>
      <c r="J1609" s="27" t="str">
        <f t="shared" si="103"/>
        <v xml:space="preserve"> </v>
      </c>
    </row>
    <row r="1610" spans="1:10" x14ac:dyDescent="0.3">
      <c r="A1610" s="23" t="str">
        <f t="shared" si="100"/>
        <v xml:space="preserve"> </v>
      </c>
      <c r="B1610" s="24"/>
      <c r="C1610" s="4"/>
      <c r="D1610" s="24"/>
      <c r="E1610" s="24"/>
      <c r="F1610" s="25" t="str">
        <f t="shared" si="101"/>
        <v xml:space="preserve"> </v>
      </c>
      <c r="G1610" s="24"/>
      <c r="H1610" s="25" t="str">
        <f t="shared" si="102"/>
        <v xml:space="preserve"> </v>
      </c>
      <c r="I1610" s="26"/>
      <c r="J1610" s="27" t="str">
        <f t="shared" si="103"/>
        <v xml:space="preserve"> </v>
      </c>
    </row>
    <row r="1611" spans="1:10" x14ac:dyDescent="0.3">
      <c r="A1611" s="23" t="str">
        <f t="shared" si="100"/>
        <v xml:space="preserve"> </v>
      </c>
      <c r="B1611" s="24"/>
      <c r="C1611" s="4"/>
      <c r="D1611" s="24"/>
      <c r="E1611" s="24"/>
      <c r="F1611" s="25" t="str">
        <f t="shared" si="101"/>
        <v xml:space="preserve"> </v>
      </c>
      <c r="G1611" s="24"/>
      <c r="H1611" s="25" t="str">
        <f t="shared" si="102"/>
        <v xml:space="preserve"> </v>
      </c>
      <c r="I1611" s="26"/>
      <c r="J1611" s="27" t="str">
        <f t="shared" si="103"/>
        <v xml:space="preserve"> </v>
      </c>
    </row>
    <row r="1612" spans="1:10" x14ac:dyDescent="0.3">
      <c r="A1612" s="23" t="str">
        <f t="shared" si="100"/>
        <v xml:space="preserve"> </v>
      </c>
      <c r="B1612" s="24"/>
      <c r="C1612" s="4"/>
      <c r="D1612" s="24"/>
      <c r="E1612" s="24"/>
      <c r="F1612" s="25" t="str">
        <f t="shared" si="101"/>
        <v xml:space="preserve"> </v>
      </c>
      <c r="G1612" s="24"/>
      <c r="H1612" s="25" t="str">
        <f t="shared" si="102"/>
        <v xml:space="preserve"> </v>
      </c>
      <c r="I1612" s="26"/>
      <c r="J1612" s="27" t="str">
        <f t="shared" si="103"/>
        <v xml:space="preserve"> </v>
      </c>
    </row>
    <row r="1613" spans="1:10" x14ac:dyDescent="0.3">
      <c r="A1613" s="23" t="str">
        <f t="shared" si="100"/>
        <v xml:space="preserve"> </v>
      </c>
      <c r="B1613" s="24"/>
      <c r="C1613" s="4"/>
      <c r="D1613" s="24"/>
      <c r="E1613" s="24"/>
      <c r="F1613" s="25" t="str">
        <f t="shared" si="101"/>
        <v xml:space="preserve"> </v>
      </c>
      <c r="G1613" s="24"/>
      <c r="H1613" s="25" t="str">
        <f t="shared" si="102"/>
        <v xml:space="preserve"> </v>
      </c>
      <c r="I1613" s="26"/>
      <c r="J1613" s="27" t="str">
        <f t="shared" si="103"/>
        <v xml:space="preserve"> </v>
      </c>
    </row>
    <row r="1614" spans="1:10" x14ac:dyDescent="0.3">
      <c r="A1614" s="23" t="str">
        <f t="shared" si="100"/>
        <v xml:space="preserve"> </v>
      </c>
      <c r="B1614" s="24"/>
      <c r="C1614" s="4"/>
      <c r="D1614" s="24"/>
      <c r="E1614" s="24"/>
      <c r="F1614" s="25" t="str">
        <f t="shared" si="101"/>
        <v xml:space="preserve"> </v>
      </c>
      <c r="G1614" s="24"/>
      <c r="H1614" s="25" t="str">
        <f t="shared" si="102"/>
        <v xml:space="preserve"> </v>
      </c>
      <c r="I1614" s="26"/>
      <c r="J1614" s="27" t="str">
        <f t="shared" si="103"/>
        <v xml:space="preserve"> </v>
      </c>
    </row>
    <row r="1615" spans="1:10" x14ac:dyDescent="0.3">
      <c r="A1615" s="23" t="str">
        <f t="shared" si="100"/>
        <v xml:space="preserve"> </v>
      </c>
      <c r="B1615" s="24"/>
      <c r="C1615" s="4"/>
      <c r="D1615" s="24"/>
      <c r="E1615" s="24"/>
      <c r="F1615" s="25" t="str">
        <f t="shared" si="101"/>
        <v xml:space="preserve"> </v>
      </c>
      <c r="G1615" s="24"/>
      <c r="H1615" s="25" t="str">
        <f t="shared" si="102"/>
        <v xml:space="preserve"> </v>
      </c>
      <c r="I1615" s="26"/>
      <c r="J1615" s="27" t="str">
        <f t="shared" si="103"/>
        <v xml:space="preserve"> </v>
      </c>
    </row>
    <row r="1616" spans="1:10" x14ac:dyDescent="0.3">
      <c r="A1616" s="23" t="str">
        <f t="shared" si="100"/>
        <v xml:space="preserve"> </v>
      </c>
      <c r="B1616" s="24"/>
      <c r="C1616" s="4"/>
      <c r="D1616" s="24"/>
      <c r="E1616" s="24"/>
      <c r="F1616" s="25" t="str">
        <f t="shared" si="101"/>
        <v xml:space="preserve"> </v>
      </c>
      <c r="G1616" s="24"/>
      <c r="H1616" s="25" t="str">
        <f t="shared" si="102"/>
        <v xml:space="preserve"> </v>
      </c>
      <c r="I1616" s="26"/>
      <c r="J1616" s="27" t="str">
        <f t="shared" si="103"/>
        <v xml:space="preserve"> </v>
      </c>
    </row>
    <row r="1617" spans="1:10" x14ac:dyDescent="0.3">
      <c r="A1617" s="23" t="str">
        <f t="shared" si="100"/>
        <v xml:space="preserve"> </v>
      </c>
      <c r="B1617" s="24"/>
      <c r="C1617" s="4"/>
      <c r="D1617" s="24"/>
      <c r="E1617" s="24"/>
      <c r="F1617" s="25" t="str">
        <f t="shared" si="101"/>
        <v xml:space="preserve"> </v>
      </c>
      <c r="G1617" s="24"/>
      <c r="H1617" s="25" t="str">
        <f t="shared" si="102"/>
        <v xml:space="preserve"> </v>
      </c>
      <c r="I1617" s="26"/>
      <c r="J1617" s="27" t="str">
        <f t="shared" si="103"/>
        <v xml:space="preserve"> </v>
      </c>
    </row>
    <row r="1618" spans="1:10" x14ac:dyDescent="0.3">
      <c r="A1618" s="23" t="str">
        <f t="shared" si="100"/>
        <v xml:space="preserve"> </v>
      </c>
      <c r="B1618" s="24"/>
      <c r="C1618" s="4"/>
      <c r="D1618" s="24"/>
      <c r="E1618" s="24"/>
      <c r="F1618" s="25" t="str">
        <f t="shared" si="101"/>
        <v xml:space="preserve"> </v>
      </c>
      <c r="G1618" s="24"/>
      <c r="H1618" s="25" t="str">
        <f t="shared" si="102"/>
        <v xml:space="preserve"> </v>
      </c>
      <c r="I1618" s="26"/>
      <c r="J1618" s="27" t="str">
        <f t="shared" si="103"/>
        <v xml:space="preserve"> </v>
      </c>
    </row>
    <row r="1619" spans="1:10" x14ac:dyDescent="0.3">
      <c r="A1619" s="23" t="str">
        <f t="shared" si="100"/>
        <v xml:space="preserve"> </v>
      </c>
      <c r="B1619" s="24"/>
      <c r="C1619" s="4"/>
      <c r="D1619" s="24"/>
      <c r="E1619" s="24"/>
      <c r="F1619" s="25" t="str">
        <f t="shared" si="101"/>
        <v xml:space="preserve"> </v>
      </c>
      <c r="G1619" s="24"/>
      <c r="H1619" s="25" t="str">
        <f t="shared" si="102"/>
        <v xml:space="preserve"> </v>
      </c>
      <c r="I1619" s="26"/>
      <c r="J1619" s="27" t="str">
        <f t="shared" si="103"/>
        <v xml:space="preserve"> </v>
      </c>
    </row>
    <row r="1620" spans="1:10" x14ac:dyDescent="0.3">
      <c r="A1620" s="23" t="str">
        <f t="shared" si="100"/>
        <v xml:space="preserve"> </v>
      </c>
      <c r="B1620" s="24"/>
      <c r="C1620" s="4"/>
      <c r="D1620" s="24"/>
      <c r="E1620" s="24"/>
      <c r="F1620" s="25" t="str">
        <f t="shared" si="101"/>
        <v xml:space="preserve"> </v>
      </c>
      <c r="G1620" s="24"/>
      <c r="H1620" s="25" t="str">
        <f t="shared" si="102"/>
        <v xml:space="preserve"> </v>
      </c>
      <c r="I1620" s="26"/>
      <c r="J1620" s="27" t="str">
        <f t="shared" si="103"/>
        <v xml:space="preserve"> </v>
      </c>
    </row>
    <row r="1621" spans="1:10" x14ac:dyDescent="0.3">
      <c r="A1621" s="23" t="str">
        <f t="shared" si="100"/>
        <v xml:space="preserve"> </v>
      </c>
      <c r="B1621" s="24"/>
      <c r="C1621" s="4"/>
      <c r="D1621" s="24"/>
      <c r="E1621" s="24"/>
      <c r="F1621" s="25" t="str">
        <f t="shared" si="101"/>
        <v xml:space="preserve"> </v>
      </c>
      <c r="G1621" s="24"/>
      <c r="H1621" s="25" t="str">
        <f t="shared" si="102"/>
        <v xml:space="preserve"> </v>
      </c>
      <c r="I1621" s="26"/>
      <c r="J1621" s="27" t="str">
        <f t="shared" si="103"/>
        <v xml:space="preserve"> </v>
      </c>
    </row>
    <row r="1622" spans="1:10" x14ac:dyDescent="0.3">
      <c r="A1622" s="23" t="str">
        <f t="shared" si="100"/>
        <v xml:space="preserve"> </v>
      </c>
      <c r="B1622" s="24"/>
      <c r="C1622" s="4"/>
      <c r="D1622" s="24"/>
      <c r="E1622" s="24"/>
      <c r="F1622" s="25" t="str">
        <f t="shared" si="101"/>
        <v xml:space="preserve"> </v>
      </c>
      <c r="G1622" s="24"/>
      <c r="H1622" s="25" t="str">
        <f t="shared" si="102"/>
        <v xml:space="preserve"> </v>
      </c>
      <c r="I1622" s="26"/>
      <c r="J1622" s="27" t="str">
        <f t="shared" si="103"/>
        <v xml:space="preserve"> </v>
      </c>
    </row>
    <row r="1623" spans="1:10" x14ac:dyDescent="0.3">
      <c r="A1623" s="23" t="str">
        <f t="shared" si="100"/>
        <v xml:space="preserve"> </v>
      </c>
      <c r="B1623" s="24"/>
      <c r="C1623" s="4"/>
      <c r="D1623" s="24"/>
      <c r="E1623" s="24"/>
      <c r="F1623" s="25" t="str">
        <f t="shared" si="101"/>
        <v xml:space="preserve"> </v>
      </c>
      <c r="G1623" s="24"/>
      <c r="H1623" s="25" t="str">
        <f t="shared" si="102"/>
        <v xml:space="preserve"> </v>
      </c>
      <c r="I1623" s="26"/>
      <c r="J1623" s="27" t="str">
        <f t="shared" si="103"/>
        <v xml:space="preserve"> </v>
      </c>
    </row>
    <row r="1624" spans="1:10" x14ac:dyDescent="0.3">
      <c r="A1624" s="23" t="str">
        <f t="shared" si="100"/>
        <v xml:space="preserve"> </v>
      </c>
      <c r="B1624" s="24"/>
      <c r="C1624" s="4"/>
      <c r="D1624" s="24"/>
      <c r="E1624" s="24"/>
      <c r="F1624" s="25" t="str">
        <f t="shared" si="101"/>
        <v xml:space="preserve"> </v>
      </c>
      <c r="G1624" s="24"/>
      <c r="H1624" s="25" t="str">
        <f t="shared" si="102"/>
        <v xml:space="preserve"> </v>
      </c>
      <c r="I1624" s="26"/>
      <c r="J1624" s="27" t="str">
        <f t="shared" si="103"/>
        <v xml:space="preserve"> </v>
      </c>
    </row>
    <row r="1625" spans="1:10" x14ac:dyDescent="0.3">
      <c r="A1625" s="23" t="str">
        <f t="shared" si="100"/>
        <v xml:space="preserve"> </v>
      </c>
      <c r="B1625" s="24"/>
      <c r="C1625" s="4"/>
      <c r="D1625" s="24"/>
      <c r="E1625" s="24"/>
      <c r="F1625" s="25" t="str">
        <f t="shared" si="101"/>
        <v xml:space="preserve"> </v>
      </c>
      <c r="G1625" s="24"/>
      <c r="H1625" s="25" t="str">
        <f t="shared" si="102"/>
        <v xml:space="preserve"> </v>
      </c>
      <c r="I1625" s="26"/>
      <c r="J1625" s="27" t="str">
        <f t="shared" si="103"/>
        <v xml:space="preserve"> </v>
      </c>
    </row>
    <row r="1626" spans="1:10" x14ac:dyDescent="0.3">
      <c r="A1626" s="23" t="str">
        <f t="shared" si="100"/>
        <v xml:space="preserve"> </v>
      </c>
      <c r="B1626" s="24"/>
      <c r="C1626" s="4"/>
      <c r="D1626" s="24"/>
      <c r="E1626" s="24"/>
      <c r="F1626" s="25" t="str">
        <f t="shared" si="101"/>
        <v xml:space="preserve"> </v>
      </c>
      <c r="G1626" s="24"/>
      <c r="H1626" s="25" t="str">
        <f t="shared" si="102"/>
        <v xml:space="preserve"> </v>
      </c>
      <c r="I1626" s="26"/>
      <c r="J1626" s="27" t="str">
        <f t="shared" si="103"/>
        <v xml:space="preserve"> </v>
      </c>
    </row>
    <row r="1627" spans="1:10" x14ac:dyDescent="0.3">
      <c r="A1627" s="23" t="str">
        <f t="shared" si="100"/>
        <v xml:space="preserve"> </v>
      </c>
      <c r="B1627" s="24"/>
      <c r="C1627" s="4"/>
      <c r="D1627" s="24"/>
      <c r="E1627" s="24"/>
      <c r="F1627" s="25" t="str">
        <f t="shared" si="101"/>
        <v xml:space="preserve"> </v>
      </c>
      <c r="G1627" s="24"/>
      <c r="H1627" s="25" t="str">
        <f t="shared" si="102"/>
        <v xml:space="preserve"> </v>
      </c>
      <c r="I1627" s="26"/>
      <c r="J1627" s="27" t="str">
        <f t="shared" si="103"/>
        <v xml:space="preserve"> </v>
      </c>
    </row>
    <row r="1628" spans="1:10" x14ac:dyDescent="0.3">
      <c r="A1628" s="23" t="str">
        <f t="shared" si="100"/>
        <v xml:space="preserve"> </v>
      </c>
      <c r="B1628" s="24"/>
      <c r="C1628" s="4"/>
      <c r="D1628" s="24"/>
      <c r="E1628" s="24"/>
      <c r="F1628" s="25" t="str">
        <f t="shared" si="101"/>
        <v xml:space="preserve"> </v>
      </c>
      <c r="G1628" s="24"/>
      <c r="H1628" s="25" t="str">
        <f t="shared" si="102"/>
        <v xml:space="preserve"> </v>
      </c>
      <c r="I1628" s="26"/>
      <c r="J1628" s="27" t="str">
        <f t="shared" si="103"/>
        <v xml:space="preserve"> </v>
      </c>
    </row>
    <row r="1629" spans="1:10" x14ac:dyDescent="0.3">
      <c r="A1629" s="23" t="str">
        <f t="shared" si="100"/>
        <v xml:space="preserve"> </v>
      </c>
      <c r="B1629" s="24"/>
      <c r="C1629" s="4"/>
      <c r="D1629" s="24"/>
      <c r="E1629" s="24"/>
      <c r="F1629" s="25" t="str">
        <f t="shared" si="101"/>
        <v xml:space="preserve"> </v>
      </c>
      <c r="G1629" s="24"/>
      <c r="H1629" s="25" t="str">
        <f t="shared" si="102"/>
        <v xml:space="preserve"> </v>
      </c>
      <c r="I1629" s="26"/>
      <c r="J1629" s="27" t="str">
        <f t="shared" si="103"/>
        <v xml:space="preserve"> </v>
      </c>
    </row>
    <row r="1630" spans="1:10" x14ac:dyDescent="0.3">
      <c r="A1630" s="23" t="str">
        <f t="shared" si="100"/>
        <v xml:space="preserve"> </v>
      </c>
      <c r="B1630" s="24"/>
      <c r="C1630" s="4"/>
      <c r="D1630" s="24"/>
      <c r="E1630" s="24"/>
      <c r="F1630" s="25" t="str">
        <f t="shared" si="101"/>
        <v xml:space="preserve"> </v>
      </c>
      <c r="G1630" s="24"/>
      <c r="H1630" s="25" t="str">
        <f t="shared" si="102"/>
        <v xml:space="preserve"> </v>
      </c>
      <c r="I1630" s="26"/>
      <c r="J1630" s="27" t="str">
        <f t="shared" si="103"/>
        <v xml:space="preserve"> </v>
      </c>
    </row>
    <row r="1631" spans="1:10" x14ac:dyDescent="0.3">
      <c r="A1631" s="23" t="str">
        <f t="shared" si="100"/>
        <v xml:space="preserve"> </v>
      </c>
      <c r="B1631" s="24"/>
      <c r="C1631" s="4"/>
      <c r="D1631" s="24"/>
      <c r="E1631" s="24"/>
      <c r="F1631" s="25" t="str">
        <f t="shared" si="101"/>
        <v xml:space="preserve"> </v>
      </c>
      <c r="G1631" s="24"/>
      <c r="H1631" s="25" t="str">
        <f t="shared" si="102"/>
        <v xml:space="preserve"> </v>
      </c>
      <c r="I1631" s="26"/>
      <c r="J1631" s="27" t="str">
        <f t="shared" si="103"/>
        <v xml:space="preserve"> </v>
      </c>
    </row>
    <row r="1632" spans="1:10" x14ac:dyDescent="0.3">
      <c r="A1632" s="23" t="str">
        <f t="shared" si="100"/>
        <v xml:space="preserve"> </v>
      </c>
      <c r="B1632" s="24"/>
      <c r="C1632" s="4"/>
      <c r="D1632" s="24"/>
      <c r="E1632" s="24"/>
      <c r="F1632" s="25" t="str">
        <f t="shared" si="101"/>
        <v xml:space="preserve"> </v>
      </c>
      <c r="G1632" s="24"/>
      <c r="H1632" s="25" t="str">
        <f t="shared" si="102"/>
        <v xml:space="preserve"> </v>
      </c>
      <c r="I1632" s="26"/>
      <c r="J1632" s="27" t="str">
        <f t="shared" si="103"/>
        <v xml:space="preserve"> </v>
      </c>
    </row>
    <row r="1633" spans="1:10" x14ac:dyDescent="0.3">
      <c r="A1633" s="23" t="str">
        <f t="shared" si="100"/>
        <v xml:space="preserve"> </v>
      </c>
      <c r="B1633" s="24"/>
      <c r="C1633" s="4"/>
      <c r="D1633" s="24"/>
      <c r="E1633" s="24"/>
      <c r="F1633" s="25" t="str">
        <f t="shared" si="101"/>
        <v xml:space="preserve"> </v>
      </c>
      <c r="G1633" s="24"/>
      <c r="H1633" s="25" t="str">
        <f t="shared" si="102"/>
        <v xml:space="preserve"> </v>
      </c>
      <c r="I1633" s="26"/>
      <c r="J1633" s="27" t="str">
        <f t="shared" si="103"/>
        <v xml:space="preserve"> </v>
      </c>
    </row>
    <row r="1634" spans="1:10" x14ac:dyDescent="0.3">
      <c r="A1634" s="23" t="str">
        <f t="shared" si="100"/>
        <v xml:space="preserve"> </v>
      </c>
      <c r="B1634" s="24"/>
      <c r="C1634" s="4"/>
      <c r="D1634" s="24"/>
      <c r="E1634" s="24"/>
      <c r="F1634" s="25" t="str">
        <f t="shared" si="101"/>
        <v xml:space="preserve"> </v>
      </c>
      <c r="G1634" s="24"/>
      <c r="H1634" s="25" t="str">
        <f t="shared" si="102"/>
        <v xml:space="preserve"> </v>
      </c>
      <c r="I1634" s="26"/>
      <c r="J1634" s="27" t="str">
        <f t="shared" si="103"/>
        <v xml:space="preserve"> </v>
      </c>
    </row>
    <row r="1635" spans="1:10" x14ac:dyDescent="0.3">
      <c r="A1635" s="23" t="str">
        <f t="shared" si="100"/>
        <v xml:space="preserve"> </v>
      </c>
      <c r="B1635" s="24"/>
      <c r="C1635" s="4"/>
      <c r="D1635" s="24"/>
      <c r="E1635" s="24"/>
      <c r="F1635" s="25" t="str">
        <f t="shared" si="101"/>
        <v xml:space="preserve"> </v>
      </c>
      <c r="G1635" s="24"/>
      <c r="H1635" s="25" t="str">
        <f t="shared" si="102"/>
        <v xml:space="preserve"> </v>
      </c>
      <c r="I1635" s="26"/>
      <c r="J1635" s="27" t="str">
        <f t="shared" si="103"/>
        <v xml:space="preserve"> </v>
      </c>
    </row>
    <row r="1636" spans="1:10" x14ac:dyDescent="0.3">
      <c r="A1636" s="23" t="str">
        <f t="shared" si="100"/>
        <v xml:space="preserve"> </v>
      </c>
      <c r="B1636" s="24"/>
      <c r="C1636" s="4"/>
      <c r="D1636" s="24"/>
      <c r="E1636" s="24"/>
      <c r="F1636" s="25" t="str">
        <f t="shared" si="101"/>
        <v xml:space="preserve"> </v>
      </c>
      <c r="G1636" s="24"/>
      <c r="H1636" s="25" t="str">
        <f t="shared" si="102"/>
        <v xml:space="preserve"> </v>
      </c>
      <c r="I1636" s="26"/>
      <c r="J1636" s="27" t="str">
        <f t="shared" si="103"/>
        <v xml:space="preserve"> </v>
      </c>
    </row>
    <row r="1637" spans="1:10" x14ac:dyDescent="0.3">
      <c r="A1637" s="23" t="str">
        <f t="shared" si="100"/>
        <v xml:space="preserve"> </v>
      </c>
      <c r="B1637" s="24"/>
      <c r="C1637" s="4"/>
      <c r="D1637" s="24"/>
      <c r="E1637" s="24"/>
      <c r="F1637" s="25" t="str">
        <f t="shared" si="101"/>
        <v xml:space="preserve"> </v>
      </c>
      <c r="G1637" s="24"/>
      <c r="H1637" s="25" t="str">
        <f t="shared" si="102"/>
        <v xml:space="preserve"> </v>
      </c>
      <c r="I1637" s="26"/>
      <c r="J1637" s="27" t="str">
        <f t="shared" si="103"/>
        <v xml:space="preserve"> </v>
      </c>
    </row>
    <row r="1638" spans="1:10" x14ac:dyDescent="0.3">
      <c r="A1638" s="23" t="str">
        <f t="shared" si="100"/>
        <v xml:space="preserve"> </v>
      </c>
      <c r="B1638" s="24"/>
      <c r="C1638" s="4"/>
      <c r="D1638" s="24"/>
      <c r="E1638" s="24"/>
      <c r="F1638" s="25" t="str">
        <f t="shared" si="101"/>
        <v xml:space="preserve"> </v>
      </c>
      <c r="G1638" s="24"/>
      <c r="H1638" s="25" t="str">
        <f t="shared" si="102"/>
        <v xml:space="preserve"> </v>
      </c>
      <c r="I1638" s="26"/>
      <c r="J1638" s="27" t="str">
        <f t="shared" si="103"/>
        <v xml:space="preserve"> </v>
      </c>
    </row>
    <row r="1639" spans="1:10" x14ac:dyDescent="0.3">
      <c r="A1639" s="23" t="str">
        <f t="shared" si="100"/>
        <v xml:space="preserve"> </v>
      </c>
      <c r="B1639" s="24"/>
      <c r="C1639" s="4"/>
      <c r="D1639" s="24"/>
      <c r="E1639" s="24"/>
      <c r="F1639" s="25" t="str">
        <f t="shared" si="101"/>
        <v xml:space="preserve"> </v>
      </c>
      <c r="G1639" s="24"/>
      <c r="H1639" s="25" t="str">
        <f t="shared" si="102"/>
        <v xml:space="preserve"> </v>
      </c>
      <c r="I1639" s="26"/>
      <c r="J1639" s="27" t="str">
        <f t="shared" si="103"/>
        <v xml:space="preserve"> </v>
      </c>
    </row>
    <row r="1640" spans="1:10" x14ac:dyDescent="0.3">
      <c r="A1640" s="23" t="str">
        <f t="shared" si="100"/>
        <v xml:space="preserve"> </v>
      </c>
      <c r="B1640" s="24"/>
      <c r="C1640" s="4"/>
      <c r="D1640" s="24"/>
      <c r="E1640" s="24"/>
      <c r="F1640" s="25" t="str">
        <f t="shared" si="101"/>
        <v xml:space="preserve"> </v>
      </c>
      <c r="G1640" s="24"/>
      <c r="H1640" s="25" t="str">
        <f t="shared" si="102"/>
        <v xml:space="preserve"> </v>
      </c>
      <c r="I1640" s="26"/>
      <c r="J1640" s="27" t="str">
        <f t="shared" si="103"/>
        <v xml:space="preserve"> </v>
      </c>
    </row>
    <row r="1641" spans="1:10" x14ac:dyDescent="0.3">
      <c r="A1641" s="23" t="str">
        <f t="shared" si="100"/>
        <v xml:space="preserve"> </v>
      </c>
      <c r="B1641" s="24"/>
      <c r="C1641" s="4"/>
      <c r="D1641" s="24"/>
      <c r="E1641" s="24"/>
      <c r="F1641" s="25" t="str">
        <f t="shared" si="101"/>
        <v xml:space="preserve"> </v>
      </c>
      <c r="G1641" s="24"/>
      <c r="H1641" s="25" t="str">
        <f t="shared" si="102"/>
        <v xml:space="preserve"> </v>
      </c>
      <c r="I1641" s="26"/>
      <c r="J1641" s="27" t="str">
        <f t="shared" si="103"/>
        <v xml:space="preserve"> </v>
      </c>
    </row>
    <row r="1642" spans="1:10" x14ac:dyDescent="0.3">
      <c r="A1642" s="23" t="str">
        <f t="shared" si="100"/>
        <v xml:space="preserve"> </v>
      </c>
      <c r="B1642" s="24"/>
      <c r="C1642" s="4"/>
      <c r="D1642" s="24"/>
      <c r="E1642" s="24"/>
      <c r="F1642" s="25" t="str">
        <f t="shared" si="101"/>
        <v xml:space="preserve"> </v>
      </c>
      <c r="G1642" s="24"/>
      <c r="H1642" s="25" t="str">
        <f t="shared" si="102"/>
        <v xml:space="preserve"> </v>
      </c>
      <c r="I1642" s="26"/>
      <c r="J1642" s="27" t="str">
        <f t="shared" si="103"/>
        <v xml:space="preserve"> </v>
      </c>
    </row>
    <row r="1643" spans="1:10" x14ac:dyDescent="0.3">
      <c r="A1643" s="23" t="str">
        <f t="shared" si="100"/>
        <v xml:space="preserve"> </v>
      </c>
      <c r="B1643" s="24"/>
      <c r="C1643" s="4"/>
      <c r="D1643" s="24"/>
      <c r="E1643" s="24"/>
      <c r="F1643" s="25" t="str">
        <f t="shared" si="101"/>
        <v xml:space="preserve"> </v>
      </c>
      <c r="G1643" s="24"/>
      <c r="H1643" s="25" t="str">
        <f t="shared" si="102"/>
        <v xml:space="preserve"> </v>
      </c>
      <c r="I1643" s="26"/>
      <c r="J1643" s="27" t="str">
        <f t="shared" si="103"/>
        <v xml:space="preserve"> </v>
      </c>
    </row>
    <row r="1644" spans="1:10" x14ac:dyDescent="0.3">
      <c r="A1644" s="23" t="str">
        <f t="shared" si="100"/>
        <v xml:space="preserve"> </v>
      </c>
      <c r="B1644" s="24"/>
      <c r="C1644" s="4"/>
      <c r="D1644" s="24"/>
      <c r="E1644" s="24"/>
      <c r="F1644" s="25" t="str">
        <f t="shared" si="101"/>
        <v xml:space="preserve"> </v>
      </c>
      <c r="G1644" s="24"/>
      <c r="H1644" s="25" t="str">
        <f t="shared" si="102"/>
        <v xml:space="preserve"> </v>
      </c>
      <c r="I1644" s="26"/>
      <c r="J1644" s="27" t="str">
        <f t="shared" si="103"/>
        <v xml:space="preserve"> </v>
      </c>
    </row>
    <row r="1645" spans="1:10" x14ac:dyDescent="0.3">
      <c r="A1645" s="23" t="str">
        <f t="shared" si="100"/>
        <v xml:space="preserve"> </v>
      </c>
      <c r="B1645" s="24"/>
      <c r="C1645" s="4"/>
      <c r="D1645" s="24"/>
      <c r="E1645" s="24"/>
      <c r="F1645" s="25" t="str">
        <f t="shared" si="101"/>
        <v xml:space="preserve"> </v>
      </c>
      <c r="G1645" s="24"/>
      <c r="H1645" s="25" t="str">
        <f t="shared" si="102"/>
        <v xml:space="preserve"> </v>
      </c>
      <c r="I1645" s="26"/>
      <c r="J1645" s="27" t="str">
        <f t="shared" si="103"/>
        <v xml:space="preserve"> </v>
      </c>
    </row>
    <row r="1646" spans="1:10" x14ac:dyDescent="0.3">
      <c r="A1646" s="23" t="str">
        <f t="shared" si="100"/>
        <v xml:space="preserve"> </v>
      </c>
      <c r="B1646" s="24"/>
      <c r="C1646" s="4"/>
      <c r="D1646" s="24"/>
      <c r="E1646" s="24"/>
      <c r="F1646" s="25" t="str">
        <f t="shared" si="101"/>
        <v xml:space="preserve"> </v>
      </c>
      <c r="G1646" s="24"/>
      <c r="H1646" s="25" t="str">
        <f t="shared" si="102"/>
        <v xml:space="preserve"> </v>
      </c>
      <c r="I1646" s="26"/>
      <c r="J1646" s="27" t="str">
        <f t="shared" si="103"/>
        <v xml:space="preserve"> </v>
      </c>
    </row>
    <row r="1647" spans="1:10" x14ac:dyDescent="0.3">
      <c r="A1647" s="23" t="str">
        <f t="shared" si="100"/>
        <v xml:space="preserve"> </v>
      </c>
      <c r="B1647" s="24"/>
      <c r="C1647" s="4"/>
      <c r="D1647" s="24"/>
      <c r="E1647" s="24"/>
      <c r="F1647" s="25" t="str">
        <f t="shared" si="101"/>
        <v xml:space="preserve"> </v>
      </c>
      <c r="G1647" s="24"/>
      <c r="H1647" s="25" t="str">
        <f t="shared" si="102"/>
        <v xml:space="preserve"> </v>
      </c>
      <c r="I1647" s="26"/>
      <c r="J1647" s="27" t="str">
        <f t="shared" si="103"/>
        <v xml:space="preserve"> </v>
      </c>
    </row>
    <row r="1648" spans="1:10" x14ac:dyDescent="0.3">
      <c r="A1648" s="23" t="str">
        <f t="shared" si="100"/>
        <v xml:space="preserve"> </v>
      </c>
      <c r="B1648" s="24"/>
      <c r="C1648" s="4"/>
      <c r="D1648" s="24"/>
      <c r="E1648" s="24"/>
      <c r="F1648" s="25" t="str">
        <f t="shared" si="101"/>
        <v xml:space="preserve"> </v>
      </c>
      <c r="G1648" s="24"/>
      <c r="H1648" s="25" t="str">
        <f t="shared" si="102"/>
        <v xml:space="preserve"> </v>
      </c>
      <c r="I1648" s="26"/>
      <c r="J1648" s="27" t="str">
        <f t="shared" si="103"/>
        <v xml:space="preserve"> </v>
      </c>
    </row>
    <row r="1649" spans="1:10" x14ac:dyDescent="0.3">
      <c r="A1649" s="23" t="str">
        <f t="shared" si="100"/>
        <v xml:space="preserve"> </v>
      </c>
      <c r="B1649" s="24"/>
      <c r="C1649" s="4"/>
      <c r="D1649" s="24"/>
      <c r="E1649" s="24"/>
      <c r="F1649" s="25" t="str">
        <f t="shared" si="101"/>
        <v xml:space="preserve"> </v>
      </c>
      <c r="G1649" s="24"/>
      <c r="H1649" s="25" t="str">
        <f t="shared" si="102"/>
        <v xml:space="preserve"> </v>
      </c>
      <c r="I1649" s="26"/>
      <c r="J1649" s="27" t="str">
        <f t="shared" si="103"/>
        <v xml:space="preserve"> </v>
      </c>
    </row>
    <row r="1650" spans="1:10" x14ac:dyDescent="0.3">
      <c r="A1650" s="23" t="str">
        <f t="shared" si="100"/>
        <v xml:space="preserve"> </v>
      </c>
      <c r="B1650" s="24"/>
      <c r="C1650" s="4"/>
      <c r="D1650" s="24"/>
      <c r="E1650" s="24"/>
      <c r="F1650" s="25" t="str">
        <f t="shared" si="101"/>
        <v xml:space="preserve"> </v>
      </c>
      <c r="G1650" s="24"/>
      <c r="H1650" s="25" t="str">
        <f t="shared" si="102"/>
        <v xml:space="preserve"> </v>
      </c>
      <c r="I1650" s="26"/>
      <c r="J1650" s="27" t="str">
        <f t="shared" si="103"/>
        <v xml:space="preserve"> </v>
      </c>
    </row>
    <row r="1651" spans="1:10" x14ac:dyDescent="0.3">
      <c r="A1651" s="23" t="str">
        <f t="shared" si="100"/>
        <v xml:space="preserve"> </v>
      </c>
      <c r="B1651" s="24"/>
      <c r="C1651" s="4"/>
      <c r="D1651" s="24"/>
      <c r="E1651" s="24"/>
      <c r="F1651" s="25" t="str">
        <f t="shared" si="101"/>
        <v xml:space="preserve"> </v>
      </c>
      <c r="G1651" s="24"/>
      <c r="H1651" s="25" t="str">
        <f t="shared" si="102"/>
        <v xml:space="preserve"> </v>
      </c>
      <c r="I1651" s="26"/>
      <c r="J1651" s="27" t="str">
        <f t="shared" si="103"/>
        <v xml:space="preserve"> </v>
      </c>
    </row>
    <row r="1652" spans="1:10" x14ac:dyDescent="0.3">
      <c r="A1652" s="23" t="str">
        <f t="shared" si="100"/>
        <v xml:space="preserve"> </v>
      </c>
      <c r="B1652" s="24"/>
      <c r="C1652" s="4"/>
      <c r="D1652" s="24"/>
      <c r="E1652" s="24"/>
      <c r="F1652" s="25" t="str">
        <f t="shared" si="101"/>
        <v xml:space="preserve"> </v>
      </c>
      <c r="G1652" s="24"/>
      <c r="H1652" s="25" t="str">
        <f t="shared" si="102"/>
        <v xml:space="preserve"> </v>
      </c>
      <c r="I1652" s="26"/>
      <c r="J1652" s="27" t="str">
        <f t="shared" si="103"/>
        <v xml:space="preserve"> </v>
      </c>
    </row>
    <row r="1653" spans="1:10" x14ac:dyDescent="0.3">
      <c r="A1653" s="23" t="str">
        <f t="shared" si="100"/>
        <v xml:space="preserve"> </v>
      </c>
      <c r="B1653" s="24"/>
      <c r="C1653" s="4"/>
      <c r="D1653" s="24"/>
      <c r="E1653" s="24"/>
      <c r="F1653" s="25" t="str">
        <f t="shared" si="101"/>
        <v xml:space="preserve"> </v>
      </c>
      <c r="G1653" s="24"/>
      <c r="H1653" s="25" t="str">
        <f t="shared" si="102"/>
        <v xml:space="preserve"> </v>
      </c>
      <c r="I1653" s="26"/>
      <c r="J1653" s="27" t="str">
        <f t="shared" si="103"/>
        <v xml:space="preserve"> </v>
      </c>
    </row>
    <row r="1654" spans="1:10" x14ac:dyDescent="0.3">
      <c r="A1654" s="23" t="str">
        <f t="shared" si="100"/>
        <v xml:space="preserve"> </v>
      </c>
      <c r="B1654" s="24"/>
      <c r="C1654" s="4"/>
      <c r="D1654" s="24"/>
      <c r="E1654" s="24"/>
      <c r="F1654" s="25" t="str">
        <f t="shared" si="101"/>
        <v xml:space="preserve"> </v>
      </c>
      <c r="G1654" s="24"/>
      <c r="H1654" s="25" t="str">
        <f t="shared" si="102"/>
        <v xml:space="preserve"> </v>
      </c>
      <c r="I1654" s="26"/>
      <c r="J1654" s="27" t="str">
        <f t="shared" si="103"/>
        <v xml:space="preserve"> </v>
      </c>
    </row>
    <row r="1655" spans="1:10" x14ac:dyDescent="0.3">
      <c r="A1655" s="23" t="str">
        <f t="shared" si="100"/>
        <v xml:space="preserve"> </v>
      </c>
      <c r="B1655" s="24"/>
      <c r="C1655" s="4"/>
      <c r="D1655" s="24"/>
      <c r="E1655" s="24"/>
      <c r="F1655" s="25" t="str">
        <f t="shared" si="101"/>
        <v xml:space="preserve"> </v>
      </c>
      <c r="G1655" s="24"/>
      <c r="H1655" s="25" t="str">
        <f t="shared" si="102"/>
        <v xml:space="preserve"> </v>
      </c>
      <c r="I1655" s="26"/>
      <c r="J1655" s="27" t="str">
        <f t="shared" si="103"/>
        <v xml:space="preserve"> </v>
      </c>
    </row>
    <row r="1656" spans="1:10" x14ac:dyDescent="0.3">
      <c r="A1656" s="23" t="str">
        <f t="shared" si="100"/>
        <v xml:space="preserve"> </v>
      </c>
      <c r="B1656" s="24"/>
      <c r="C1656" s="4"/>
      <c r="D1656" s="24"/>
      <c r="E1656" s="24"/>
      <c r="F1656" s="25" t="str">
        <f t="shared" si="101"/>
        <v xml:space="preserve"> </v>
      </c>
      <c r="G1656" s="24"/>
      <c r="H1656" s="25" t="str">
        <f t="shared" si="102"/>
        <v xml:space="preserve"> </v>
      </c>
      <c r="I1656" s="26"/>
      <c r="J1656" s="27" t="str">
        <f t="shared" si="103"/>
        <v xml:space="preserve"> </v>
      </c>
    </row>
    <row r="1657" spans="1:10" x14ac:dyDescent="0.3">
      <c r="A1657" s="23" t="str">
        <f t="shared" si="100"/>
        <v xml:space="preserve"> </v>
      </c>
      <c r="B1657" s="24"/>
      <c r="C1657" s="4"/>
      <c r="D1657" s="24"/>
      <c r="E1657" s="24"/>
      <c r="F1657" s="25" t="str">
        <f t="shared" si="101"/>
        <v xml:space="preserve"> </v>
      </c>
      <c r="G1657" s="24"/>
      <c r="H1657" s="25" t="str">
        <f t="shared" si="102"/>
        <v xml:space="preserve"> </v>
      </c>
      <c r="I1657" s="26"/>
      <c r="J1657" s="27" t="str">
        <f t="shared" si="103"/>
        <v xml:space="preserve"> </v>
      </c>
    </row>
    <row r="1658" spans="1:10" x14ac:dyDescent="0.3">
      <c r="A1658" s="23" t="str">
        <f t="shared" si="100"/>
        <v xml:space="preserve"> </v>
      </c>
      <c r="B1658" s="24"/>
      <c r="C1658" s="4"/>
      <c r="D1658" s="24"/>
      <c r="E1658" s="24"/>
      <c r="F1658" s="25" t="str">
        <f t="shared" si="101"/>
        <v xml:space="preserve"> </v>
      </c>
      <c r="G1658" s="24"/>
      <c r="H1658" s="25" t="str">
        <f t="shared" si="102"/>
        <v xml:space="preserve"> </v>
      </c>
      <c r="I1658" s="26"/>
      <c r="J1658" s="27" t="str">
        <f t="shared" si="103"/>
        <v xml:space="preserve"> </v>
      </c>
    </row>
    <row r="1659" spans="1:10" x14ac:dyDescent="0.3">
      <c r="A1659" s="23" t="str">
        <f t="shared" si="100"/>
        <v xml:space="preserve"> </v>
      </c>
      <c r="B1659" s="24"/>
      <c r="C1659" s="4"/>
      <c r="D1659" s="24"/>
      <c r="E1659" s="24"/>
      <c r="F1659" s="25" t="str">
        <f t="shared" si="101"/>
        <v xml:space="preserve"> </v>
      </c>
      <c r="G1659" s="24"/>
      <c r="H1659" s="25" t="str">
        <f t="shared" si="102"/>
        <v xml:space="preserve"> </v>
      </c>
      <c r="I1659" s="26"/>
      <c r="J1659" s="27" t="str">
        <f t="shared" si="103"/>
        <v xml:space="preserve"> </v>
      </c>
    </row>
    <row r="1660" spans="1:10" x14ac:dyDescent="0.3">
      <c r="A1660" s="23" t="str">
        <f t="shared" si="100"/>
        <v xml:space="preserve"> </v>
      </c>
      <c r="B1660" s="24"/>
      <c r="C1660" s="4"/>
      <c r="D1660" s="24"/>
      <c r="E1660" s="24"/>
      <c r="F1660" s="25" t="str">
        <f t="shared" si="101"/>
        <v xml:space="preserve"> </v>
      </c>
      <c r="G1660" s="24"/>
      <c r="H1660" s="25" t="str">
        <f t="shared" si="102"/>
        <v xml:space="preserve"> </v>
      </c>
      <c r="I1660" s="26"/>
      <c r="J1660" s="27" t="str">
        <f t="shared" si="103"/>
        <v xml:space="preserve"> </v>
      </c>
    </row>
    <row r="1661" spans="1:10" x14ac:dyDescent="0.3">
      <c r="A1661" s="23" t="str">
        <f t="shared" si="100"/>
        <v xml:space="preserve"> </v>
      </c>
      <c r="B1661" s="24"/>
      <c r="C1661" s="4"/>
      <c r="D1661" s="24"/>
      <c r="E1661" s="24"/>
      <c r="F1661" s="25" t="str">
        <f t="shared" si="101"/>
        <v xml:space="preserve"> </v>
      </c>
      <c r="G1661" s="24"/>
      <c r="H1661" s="25" t="str">
        <f t="shared" si="102"/>
        <v xml:space="preserve"> </v>
      </c>
      <c r="I1661" s="26"/>
      <c r="J1661" s="27" t="str">
        <f t="shared" si="103"/>
        <v xml:space="preserve"> </v>
      </c>
    </row>
    <row r="1662" spans="1:10" x14ac:dyDescent="0.3">
      <c r="A1662" s="23" t="str">
        <f t="shared" si="100"/>
        <v xml:space="preserve"> </v>
      </c>
      <c r="B1662" s="24"/>
      <c r="C1662" s="4"/>
      <c r="D1662" s="24"/>
      <c r="E1662" s="24"/>
      <c r="F1662" s="25" t="str">
        <f t="shared" si="101"/>
        <v xml:space="preserve"> </v>
      </c>
      <c r="G1662" s="24"/>
      <c r="H1662" s="25" t="str">
        <f t="shared" si="102"/>
        <v xml:space="preserve"> </v>
      </c>
      <c r="I1662" s="26"/>
      <c r="J1662" s="27" t="str">
        <f t="shared" si="103"/>
        <v xml:space="preserve"> </v>
      </c>
    </row>
    <row r="1663" spans="1:10" x14ac:dyDescent="0.3">
      <c r="A1663" s="23" t="str">
        <f t="shared" si="100"/>
        <v xml:space="preserve"> </v>
      </c>
      <c r="B1663" s="24"/>
      <c r="C1663" s="4"/>
      <c r="D1663" s="24"/>
      <c r="E1663" s="24"/>
      <c r="F1663" s="25" t="str">
        <f t="shared" si="101"/>
        <v xml:space="preserve"> </v>
      </c>
      <c r="G1663" s="24"/>
      <c r="H1663" s="25" t="str">
        <f t="shared" si="102"/>
        <v xml:space="preserve"> </v>
      </c>
      <c r="I1663" s="26"/>
      <c r="J1663" s="27" t="str">
        <f t="shared" si="103"/>
        <v xml:space="preserve"> </v>
      </c>
    </row>
    <row r="1664" spans="1:10" x14ac:dyDescent="0.3">
      <c r="A1664" s="23" t="str">
        <f t="shared" si="100"/>
        <v xml:space="preserve"> </v>
      </c>
      <c r="B1664" s="24"/>
      <c r="C1664" s="4"/>
      <c r="D1664" s="24"/>
      <c r="E1664" s="24"/>
      <c r="F1664" s="25" t="str">
        <f t="shared" si="101"/>
        <v xml:space="preserve"> </v>
      </c>
      <c r="G1664" s="24"/>
      <c r="H1664" s="25" t="str">
        <f t="shared" si="102"/>
        <v xml:space="preserve"> </v>
      </c>
      <c r="I1664" s="26"/>
      <c r="J1664" s="27" t="str">
        <f t="shared" si="103"/>
        <v xml:space="preserve"> </v>
      </c>
    </row>
    <row r="1665" spans="1:10" x14ac:dyDescent="0.3">
      <c r="A1665" s="23" t="str">
        <f t="shared" si="100"/>
        <v xml:space="preserve"> </v>
      </c>
      <c r="B1665" s="24"/>
      <c r="C1665" s="4"/>
      <c r="D1665" s="24"/>
      <c r="E1665" s="24"/>
      <c r="F1665" s="25" t="str">
        <f t="shared" si="101"/>
        <v xml:space="preserve"> </v>
      </c>
      <c r="G1665" s="24"/>
      <c r="H1665" s="25" t="str">
        <f t="shared" si="102"/>
        <v xml:space="preserve"> </v>
      </c>
      <c r="I1665" s="26"/>
      <c r="J1665" s="27" t="str">
        <f t="shared" si="103"/>
        <v xml:space="preserve"> </v>
      </c>
    </row>
    <row r="1666" spans="1:10" x14ac:dyDescent="0.3">
      <c r="A1666" s="23" t="str">
        <f t="shared" si="100"/>
        <v xml:space="preserve"> </v>
      </c>
      <c r="B1666" s="24"/>
      <c r="C1666" s="4"/>
      <c r="D1666" s="24"/>
      <c r="E1666" s="24"/>
      <c r="F1666" s="25" t="str">
        <f t="shared" si="101"/>
        <v xml:space="preserve"> </v>
      </c>
      <c r="G1666" s="24"/>
      <c r="H1666" s="25" t="str">
        <f t="shared" si="102"/>
        <v xml:space="preserve"> </v>
      </c>
      <c r="I1666" s="26"/>
      <c r="J1666" s="27" t="str">
        <f t="shared" si="103"/>
        <v xml:space="preserve"> </v>
      </c>
    </row>
    <row r="1667" spans="1:10" x14ac:dyDescent="0.3">
      <c r="A1667" s="23" t="str">
        <f t="shared" si="100"/>
        <v xml:space="preserve"> </v>
      </c>
      <c r="B1667" s="24"/>
      <c r="C1667" s="4"/>
      <c r="D1667" s="24"/>
      <c r="E1667" s="24"/>
      <c r="F1667" s="25" t="str">
        <f t="shared" si="101"/>
        <v xml:space="preserve"> </v>
      </c>
      <c r="G1667" s="24"/>
      <c r="H1667" s="25" t="str">
        <f t="shared" si="102"/>
        <v xml:space="preserve"> </v>
      </c>
      <c r="I1667" s="26"/>
      <c r="J1667" s="27" t="str">
        <f t="shared" si="103"/>
        <v xml:space="preserve"> </v>
      </c>
    </row>
    <row r="1668" spans="1:10" x14ac:dyDescent="0.3">
      <c r="A1668" s="23" t="str">
        <f t="shared" si="100"/>
        <v xml:space="preserve"> </v>
      </c>
      <c r="B1668" s="24"/>
      <c r="C1668" s="4"/>
      <c r="D1668" s="24"/>
      <c r="E1668" s="24"/>
      <c r="F1668" s="25" t="str">
        <f t="shared" si="101"/>
        <v xml:space="preserve"> </v>
      </c>
      <c r="G1668" s="24"/>
      <c r="H1668" s="25" t="str">
        <f t="shared" si="102"/>
        <v xml:space="preserve"> </v>
      </c>
      <c r="I1668" s="26"/>
      <c r="J1668" s="27" t="str">
        <f t="shared" si="103"/>
        <v xml:space="preserve"> </v>
      </c>
    </row>
    <row r="1669" spans="1:10" x14ac:dyDescent="0.3">
      <c r="A1669" s="23" t="str">
        <f t="shared" ref="A1669:A1732" si="104">IF(C1669&gt;0,RIGHT($D$3,10)," ")</f>
        <v xml:space="preserve"> </v>
      </c>
      <c r="B1669" s="24"/>
      <c r="C1669" s="4"/>
      <c r="D1669" s="24"/>
      <c r="E1669" s="24"/>
      <c r="F1669" s="25" t="str">
        <f t="shared" ref="F1669:F1732" si="105">IF(C1669&gt;0,$C$3," ")</f>
        <v xml:space="preserve"> </v>
      </c>
      <c r="G1669" s="24"/>
      <c r="H1669" s="25" t="str">
        <f t="shared" ref="H1669:H1732" si="106">IF(G1669&gt;0,"Pcs."," ")</f>
        <v xml:space="preserve"> </v>
      </c>
      <c r="I1669" s="26"/>
      <c r="J1669" s="27" t="str">
        <f t="shared" ref="J1669:J1732" si="107">IF(I1669*G1669=0," ",I1669*G1669)</f>
        <v xml:space="preserve"> </v>
      </c>
    </row>
    <row r="1670" spans="1:10" x14ac:dyDescent="0.3">
      <c r="A1670" s="23" t="str">
        <f t="shared" si="104"/>
        <v xml:space="preserve"> </v>
      </c>
      <c r="B1670" s="24"/>
      <c r="C1670" s="4"/>
      <c r="D1670" s="24"/>
      <c r="E1670" s="24"/>
      <c r="F1670" s="25" t="str">
        <f t="shared" si="105"/>
        <v xml:space="preserve"> </v>
      </c>
      <c r="G1670" s="24"/>
      <c r="H1670" s="25" t="str">
        <f t="shared" si="106"/>
        <v xml:space="preserve"> </v>
      </c>
      <c r="I1670" s="26"/>
      <c r="J1670" s="27" t="str">
        <f t="shared" si="107"/>
        <v xml:space="preserve"> </v>
      </c>
    </row>
    <row r="1671" spans="1:10" x14ac:dyDescent="0.3">
      <c r="A1671" s="23" t="str">
        <f t="shared" si="104"/>
        <v xml:space="preserve"> </v>
      </c>
      <c r="B1671" s="24"/>
      <c r="C1671" s="4"/>
      <c r="D1671" s="24"/>
      <c r="E1671" s="24"/>
      <c r="F1671" s="25" t="str">
        <f t="shared" si="105"/>
        <v xml:space="preserve"> </v>
      </c>
      <c r="G1671" s="24"/>
      <c r="H1671" s="25" t="str">
        <f t="shared" si="106"/>
        <v xml:space="preserve"> </v>
      </c>
      <c r="I1671" s="26"/>
      <c r="J1671" s="27" t="str">
        <f t="shared" si="107"/>
        <v xml:space="preserve"> </v>
      </c>
    </row>
    <row r="1672" spans="1:10" x14ac:dyDescent="0.3">
      <c r="A1672" s="23" t="str">
        <f t="shared" si="104"/>
        <v xml:space="preserve"> </v>
      </c>
      <c r="B1672" s="24"/>
      <c r="C1672" s="4"/>
      <c r="D1672" s="24"/>
      <c r="E1672" s="24"/>
      <c r="F1672" s="25" t="str">
        <f t="shared" si="105"/>
        <v xml:space="preserve"> </v>
      </c>
      <c r="G1672" s="24"/>
      <c r="H1672" s="25" t="str">
        <f t="shared" si="106"/>
        <v xml:space="preserve"> </v>
      </c>
      <c r="I1672" s="26"/>
      <c r="J1672" s="27" t="str">
        <f t="shared" si="107"/>
        <v xml:space="preserve"> </v>
      </c>
    </row>
    <row r="1673" spans="1:10" x14ac:dyDescent="0.3">
      <c r="A1673" s="23" t="str">
        <f t="shared" si="104"/>
        <v xml:space="preserve"> </v>
      </c>
      <c r="B1673" s="24"/>
      <c r="C1673" s="4"/>
      <c r="D1673" s="24"/>
      <c r="E1673" s="24"/>
      <c r="F1673" s="25" t="str">
        <f t="shared" si="105"/>
        <v xml:space="preserve"> </v>
      </c>
      <c r="G1673" s="24"/>
      <c r="H1673" s="25" t="str">
        <f t="shared" si="106"/>
        <v xml:space="preserve"> </v>
      </c>
      <c r="I1673" s="26"/>
      <c r="J1673" s="27" t="str">
        <f t="shared" si="107"/>
        <v xml:space="preserve"> </v>
      </c>
    </row>
    <row r="1674" spans="1:10" x14ac:dyDescent="0.3">
      <c r="A1674" s="23" t="str">
        <f t="shared" si="104"/>
        <v xml:space="preserve"> </v>
      </c>
      <c r="B1674" s="24"/>
      <c r="C1674" s="4"/>
      <c r="D1674" s="24"/>
      <c r="E1674" s="24"/>
      <c r="F1674" s="25" t="str">
        <f t="shared" si="105"/>
        <v xml:space="preserve"> </v>
      </c>
      <c r="G1674" s="24"/>
      <c r="H1674" s="25" t="str">
        <f t="shared" si="106"/>
        <v xml:space="preserve"> </v>
      </c>
      <c r="I1674" s="26"/>
      <c r="J1674" s="27" t="str">
        <f t="shared" si="107"/>
        <v xml:space="preserve"> </v>
      </c>
    </row>
    <row r="1675" spans="1:10" x14ac:dyDescent="0.3">
      <c r="A1675" s="23" t="str">
        <f t="shared" si="104"/>
        <v xml:space="preserve"> </v>
      </c>
      <c r="B1675" s="24"/>
      <c r="C1675" s="4"/>
      <c r="D1675" s="24"/>
      <c r="E1675" s="24"/>
      <c r="F1675" s="25" t="str">
        <f t="shared" si="105"/>
        <v xml:space="preserve"> </v>
      </c>
      <c r="G1675" s="24"/>
      <c r="H1675" s="25" t="str">
        <f t="shared" si="106"/>
        <v xml:space="preserve"> </v>
      </c>
      <c r="I1675" s="26"/>
      <c r="J1675" s="27" t="str">
        <f t="shared" si="107"/>
        <v xml:space="preserve"> </v>
      </c>
    </row>
    <row r="1676" spans="1:10" x14ac:dyDescent="0.3">
      <c r="A1676" s="23" t="str">
        <f t="shared" si="104"/>
        <v xml:space="preserve"> </v>
      </c>
      <c r="B1676" s="24"/>
      <c r="C1676" s="4"/>
      <c r="D1676" s="24"/>
      <c r="E1676" s="24"/>
      <c r="F1676" s="25" t="str">
        <f t="shared" si="105"/>
        <v xml:space="preserve"> </v>
      </c>
      <c r="G1676" s="24"/>
      <c r="H1676" s="25" t="str">
        <f t="shared" si="106"/>
        <v xml:space="preserve"> </v>
      </c>
      <c r="I1676" s="26"/>
      <c r="J1676" s="27" t="str">
        <f t="shared" si="107"/>
        <v xml:space="preserve"> </v>
      </c>
    </row>
    <row r="1677" spans="1:10" x14ac:dyDescent="0.3">
      <c r="A1677" s="23" t="str">
        <f t="shared" si="104"/>
        <v xml:space="preserve"> </v>
      </c>
      <c r="B1677" s="24"/>
      <c r="C1677" s="4"/>
      <c r="D1677" s="24"/>
      <c r="E1677" s="24"/>
      <c r="F1677" s="25" t="str">
        <f t="shared" si="105"/>
        <v xml:space="preserve"> </v>
      </c>
      <c r="G1677" s="24"/>
      <c r="H1677" s="25" t="str">
        <f t="shared" si="106"/>
        <v xml:space="preserve"> </v>
      </c>
      <c r="I1677" s="26"/>
      <c r="J1677" s="27" t="str">
        <f t="shared" si="107"/>
        <v xml:space="preserve"> </v>
      </c>
    </row>
    <row r="1678" spans="1:10" x14ac:dyDescent="0.3">
      <c r="A1678" s="23" t="str">
        <f t="shared" si="104"/>
        <v xml:space="preserve"> </v>
      </c>
      <c r="B1678" s="24"/>
      <c r="C1678" s="4"/>
      <c r="D1678" s="24"/>
      <c r="E1678" s="24"/>
      <c r="F1678" s="25" t="str">
        <f t="shared" si="105"/>
        <v xml:space="preserve"> </v>
      </c>
      <c r="G1678" s="24"/>
      <c r="H1678" s="25" t="str">
        <f t="shared" si="106"/>
        <v xml:space="preserve"> </v>
      </c>
      <c r="I1678" s="26"/>
      <c r="J1678" s="27" t="str">
        <f t="shared" si="107"/>
        <v xml:space="preserve"> </v>
      </c>
    </row>
    <row r="1679" spans="1:10" x14ac:dyDescent="0.3">
      <c r="A1679" s="23" t="str">
        <f t="shared" si="104"/>
        <v xml:space="preserve"> </v>
      </c>
      <c r="B1679" s="24"/>
      <c r="C1679" s="4"/>
      <c r="D1679" s="24"/>
      <c r="E1679" s="24"/>
      <c r="F1679" s="25" t="str">
        <f t="shared" si="105"/>
        <v xml:space="preserve"> </v>
      </c>
      <c r="G1679" s="24"/>
      <c r="H1679" s="25" t="str">
        <f t="shared" si="106"/>
        <v xml:space="preserve"> </v>
      </c>
      <c r="I1679" s="26"/>
      <c r="J1679" s="27" t="str">
        <f t="shared" si="107"/>
        <v xml:space="preserve"> </v>
      </c>
    </row>
    <row r="1680" spans="1:10" x14ac:dyDescent="0.3">
      <c r="A1680" s="23" t="str">
        <f t="shared" si="104"/>
        <v xml:space="preserve"> </v>
      </c>
      <c r="B1680" s="24"/>
      <c r="C1680" s="4"/>
      <c r="D1680" s="24"/>
      <c r="E1680" s="24"/>
      <c r="F1680" s="25" t="str">
        <f t="shared" si="105"/>
        <v xml:space="preserve"> </v>
      </c>
      <c r="G1680" s="24"/>
      <c r="H1680" s="25" t="str">
        <f t="shared" si="106"/>
        <v xml:space="preserve"> </v>
      </c>
      <c r="I1680" s="26"/>
      <c r="J1680" s="27" t="str">
        <f t="shared" si="107"/>
        <v xml:space="preserve"> </v>
      </c>
    </row>
    <row r="1681" spans="1:10" x14ac:dyDescent="0.3">
      <c r="A1681" s="23" t="str">
        <f t="shared" si="104"/>
        <v xml:space="preserve"> </v>
      </c>
      <c r="B1681" s="24"/>
      <c r="C1681" s="4"/>
      <c r="D1681" s="24"/>
      <c r="E1681" s="24"/>
      <c r="F1681" s="25" t="str">
        <f t="shared" si="105"/>
        <v xml:space="preserve"> </v>
      </c>
      <c r="G1681" s="24"/>
      <c r="H1681" s="25" t="str">
        <f t="shared" si="106"/>
        <v xml:space="preserve"> </v>
      </c>
      <c r="I1681" s="26"/>
      <c r="J1681" s="27" t="str">
        <f t="shared" si="107"/>
        <v xml:space="preserve"> </v>
      </c>
    </row>
    <row r="1682" spans="1:10" x14ac:dyDescent="0.3">
      <c r="A1682" s="23" t="str">
        <f t="shared" si="104"/>
        <v xml:space="preserve"> </v>
      </c>
      <c r="B1682" s="24"/>
      <c r="C1682" s="4"/>
      <c r="D1682" s="24"/>
      <c r="E1682" s="24"/>
      <c r="F1682" s="25" t="str">
        <f t="shared" si="105"/>
        <v xml:space="preserve"> </v>
      </c>
      <c r="G1682" s="24"/>
      <c r="H1682" s="25" t="str">
        <f t="shared" si="106"/>
        <v xml:space="preserve"> </v>
      </c>
      <c r="I1682" s="26"/>
      <c r="J1682" s="27" t="str">
        <f t="shared" si="107"/>
        <v xml:space="preserve"> </v>
      </c>
    </row>
    <row r="1683" spans="1:10" x14ac:dyDescent="0.3">
      <c r="A1683" s="23" t="str">
        <f t="shared" si="104"/>
        <v xml:space="preserve"> </v>
      </c>
      <c r="B1683" s="24"/>
      <c r="C1683" s="4"/>
      <c r="D1683" s="24"/>
      <c r="E1683" s="24"/>
      <c r="F1683" s="25" t="str">
        <f t="shared" si="105"/>
        <v xml:space="preserve"> </v>
      </c>
      <c r="G1683" s="24"/>
      <c r="H1683" s="25" t="str">
        <f t="shared" si="106"/>
        <v xml:space="preserve"> </v>
      </c>
      <c r="I1683" s="26"/>
      <c r="J1683" s="27" t="str">
        <f t="shared" si="107"/>
        <v xml:space="preserve"> </v>
      </c>
    </row>
    <row r="1684" spans="1:10" x14ac:dyDescent="0.3">
      <c r="A1684" s="23" t="str">
        <f t="shared" si="104"/>
        <v xml:space="preserve"> </v>
      </c>
      <c r="B1684" s="24"/>
      <c r="C1684" s="4"/>
      <c r="D1684" s="24"/>
      <c r="E1684" s="24"/>
      <c r="F1684" s="25" t="str">
        <f t="shared" si="105"/>
        <v xml:space="preserve"> </v>
      </c>
      <c r="G1684" s="24"/>
      <c r="H1684" s="25" t="str">
        <f t="shared" si="106"/>
        <v xml:space="preserve"> </v>
      </c>
      <c r="I1684" s="26"/>
      <c r="J1684" s="27" t="str">
        <f t="shared" si="107"/>
        <v xml:space="preserve"> </v>
      </c>
    </row>
    <row r="1685" spans="1:10" x14ac:dyDescent="0.3">
      <c r="A1685" s="23" t="str">
        <f t="shared" si="104"/>
        <v xml:space="preserve"> </v>
      </c>
      <c r="B1685" s="24"/>
      <c r="C1685" s="4"/>
      <c r="D1685" s="24"/>
      <c r="E1685" s="24"/>
      <c r="F1685" s="25" t="str">
        <f t="shared" si="105"/>
        <v xml:space="preserve"> </v>
      </c>
      <c r="G1685" s="24"/>
      <c r="H1685" s="25" t="str">
        <f t="shared" si="106"/>
        <v xml:space="preserve"> </v>
      </c>
      <c r="I1685" s="26"/>
      <c r="J1685" s="27" t="str">
        <f t="shared" si="107"/>
        <v xml:space="preserve"> </v>
      </c>
    </row>
    <row r="1686" spans="1:10" x14ac:dyDescent="0.3">
      <c r="A1686" s="23" t="str">
        <f t="shared" si="104"/>
        <v xml:space="preserve"> </v>
      </c>
      <c r="B1686" s="24"/>
      <c r="C1686" s="4"/>
      <c r="D1686" s="24"/>
      <c r="E1686" s="24"/>
      <c r="F1686" s="25" t="str">
        <f t="shared" si="105"/>
        <v xml:space="preserve"> </v>
      </c>
      <c r="G1686" s="24"/>
      <c r="H1686" s="25" t="str">
        <f t="shared" si="106"/>
        <v xml:space="preserve"> </v>
      </c>
      <c r="I1686" s="26"/>
      <c r="J1686" s="27" t="str">
        <f t="shared" si="107"/>
        <v xml:space="preserve"> </v>
      </c>
    </row>
    <row r="1687" spans="1:10" x14ac:dyDescent="0.3">
      <c r="A1687" s="23" t="str">
        <f t="shared" si="104"/>
        <v xml:space="preserve"> </v>
      </c>
      <c r="B1687" s="24"/>
      <c r="C1687" s="4"/>
      <c r="D1687" s="24"/>
      <c r="E1687" s="24"/>
      <c r="F1687" s="25" t="str">
        <f t="shared" si="105"/>
        <v xml:space="preserve"> </v>
      </c>
      <c r="G1687" s="24"/>
      <c r="H1687" s="25" t="str">
        <f t="shared" si="106"/>
        <v xml:space="preserve"> </v>
      </c>
      <c r="I1687" s="26"/>
      <c r="J1687" s="27" t="str">
        <f t="shared" si="107"/>
        <v xml:space="preserve"> </v>
      </c>
    </row>
    <row r="1688" spans="1:10" x14ac:dyDescent="0.3">
      <c r="A1688" s="23" t="str">
        <f t="shared" si="104"/>
        <v xml:space="preserve"> </v>
      </c>
      <c r="B1688" s="24"/>
      <c r="C1688" s="4"/>
      <c r="D1688" s="24"/>
      <c r="E1688" s="24"/>
      <c r="F1688" s="25" t="str">
        <f t="shared" si="105"/>
        <v xml:space="preserve"> </v>
      </c>
      <c r="G1688" s="24"/>
      <c r="H1688" s="25" t="str">
        <f t="shared" si="106"/>
        <v xml:space="preserve"> </v>
      </c>
      <c r="I1688" s="26"/>
      <c r="J1688" s="27" t="str">
        <f t="shared" si="107"/>
        <v xml:space="preserve"> </v>
      </c>
    </row>
    <row r="1689" spans="1:10" x14ac:dyDescent="0.3">
      <c r="A1689" s="23" t="str">
        <f t="shared" si="104"/>
        <v xml:space="preserve"> </v>
      </c>
      <c r="B1689" s="24"/>
      <c r="C1689" s="4"/>
      <c r="D1689" s="24"/>
      <c r="E1689" s="24"/>
      <c r="F1689" s="25" t="str">
        <f t="shared" si="105"/>
        <v xml:space="preserve"> </v>
      </c>
      <c r="G1689" s="24"/>
      <c r="H1689" s="25" t="str">
        <f t="shared" si="106"/>
        <v xml:space="preserve"> </v>
      </c>
      <c r="I1689" s="26"/>
      <c r="J1689" s="27" t="str">
        <f t="shared" si="107"/>
        <v xml:space="preserve"> </v>
      </c>
    </row>
    <row r="1690" spans="1:10" x14ac:dyDescent="0.3">
      <c r="A1690" s="23" t="str">
        <f t="shared" si="104"/>
        <v xml:space="preserve"> </v>
      </c>
      <c r="B1690" s="24"/>
      <c r="C1690" s="4"/>
      <c r="D1690" s="24"/>
      <c r="E1690" s="24"/>
      <c r="F1690" s="25" t="str">
        <f t="shared" si="105"/>
        <v xml:space="preserve"> </v>
      </c>
      <c r="G1690" s="24"/>
      <c r="H1690" s="25" t="str">
        <f t="shared" si="106"/>
        <v xml:space="preserve"> </v>
      </c>
      <c r="I1690" s="26"/>
      <c r="J1690" s="27" t="str">
        <f t="shared" si="107"/>
        <v xml:space="preserve"> </v>
      </c>
    </row>
    <row r="1691" spans="1:10" x14ac:dyDescent="0.3">
      <c r="A1691" s="23" t="str">
        <f t="shared" si="104"/>
        <v xml:space="preserve"> </v>
      </c>
      <c r="B1691" s="24"/>
      <c r="C1691" s="4"/>
      <c r="D1691" s="24"/>
      <c r="E1691" s="24"/>
      <c r="F1691" s="25" t="str">
        <f t="shared" si="105"/>
        <v xml:space="preserve"> </v>
      </c>
      <c r="G1691" s="24"/>
      <c r="H1691" s="25" t="str">
        <f t="shared" si="106"/>
        <v xml:space="preserve"> </v>
      </c>
      <c r="I1691" s="26"/>
      <c r="J1691" s="27" t="str">
        <f t="shared" si="107"/>
        <v xml:space="preserve"> </v>
      </c>
    </row>
    <row r="1692" spans="1:10" x14ac:dyDescent="0.3">
      <c r="A1692" s="23" t="str">
        <f t="shared" si="104"/>
        <v xml:space="preserve"> </v>
      </c>
      <c r="B1692" s="24"/>
      <c r="C1692" s="4"/>
      <c r="D1692" s="24"/>
      <c r="E1692" s="24"/>
      <c r="F1692" s="25" t="str">
        <f t="shared" si="105"/>
        <v xml:space="preserve"> </v>
      </c>
      <c r="G1692" s="24"/>
      <c r="H1692" s="25" t="str">
        <f t="shared" si="106"/>
        <v xml:space="preserve"> </v>
      </c>
      <c r="I1692" s="26"/>
      <c r="J1692" s="27" t="str">
        <f t="shared" si="107"/>
        <v xml:space="preserve"> </v>
      </c>
    </row>
    <row r="1693" spans="1:10" x14ac:dyDescent="0.3">
      <c r="A1693" s="23" t="str">
        <f t="shared" si="104"/>
        <v xml:space="preserve"> </v>
      </c>
      <c r="B1693" s="24"/>
      <c r="C1693" s="4"/>
      <c r="D1693" s="24"/>
      <c r="E1693" s="24"/>
      <c r="F1693" s="25" t="str">
        <f t="shared" si="105"/>
        <v xml:space="preserve"> </v>
      </c>
      <c r="G1693" s="24"/>
      <c r="H1693" s="25" t="str">
        <f t="shared" si="106"/>
        <v xml:space="preserve"> </v>
      </c>
      <c r="I1693" s="26"/>
      <c r="J1693" s="27" t="str">
        <f t="shared" si="107"/>
        <v xml:space="preserve"> </v>
      </c>
    </row>
    <row r="1694" spans="1:10" x14ac:dyDescent="0.3">
      <c r="A1694" s="23" t="str">
        <f t="shared" si="104"/>
        <v xml:space="preserve"> </v>
      </c>
      <c r="B1694" s="24"/>
      <c r="C1694" s="4"/>
      <c r="D1694" s="24"/>
      <c r="E1694" s="24"/>
      <c r="F1694" s="25" t="str">
        <f t="shared" si="105"/>
        <v xml:space="preserve"> </v>
      </c>
      <c r="G1694" s="24"/>
      <c r="H1694" s="25" t="str">
        <f t="shared" si="106"/>
        <v xml:space="preserve"> </v>
      </c>
      <c r="I1694" s="26"/>
      <c r="J1694" s="27" t="str">
        <f t="shared" si="107"/>
        <v xml:space="preserve"> </v>
      </c>
    </row>
    <row r="1695" spans="1:10" x14ac:dyDescent="0.3">
      <c r="A1695" s="23" t="str">
        <f t="shared" si="104"/>
        <v xml:space="preserve"> </v>
      </c>
      <c r="B1695" s="24"/>
      <c r="C1695" s="4"/>
      <c r="D1695" s="24"/>
      <c r="E1695" s="24"/>
      <c r="F1695" s="25" t="str">
        <f t="shared" si="105"/>
        <v xml:space="preserve"> </v>
      </c>
      <c r="G1695" s="24"/>
      <c r="H1695" s="25" t="str">
        <f t="shared" si="106"/>
        <v xml:space="preserve"> </v>
      </c>
      <c r="I1695" s="26"/>
      <c r="J1695" s="27" t="str">
        <f t="shared" si="107"/>
        <v xml:space="preserve"> </v>
      </c>
    </row>
    <row r="1696" spans="1:10" x14ac:dyDescent="0.3">
      <c r="A1696" s="23" t="str">
        <f t="shared" si="104"/>
        <v xml:space="preserve"> </v>
      </c>
      <c r="B1696" s="24"/>
      <c r="C1696" s="4"/>
      <c r="D1696" s="24"/>
      <c r="E1696" s="24"/>
      <c r="F1696" s="25" t="str">
        <f t="shared" si="105"/>
        <v xml:space="preserve"> </v>
      </c>
      <c r="G1696" s="24"/>
      <c r="H1696" s="25" t="str">
        <f t="shared" si="106"/>
        <v xml:space="preserve"> </v>
      </c>
      <c r="I1696" s="26"/>
      <c r="J1696" s="27" t="str">
        <f t="shared" si="107"/>
        <v xml:space="preserve"> </v>
      </c>
    </row>
    <row r="1697" spans="1:10" x14ac:dyDescent="0.3">
      <c r="A1697" s="23" t="str">
        <f t="shared" si="104"/>
        <v xml:space="preserve"> </v>
      </c>
      <c r="B1697" s="24"/>
      <c r="C1697" s="4"/>
      <c r="D1697" s="24"/>
      <c r="E1697" s="24"/>
      <c r="F1697" s="25" t="str">
        <f t="shared" si="105"/>
        <v xml:space="preserve"> </v>
      </c>
      <c r="G1697" s="24"/>
      <c r="H1697" s="25" t="str">
        <f t="shared" si="106"/>
        <v xml:space="preserve"> </v>
      </c>
      <c r="I1697" s="26"/>
      <c r="J1697" s="27" t="str">
        <f t="shared" si="107"/>
        <v xml:space="preserve"> </v>
      </c>
    </row>
    <row r="1698" spans="1:10" x14ac:dyDescent="0.3">
      <c r="A1698" s="23" t="str">
        <f t="shared" si="104"/>
        <v xml:space="preserve"> </v>
      </c>
      <c r="B1698" s="24"/>
      <c r="C1698" s="4"/>
      <c r="D1698" s="24"/>
      <c r="E1698" s="24"/>
      <c r="F1698" s="25" t="str">
        <f t="shared" si="105"/>
        <v xml:space="preserve"> </v>
      </c>
      <c r="G1698" s="24"/>
      <c r="H1698" s="25" t="str">
        <f t="shared" si="106"/>
        <v xml:space="preserve"> </v>
      </c>
      <c r="I1698" s="26"/>
      <c r="J1698" s="27" t="str">
        <f t="shared" si="107"/>
        <v xml:space="preserve"> </v>
      </c>
    </row>
    <row r="1699" spans="1:10" x14ac:dyDescent="0.3">
      <c r="A1699" s="23" t="str">
        <f t="shared" si="104"/>
        <v xml:space="preserve"> </v>
      </c>
      <c r="B1699" s="24"/>
      <c r="C1699" s="4"/>
      <c r="D1699" s="24"/>
      <c r="E1699" s="24"/>
      <c r="F1699" s="25" t="str">
        <f t="shared" si="105"/>
        <v xml:space="preserve"> </v>
      </c>
      <c r="G1699" s="24"/>
      <c r="H1699" s="25" t="str">
        <f t="shared" si="106"/>
        <v xml:space="preserve"> </v>
      </c>
      <c r="I1699" s="26"/>
      <c r="J1699" s="27" t="str">
        <f t="shared" si="107"/>
        <v xml:space="preserve"> </v>
      </c>
    </row>
    <row r="1700" spans="1:10" x14ac:dyDescent="0.3">
      <c r="A1700" s="23" t="str">
        <f t="shared" si="104"/>
        <v xml:space="preserve"> </v>
      </c>
      <c r="B1700" s="24"/>
      <c r="C1700" s="4"/>
      <c r="D1700" s="24"/>
      <c r="E1700" s="24"/>
      <c r="F1700" s="25" t="str">
        <f t="shared" si="105"/>
        <v xml:space="preserve"> </v>
      </c>
      <c r="G1700" s="24"/>
      <c r="H1700" s="25" t="str">
        <f t="shared" si="106"/>
        <v xml:space="preserve"> </v>
      </c>
      <c r="I1700" s="26"/>
      <c r="J1700" s="27" t="str">
        <f t="shared" si="107"/>
        <v xml:space="preserve"> </v>
      </c>
    </row>
    <row r="1701" spans="1:10" x14ac:dyDescent="0.3">
      <c r="A1701" s="23" t="str">
        <f t="shared" si="104"/>
        <v xml:space="preserve"> </v>
      </c>
      <c r="B1701" s="24"/>
      <c r="C1701" s="4"/>
      <c r="D1701" s="24"/>
      <c r="E1701" s="24"/>
      <c r="F1701" s="25" t="str">
        <f t="shared" si="105"/>
        <v xml:space="preserve"> </v>
      </c>
      <c r="G1701" s="24"/>
      <c r="H1701" s="25" t="str">
        <f t="shared" si="106"/>
        <v xml:space="preserve"> </v>
      </c>
      <c r="I1701" s="26"/>
      <c r="J1701" s="27" t="str">
        <f t="shared" si="107"/>
        <v xml:space="preserve"> </v>
      </c>
    </row>
    <row r="1702" spans="1:10" x14ac:dyDescent="0.3">
      <c r="A1702" s="23" t="str">
        <f t="shared" si="104"/>
        <v xml:space="preserve"> </v>
      </c>
      <c r="B1702" s="24"/>
      <c r="C1702" s="4"/>
      <c r="D1702" s="24"/>
      <c r="E1702" s="24"/>
      <c r="F1702" s="25" t="str">
        <f t="shared" si="105"/>
        <v xml:space="preserve"> </v>
      </c>
      <c r="G1702" s="24"/>
      <c r="H1702" s="25" t="str">
        <f t="shared" si="106"/>
        <v xml:space="preserve"> </v>
      </c>
      <c r="I1702" s="26"/>
      <c r="J1702" s="27" t="str">
        <f t="shared" si="107"/>
        <v xml:space="preserve"> </v>
      </c>
    </row>
    <row r="1703" spans="1:10" x14ac:dyDescent="0.3">
      <c r="A1703" s="23" t="str">
        <f t="shared" si="104"/>
        <v xml:space="preserve"> </v>
      </c>
      <c r="B1703" s="24"/>
      <c r="C1703" s="4"/>
      <c r="D1703" s="24"/>
      <c r="E1703" s="24"/>
      <c r="F1703" s="25" t="str">
        <f t="shared" si="105"/>
        <v xml:space="preserve"> </v>
      </c>
      <c r="G1703" s="24"/>
      <c r="H1703" s="25" t="str">
        <f t="shared" si="106"/>
        <v xml:space="preserve"> </v>
      </c>
      <c r="I1703" s="26"/>
      <c r="J1703" s="27" t="str">
        <f t="shared" si="107"/>
        <v xml:space="preserve"> </v>
      </c>
    </row>
    <row r="1704" spans="1:10" x14ac:dyDescent="0.3">
      <c r="A1704" s="23" t="str">
        <f t="shared" si="104"/>
        <v xml:space="preserve"> </v>
      </c>
      <c r="B1704" s="24"/>
      <c r="C1704" s="4"/>
      <c r="D1704" s="24"/>
      <c r="E1704" s="24"/>
      <c r="F1704" s="25" t="str">
        <f t="shared" si="105"/>
        <v xml:space="preserve"> </v>
      </c>
      <c r="G1704" s="24"/>
      <c r="H1704" s="25" t="str">
        <f t="shared" si="106"/>
        <v xml:space="preserve"> </v>
      </c>
      <c r="I1704" s="26"/>
      <c r="J1704" s="27" t="str">
        <f t="shared" si="107"/>
        <v xml:space="preserve"> </v>
      </c>
    </row>
    <row r="1705" spans="1:10" x14ac:dyDescent="0.3">
      <c r="A1705" s="23" t="str">
        <f t="shared" si="104"/>
        <v xml:space="preserve"> </v>
      </c>
      <c r="B1705" s="24"/>
      <c r="C1705" s="4"/>
      <c r="D1705" s="24"/>
      <c r="E1705" s="24"/>
      <c r="F1705" s="25" t="str">
        <f t="shared" si="105"/>
        <v xml:space="preserve"> </v>
      </c>
      <c r="G1705" s="24"/>
      <c r="H1705" s="25" t="str">
        <f t="shared" si="106"/>
        <v xml:space="preserve"> </v>
      </c>
      <c r="I1705" s="26"/>
      <c r="J1705" s="27" t="str">
        <f t="shared" si="107"/>
        <v xml:space="preserve"> </v>
      </c>
    </row>
    <row r="1706" spans="1:10" x14ac:dyDescent="0.3">
      <c r="A1706" s="23" t="str">
        <f t="shared" si="104"/>
        <v xml:space="preserve"> </v>
      </c>
      <c r="B1706" s="24"/>
      <c r="C1706" s="4"/>
      <c r="D1706" s="24"/>
      <c r="E1706" s="24"/>
      <c r="F1706" s="25" t="str">
        <f t="shared" si="105"/>
        <v xml:space="preserve"> </v>
      </c>
      <c r="G1706" s="24"/>
      <c r="H1706" s="25" t="str">
        <f t="shared" si="106"/>
        <v xml:space="preserve"> </v>
      </c>
      <c r="I1706" s="26"/>
      <c r="J1706" s="27" t="str">
        <f t="shared" si="107"/>
        <v xml:space="preserve"> </v>
      </c>
    </row>
    <row r="1707" spans="1:10" x14ac:dyDescent="0.3">
      <c r="A1707" s="23" t="str">
        <f t="shared" si="104"/>
        <v xml:space="preserve"> </v>
      </c>
      <c r="B1707" s="24"/>
      <c r="C1707" s="4"/>
      <c r="D1707" s="24"/>
      <c r="E1707" s="24"/>
      <c r="F1707" s="25" t="str">
        <f t="shared" si="105"/>
        <v xml:space="preserve"> </v>
      </c>
      <c r="G1707" s="24"/>
      <c r="H1707" s="25" t="str">
        <f t="shared" si="106"/>
        <v xml:space="preserve"> </v>
      </c>
      <c r="I1707" s="26"/>
      <c r="J1707" s="27" t="str">
        <f t="shared" si="107"/>
        <v xml:space="preserve"> </v>
      </c>
    </row>
    <row r="1708" spans="1:10" x14ac:dyDescent="0.3">
      <c r="A1708" s="23" t="str">
        <f t="shared" si="104"/>
        <v xml:space="preserve"> </v>
      </c>
      <c r="B1708" s="24"/>
      <c r="C1708" s="4"/>
      <c r="D1708" s="24"/>
      <c r="E1708" s="24"/>
      <c r="F1708" s="25" t="str">
        <f t="shared" si="105"/>
        <v xml:space="preserve"> </v>
      </c>
      <c r="G1708" s="24"/>
      <c r="H1708" s="25" t="str">
        <f t="shared" si="106"/>
        <v xml:space="preserve"> </v>
      </c>
      <c r="I1708" s="26"/>
      <c r="J1708" s="27" t="str">
        <f t="shared" si="107"/>
        <v xml:space="preserve"> </v>
      </c>
    </row>
    <row r="1709" spans="1:10" x14ac:dyDescent="0.3">
      <c r="A1709" s="23" t="str">
        <f t="shared" si="104"/>
        <v xml:space="preserve"> </v>
      </c>
      <c r="B1709" s="24"/>
      <c r="C1709" s="4"/>
      <c r="D1709" s="24"/>
      <c r="E1709" s="24"/>
      <c r="F1709" s="25" t="str">
        <f t="shared" si="105"/>
        <v xml:space="preserve"> </v>
      </c>
      <c r="G1709" s="24"/>
      <c r="H1709" s="25" t="str">
        <f t="shared" si="106"/>
        <v xml:space="preserve"> </v>
      </c>
      <c r="I1709" s="26"/>
      <c r="J1709" s="27" t="str">
        <f t="shared" si="107"/>
        <v xml:space="preserve"> </v>
      </c>
    </row>
    <row r="1710" spans="1:10" x14ac:dyDescent="0.3">
      <c r="A1710" s="23" t="str">
        <f t="shared" si="104"/>
        <v xml:space="preserve"> </v>
      </c>
      <c r="B1710" s="24"/>
      <c r="C1710" s="4"/>
      <c r="D1710" s="24"/>
      <c r="E1710" s="24"/>
      <c r="F1710" s="25" t="str">
        <f t="shared" si="105"/>
        <v xml:space="preserve"> </v>
      </c>
      <c r="G1710" s="24"/>
      <c r="H1710" s="25" t="str">
        <f t="shared" si="106"/>
        <v xml:space="preserve"> </v>
      </c>
      <c r="I1710" s="26"/>
      <c r="J1710" s="27" t="str">
        <f t="shared" si="107"/>
        <v xml:space="preserve"> </v>
      </c>
    </row>
    <row r="1711" spans="1:10" x14ac:dyDescent="0.3">
      <c r="A1711" s="23" t="str">
        <f t="shared" si="104"/>
        <v xml:space="preserve"> </v>
      </c>
      <c r="B1711" s="24"/>
      <c r="C1711" s="4"/>
      <c r="D1711" s="24"/>
      <c r="E1711" s="24"/>
      <c r="F1711" s="25" t="str">
        <f t="shared" si="105"/>
        <v xml:space="preserve"> </v>
      </c>
      <c r="G1711" s="24"/>
      <c r="H1711" s="25" t="str">
        <f t="shared" si="106"/>
        <v xml:space="preserve"> </v>
      </c>
      <c r="I1711" s="26"/>
      <c r="J1711" s="27" t="str">
        <f t="shared" si="107"/>
        <v xml:space="preserve"> </v>
      </c>
    </row>
    <row r="1712" spans="1:10" x14ac:dyDescent="0.3">
      <c r="A1712" s="23" t="str">
        <f t="shared" si="104"/>
        <v xml:space="preserve"> </v>
      </c>
      <c r="B1712" s="24"/>
      <c r="C1712" s="4"/>
      <c r="D1712" s="24"/>
      <c r="E1712" s="24"/>
      <c r="F1712" s="25" t="str">
        <f t="shared" si="105"/>
        <v xml:space="preserve"> </v>
      </c>
      <c r="G1712" s="24"/>
      <c r="H1712" s="25" t="str">
        <f t="shared" si="106"/>
        <v xml:space="preserve"> </v>
      </c>
      <c r="I1712" s="26"/>
      <c r="J1712" s="27" t="str">
        <f t="shared" si="107"/>
        <v xml:space="preserve"> </v>
      </c>
    </row>
    <row r="1713" spans="1:10" x14ac:dyDescent="0.3">
      <c r="A1713" s="23" t="str">
        <f t="shared" si="104"/>
        <v xml:space="preserve"> </v>
      </c>
      <c r="B1713" s="24"/>
      <c r="C1713" s="4"/>
      <c r="D1713" s="24"/>
      <c r="E1713" s="24"/>
      <c r="F1713" s="25" t="str">
        <f t="shared" si="105"/>
        <v xml:space="preserve"> </v>
      </c>
      <c r="G1713" s="24"/>
      <c r="H1713" s="25" t="str">
        <f t="shared" si="106"/>
        <v xml:space="preserve"> </v>
      </c>
      <c r="I1713" s="26"/>
      <c r="J1713" s="27" t="str">
        <f t="shared" si="107"/>
        <v xml:space="preserve"> </v>
      </c>
    </row>
    <row r="1714" spans="1:10" x14ac:dyDescent="0.3">
      <c r="A1714" s="23" t="str">
        <f t="shared" si="104"/>
        <v xml:space="preserve"> </v>
      </c>
      <c r="B1714" s="24"/>
      <c r="C1714" s="4"/>
      <c r="D1714" s="24"/>
      <c r="E1714" s="24"/>
      <c r="F1714" s="25" t="str">
        <f t="shared" si="105"/>
        <v xml:space="preserve"> </v>
      </c>
      <c r="G1714" s="24"/>
      <c r="H1714" s="25" t="str">
        <f t="shared" si="106"/>
        <v xml:space="preserve"> </v>
      </c>
      <c r="I1714" s="26"/>
      <c r="J1714" s="27" t="str">
        <f t="shared" si="107"/>
        <v xml:space="preserve"> </v>
      </c>
    </row>
    <row r="1715" spans="1:10" x14ac:dyDescent="0.3">
      <c r="A1715" s="23" t="str">
        <f t="shared" si="104"/>
        <v xml:space="preserve"> </v>
      </c>
      <c r="B1715" s="24"/>
      <c r="C1715" s="4"/>
      <c r="D1715" s="24"/>
      <c r="E1715" s="24"/>
      <c r="F1715" s="25" t="str">
        <f t="shared" si="105"/>
        <v xml:space="preserve"> </v>
      </c>
      <c r="G1715" s="24"/>
      <c r="H1715" s="25" t="str">
        <f t="shared" si="106"/>
        <v xml:space="preserve"> </v>
      </c>
      <c r="I1715" s="26"/>
      <c r="J1715" s="27" t="str">
        <f t="shared" si="107"/>
        <v xml:space="preserve"> </v>
      </c>
    </row>
    <row r="1716" spans="1:10" x14ac:dyDescent="0.3">
      <c r="A1716" s="23" t="str">
        <f t="shared" si="104"/>
        <v xml:space="preserve"> </v>
      </c>
      <c r="B1716" s="24"/>
      <c r="C1716" s="4"/>
      <c r="D1716" s="24"/>
      <c r="E1716" s="24"/>
      <c r="F1716" s="25" t="str">
        <f t="shared" si="105"/>
        <v xml:space="preserve"> </v>
      </c>
      <c r="G1716" s="24"/>
      <c r="H1716" s="25" t="str">
        <f t="shared" si="106"/>
        <v xml:space="preserve"> </v>
      </c>
      <c r="I1716" s="26"/>
      <c r="J1716" s="27" t="str">
        <f t="shared" si="107"/>
        <v xml:space="preserve"> </v>
      </c>
    </row>
    <row r="1717" spans="1:10" x14ac:dyDescent="0.3">
      <c r="A1717" s="23" t="str">
        <f t="shared" si="104"/>
        <v xml:space="preserve"> </v>
      </c>
      <c r="B1717" s="24"/>
      <c r="C1717" s="4"/>
      <c r="D1717" s="24"/>
      <c r="E1717" s="24"/>
      <c r="F1717" s="25" t="str">
        <f t="shared" si="105"/>
        <v xml:space="preserve"> </v>
      </c>
      <c r="G1717" s="24"/>
      <c r="H1717" s="25" t="str">
        <f t="shared" si="106"/>
        <v xml:space="preserve"> </v>
      </c>
      <c r="I1717" s="26"/>
      <c r="J1717" s="27" t="str">
        <f t="shared" si="107"/>
        <v xml:space="preserve"> </v>
      </c>
    </row>
    <row r="1718" spans="1:10" x14ac:dyDescent="0.3">
      <c r="A1718" s="23" t="str">
        <f t="shared" si="104"/>
        <v xml:space="preserve"> </v>
      </c>
      <c r="B1718" s="24"/>
      <c r="C1718" s="4"/>
      <c r="D1718" s="24"/>
      <c r="E1718" s="24"/>
      <c r="F1718" s="25" t="str">
        <f t="shared" si="105"/>
        <v xml:space="preserve"> </v>
      </c>
      <c r="G1718" s="24"/>
      <c r="H1718" s="25" t="str">
        <f t="shared" si="106"/>
        <v xml:space="preserve"> </v>
      </c>
      <c r="I1718" s="26"/>
      <c r="J1718" s="27" t="str">
        <f t="shared" si="107"/>
        <v xml:space="preserve"> </v>
      </c>
    </row>
    <row r="1719" spans="1:10" x14ac:dyDescent="0.3">
      <c r="A1719" s="23" t="str">
        <f t="shared" si="104"/>
        <v xml:space="preserve"> </v>
      </c>
      <c r="B1719" s="24"/>
      <c r="C1719" s="4"/>
      <c r="D1719" s="24"/>
      <c r="E1719" s="24"/>
      <c r="F1719" s="25" t="str">
        <f t="shared" si="105"/>
        <v xml:space="preserve"> </v>
      </c>
      <c r="G1719" s="24"/>
      <c r="H1719" s="25" t="str">
        <f t="shared" si="106"/>
        <v xml:space="preserve"> </v>
      </c>
      <c r="I1719" s="26"/>
      <c r="J1719" s="27" t="str">
        <f t="shared" si="107"/>
        <v xml:space="preserve"> </v>
      </c>
    </row>
    <row r="1720" spans="1:10" x14ac:dyDescent="0.3">
      <c r="A1720" s="23" t="str">
        <f t="shared" si="104"/>
        <v xml:space="preserve"> </v>
      </c>
      <c r="B1720" s="24"/>
      <c r="C1720" s="4"/>
      <c r="D1720" s="24"/>
      <c r="E1720" s="24"/>
      <c r="F1720" s="25" t="str">
        <f t="shared" si="105"/>
        <v xml:space="preserve"> </v>
      </c>
      <c r="G1720" s="24"/>
      <c r="H1720" s="25" t="str">
        <f t="shared" si="106"/>
        <v xml:space="preserve"> </v>
      </c>
      <c r="I1720" s="26"/>
      <c r="J1720" s="27" t="str">
        <f t="shared" si="107"/>
        <v xml:space="preserve"> </v>
      </c>
    </row>
    <row r="1721" spans="1:10" x14ac:dyDescent="0.3">
      <c r="A1721" s="23" t="str">
        <f t="shared" si="104"/>
        <v xml:space="preserve"> </v>
      </c>
      <c r="B1721" s="24"/>
      <c r="C1721" s="4"/>
      <c r="D1721" s="24"/>
      <c r="E1721" s="24"/>
      <c r="F1721" s="25" t="str">
        <f t="shared" si="105"/>
        <v xml:space="preserve"> </v>
      </c>
      <c r="G1721" s="24"/>
      <c r="H1721" s="25" t="str">
        <f t="shared" si="106"/>
        <v xml:space="preserve"> </v>
      </c>
      <c r="I1721" s="26"/>
      <c r="J1721" s="27" t="str">
        <f t="shared" si="107"/>
        <v xml:space="preserve"> </v>
      </c>
    </row>
    <row r="1722" spans="1:10" x14ac:dyDescent="0.3">
      <c r="A1722" s="23" t="str">
        <f t="shared" si="104"/>
        <v xml:space="preserve"> </v>
      </c>
      <c r="B1722" s="24"/>
      <c r="C1722" s="4"/>
      <c r="D1722" s="24"/>
      <c r="E1722" s="24"/>
      <c r="F1722" s="25" t="str">
        <f t="shared" si="105"/>
        <v xml:space="preserve"> </v>
      </c>
      <c r="G1722" s="24"/>
      <c r="H1722" s="25" t="str">
        <f t="shared" si="106"/>
        <v xml:space="preserve"> </v>
      </c>
      <c r="I1722" s="26"/>
      <c r="J1722" s="27" t="str">
        <f t="shared" si="107"/>
        <v xml:space="preserve"> </v>
      </c>
    </row>
    <row r="1723" spans="1:10" x14ac:dyDescent="0.3">
      <c r="A1723" s="23" t="str">
        <f t="shared" si="104"/>
        <v xml:space="preserve"> </v>
      </c>
      <c r="B1723" s="24"/>
      <c r="C1723" s="4"/>
      <c r="D1723" s="24"/>
      <c r="E1723" s="24"/>
      <c r="F1723" s="25" t="str">
        <f t="shared" si="105"/>
        <v xml:space="preserve"> </v>
      </c>
      <c r="G1723" s="24"/>
      <c r="H1723" s="25" t="str">
        <f t="shared" si="106"/>
        <v xml:space="preserve"> </v>
      </c>
      <c r="I1723" s="26"/>
      <c r="J1723" s="27" t="str">
        <f t="shared" si="107"/>
        <v xml:space="preserve"> </v>
      </c>
    </row>
    <row r="1724" spans="1:10" x14ac:dyDescent="0.3">
      <c r="A1724" s="23" t="str">
        <f t="shared" si="104"/>
        <v xml:space="preserve"> </v>
      </c>
      <c r="B1724" s="24"/>
      <c r="C1724" s="4"/>
      <c r="D1724" s="24"/>
      <c r="E1724" s="24"/>
      <c r="F1724" s="25" t="str">
        <f t="shared" si="105"/>
        <v xml:space="preserve"> </v>
      </c>
      <c r="G1724" s="24"/>
      <c r="H1724" s="25" t="str">
        <f t="shared" si="106"/>
        <v xml:space="preserve"> </v>
      </c>
      <c r="I1724" s="26"/>
      <c r="J1724" s="27" t="str">
        <f t="shared" si="107"/>
        <v xml:space="preserve"> </v>
      </c>
    </row>
    <row r="1725" spans="1:10" x14ac:dyDescent="0.3">
      <c r="A1725" s="23" t="str">
        <f t="shared" si="104"/>
        <v xml:space="preserve"> </v>
      </c>
      <c r="B1725" s="24"/>
      <c r="C1725" s="4"/>
      <c r="D1725" s="24"/>
      <c r="E1725" s="24"/>
      <c r="F1725" s="25" t="str">
        <f t="shared" si="105"/>
        <v xml:space="preserve"> </v>
      </c>
      <c r="G1725" s="24"/>
      <c r="H1725" s="25" t="str">
        <f t="shared" si="106"/>
        <v xml:space="preserve"> </v>
      </c>
      <c r="I1725" s="26"/>
      <c r="J1725" s="27" t="str">
        <f t="shared" si="107"/>
        <v xml:space="preserve"> </v>
      </c>
    </row>
    <row r="1726" spans="1:10" x14ac:dyDescent="0.3">
      <c r="A1726" s="23" t="str">
        <f t="shared" si="104"/>
        <v xml:space="preserve"> </v>
      </c>
      <c r="B1726" s="24"/>
      <c r="C1726" s="4"/>
      <c r="D1726" s="24"/>
      <c r="E1726" s="24"/>
      <c r="F1726" s="25" t="str">
        <f t="shared" si="105"/>
        <v xml:space="preserve"> </v>
      </c>
      <c r="G1726" s="24"/>
      <c r="H1726" s="25" t="str">
        <f t="shared" si="106"/>
        <v xml:space="preserve"> </v>
      </c>
      <c r="I1726" s="26"/>
      <c r="J1726" s="27" t="str">
        <f t="shared" si="107"/>
        <v xml:space="preserve"> </v>
      </c>
    </row>
    <row r="1727" spans="1:10" x14ac:dyDescent="0.3">
      <c r="A1727" s="23" t="str">
        <f t="shared" si="104"/>
        <v xml:space="preserve"> </v>
      </c>
      <c r="B1727" s="24"/>
      <c r="C1727" s="4"/>
      <c r="D1727" s="24"/>
      <c r="E1727" s="24"/>
      <c r="F1727" s="25" t="str">
        <f t="shared" si="105"/>
        <v xml:space="preserve"> </v>
      </c>
      <c r="G1727" s="24"/>
      <c r="H1727" s="25" t="str">
        <f t="shared" si="106"/>
        <v xml:space="preserve"> </v>
      </c>
      <c r="I1727" s="26"/>
      <c r="J1727" s="27" t="str">
        <f t="shared" si="107"/>
        <v xml:space="preserve"> </v>
      </c>
    </row>
    <row r="1728" spans="1:10" x14ac:dyDescent="0.3">
      <c r="A1728" s="23" t="str">
        <f t="shared" si="104"/>
        <v xml:space="preserve"> </v>
      </c>
      <c r="B1728" s="24"/>
      <c r="C1728" s="4"/>
      <c r="D1728" s="24"/>
      <c r="E1728" s="24"/>
      <c r="F1728" s="25" t="str">
        <f t="shared" si="105"/>
        <v xml:space="preserve"> </v>
      </c>
      <c r="G1728" s="24"/>
      <c r="H1728" s="25" t="str">
        <f t="shared" si="106"/>
        <v xml:space="preserve"> </v>
      </c>
      <c r="I1728" s="26"/>
      <c r="J1728" s="27" t="str">
        <f t="shared" si="107"/>
        <v xml:space="preserve"> </v>
      </c>
    </row>
    <row r="1729" spans="1:10" x14ac:dyDescent="0.3">
      <c r="A1729" s="23" t="str">
        <f t="shared" si="104"/>
        <v xml:space="preserve"> </v>
      </c>
      <c r="B1729" s="24"/>
      <c r="C1729" s="4"/>
      <c r="D1729" s="24"/>
      <c r="E1729" s="24"/>
      <c r="F1729" s="25" t="str">
        <f t="shared" si="105"/>
        <v xml:space="preserve"> </v>
      </c>
      <c r="G1729" s="24"/>
      <c r="H1729" s="25" t="str">
        <f t="shared" si="106"/>
        <v xml:space="preserve"> </v>
      </c>
      <c r="I1729" s="26"/>
      <c r="J1729" s="27" t="str">
        <f t="shared" si="107"/>
        <v xml:space="preserve"> </v>
      </c>
    </row>
    <row r="1730" spans="1:10" x14ac:dyDescent="0.3">
      <c r="A1730" s="23" t="str">
        <f t="shared" si="104"/>
        <v xml:space="preserve"> </v>
      </c>
      <c r="B1730" s="24"/>
      <c r="C1730" s="4"/>
      <c r="D1730" s="24"/>
      <c r="E1730" s="24"/>
      <c r="F1730" s="25" t="str">
        <f t="shared" si="105"/>
        <v xml:space="preserve"> </v>
      </c>
      <c r="G1730" s="24"/>
      <c r="H1730" s="25" t="str">
        <f t="shared" si="106"/>
        <v xml:space="preserve"> </v>
      </c>
      <c r="I1730" s="26"/>
      <c r="J1730" s="27" t="str">
        <f t="shared" si="107"/>
        <v xml:space="preserve"> </v>
      </c>
    </row>
    <row r="1731" spans="1:10" x14ac:dyDescent="0.3">
      <c r="A1731" s="23" t="str">
        <f t="shared" si="104"/>
        <v xml:space="preserve"> </v>
      </c>
      <c r="B1731" s="24"/>
      <c r="C1731" s="4"/>
      <c r="D1731" s="24"/>
      <c r="E1731" s="24"/>
      <c r="F1731" s="25" t="str">
        <f t="shared" si="105"/>
        <v xml:space="preserve"> </v>
      </c>
      <c r="G1731" s="24"/>
      <c r="H1731" s="25" t="str">
        <f t="shared" si="106"/>
        <v xml:space="preserve"> </v>
      </c>
      <c r="I1731" s="26"/>
      <c r="J1731" s="27" t="str">
        <f t="shared" si="107"/>
        <v xml:space="preserve"> </v>
      </c>
    </row>
    <row r="1732" spans="1:10" x14ac:dyDescent="0.3">
      <c r="A1732" s="23" t="str">
        <f t="shared" si="104"/>
        <v xml:space="preserve"> </v>
      </c>
      <c r="B1732" s="24"/>
      <c r="C1732" s="4"/>
      <c r="D1732" s="24"/>
      <c r="E1732" s="24"/>
      <c r="F1732" s="25" t="str">
        <f t="shared" si="105"/>
        <v xml:space="preserve"> </v>
      </c>
      <c r="G1732" s="24"/>
      <c r="H1732" s="25" t="str">
        <f t="shared" si="106"/>
        <v xml:space="preserve"> </v>
      </c>
      <c r="I1732" s="26"/>
      <c r="J1732" s="27" t="str">
        <f t="shared" si="107"/>
        <v xml:space="preserve"> </v>
      </c>
    </row>
    <row r="1733" spans="1:10" x14ac:dyDescent="0.3">
      <c r="A1733" s="23" t="str">
        <f t="shared" ref="A1733:A1796" si="108">IF(C1733&gt;0,RIGHT($D$3,10)," ")</f>
        <v xml:space="preserve"> </v>
      </c>
      <c r="B1733" s="24"/>
      <c r="C1733" s="4"/>
      <c r="D1733" s="24"/>
      <c r="E1733" s="24"/>
      <c r="F1733" s="25" t="str">
        <f t="shared" ref="F1733:F1796" si="109">IF(C1733&gt;0,$C$3," ")</f>
        <v xml:space="preserve"> </v>
      </c>
      <c r="G1733" s="24"/>
      <c r="H1733" s="25" t="str">
        <f t="shared" ref="H1733:H1796" si="110">IF(G1733&gt;0,"Pcs."," ")</f>
        <v xml:space="preserve"> </v>
      </c>
      <c r="I1733" s="26"/>
      <c r="J1733" s="27" t="str">
        <f t="shared" ref="J1733:J1796" si="111">IF(I1733*G1733=0," ",I1733*G1733)</f>
        <v xml:space="preserve"> </v>
      </c>
    </row>
    <row r="1734" spans="1:10" x14ac:dyDescent="0.3">
      <c r="A1734" s="23" t="str">
        <f t="shared" si="108"/>
        <v xml:space="preserve"> </v>
      </c>
      <c r="B1734" s="24"/>
      <c r="C1734" s="4"/>
      <c r="D1734" s="24"/>
      <c r="E1734" s="24"/>
      <c r="F1734" s="25" t="str">
        <f t="shared" si="109"/>
        <v xml:space="preserve"> </v>
      </c>
      <c r="G1734" s="24"/>
      <c r="H1734" s="25" t="str">
        <f t="shared" si="110"/>
        <v xml:space="preserve"> </v>
      </c>
      <c r="I1734" s="26"/>
      <c r="J1734" s="27" t="str">
        <f t="shared" si="111"/>
        <v xml:space="preserve"> </v>
      </c>
    </row>
    <row r="1735" spans="1:10" x14ac:dyDescent="0.3">
      <c r="A1735" s="23" t="str">
        <f t="shared" si="108"/>
        <v xml:space="preserve"> </v>
      </c>
      <c r="B1735" s="24"/>
      <c r="C1735" s="4"/>
      <c r="D1735" s="24"/>
      <c r="E1735" s="24"/>
      <c r="F1735" s="25" t="str">
        <f t="shared" si="109"/>
        <v xml:space="preserve"> </v>
      </c>
      <c r="G1735" s="24"/>
      <c r="H1735" s="25" t="str">
        <f t="shared" si="110"/>
        <v xml:space="preserve"> </v>
      </c>
      <c r="I1735" s="26"/>
      <c r="J1735" s="27" t="str">
        <f t="shared" si="111"/>
        <v xml:space="preserve"> </v>
      </c>
    </row>
    <row r="1736" spans="1:10" x14ac:dyDescent="0.3">
      <c r="A1736" s="23" t="str">
        <f t="shared" si="108"/>
        <v xml:space="preserve"> </v>
      </c>
      <c r="B1736" s="24"/>
      <c r="C1736" s="4"/>
      <c r="D1736" s="24"/>
      <c r="E1736" s="24"/>
      <c r="F1736" s="25" t="str">
        <f t="shared" si="109"/>
        <v xml:space="preserve"> </v>
      </c>
      <c r="G1736" s="24"/>
      <c r="H1736" s="25" t="str">
        <f t="shared" si="110"/>
        <v xml:space="preserve"> </v>
      </c>
      <c r="I1736" s="26"/>
      <c r="J1736" s="27" t="str">
        <f t="shared" si="111"/>
        <v xml:space="preserve"> </v>
      </c>
    </row>
    <row r="1737" spans="1:10" x14ac:dyDescent="0.3">
      <c r="A1737" s="23" t="str">
        <f t="shared" si="108"/>
        <v xml:space="preserve"> </v>
      </c>
      <c r="B1737" s="24"/>
      <c r="C1737" s="4"/>
      <c r="D1737" s="24"/>
      <c r="E1737" s="24"/>
      <c r="F1737" s="25" t="str">
        <f t="shared" si="109"/>
        <v xml:space="preserve"> </v>
      </c>
      <c r="G1737" s="24"/>
      <c r="H1737" s="25" t="str">
        <f t="shared" si="110"/>
        <v xml:space="preserve"> </v>
      </c>
      <c r="I1737" s="26"/>
      <c r="J1737" s="27" t="str">
        <f t="shared" si="111"/>
        <v xml:space="preserve"> </v>
      </c>
    </row>
    <row r="1738" spans="1:10" x14ac:dyDescent="0.3">
      <c r="A1738" s="23" t="str">
        <f t="shared" si="108"/>
        <v xml:space="preserve"> </v>
      </c>
      <c r="B1738" s="24"/>
      <c r="C1738" s="4"/>
      <c r="D1738" s="24"/>
      <c r="E1738" s="24"/>
      <c r="F1738" s="25" t="str">
        <f t="shared" si="109"/>
        <v xml:space="preserve"> </v>
      </c>
      <c r="G1738" s="24"/>
      <c r="H1738" s="25" t="str">
        <f t="shared" si="110"/>
        <v xml:space="preserve"> </v>
      </c>
      <c r="I1738" s="26"/>
      <c r="J1738" s="27" t="str">
        <f t="shared" si="111"/>
        <v xml:space="preserve"> </v>
      </c>
    </row>
    <row r="1739" spans="1:10" x14ac:dyDescent="0.3">
      <c r="A1739" s="23" t="str">
        <f t="shared" si="108"/>
        <v xml:space="preserve"> </v>
      </c>
      <c r="B1739" s="24"/>
      <c r="C1739" s="4"/>
      <c r="D1739" s="24"/>
      <c r="E1739" s="24"/>
      <c r="F1739" s="25" t="str">
        <f t="shared" si="109"/>
        <v xml:space="preserve"> </v>
      </c>
      <c r="G1739" s="24"/>
      <c r="H1739" s="25" t="str">
        <f t="shared" si="110"/>
        <v xml:space="preserve"> </v>
      </c>
      <c r="I1739" s="26"/>
      <c r="J1739" s="27" t="str">
        <f t="shared" si="111"/>
        <v xml:space="preserve"> </v>
      </c>
    </row>
    <row r="1740" spans="1:10" x14ac:dyDescent="0.3">
      <c r="A1740" s="23" t="str">
        <f t="shared" si="108"/>
        <v xml:space="preserve"> </v>
      </c>
      <c r="B1740" s="24"/>
      <c r="C1740" s="4"/>
      <c r="D1740" s="24"/>
      <c r="E1740" s="24"/>
      <c r="F1740" s="25" t="str">
        <f t="shared" si="109"/>
        <v xml:space="preserve"> </v>
      </c>
      <c r="G1740" s="24"/>
      <c r="H1740" s="25" t="str">
        <f t="shared" si="110"/>
        <v xml:space="preserve"> </v>
      </c>
      <c r="I1740" s="26"/>
      <c r="J1740" s="27" t="str">
        <f t="shared" si="111"/>
        <v xml:space="preserve"> </v>
      </c>
    </row>
    <row r="1741" spans="1:10" x14ac:dyDescent="0.3">
      <c r="A1741" s="23" t="str">
        <f t="shared" si="108"/>
        <v xml:space="preserve"> </v>
      </c>
      <c r="B1741" s="24"/>
      <c r="C1741" s="4"/>
      <c r="D1741" s="24"/>
      <c r="E1741" s="24"/>
      <c r="F1741" s="25" t="str">
        <f t="shared" si="109"/>
        <v xml:space="preserve"> </v>
      </c>
      <c r="G1741" s="24"/>
      <c r="H1741" s="25" t="str">
        <f t="shared" si="110"/>
        <v xml:space="preserve"> </v>
      </c>
      <c r="I1741" s="26"/>
      <c r="J1741" s="27" t="str">
        <f t="shared" si="111"/>
        <v xml:space="preserve"> </v>
      </c>
    </row>
    <row r="1742" spans="1:10" x14ac:dyDescent="0.3">
      <c r="A1742" s="23" t="str">
        <f t="shared" si="108"/>
        <v xml:space="preserve"> </v>
      </c>
      <c r="B1742" s="24"/>
      <c r="C1742" s="4"/>
      <c r="D1742" s="24"/>
      <c r="E1742" s="24"/>
      <c r="F1742" s="25" t="str">
        <f t="shared" si="109"/>
        <v xml:space="preserve"> </v>
      </c>
      <c r="G1742" s="24"/>
      <c r="H1742" s="25" t="str">
        <f t="shared" si="110"/>
        <v xml:space="preserve"> </v>
      </c>
      <c r="I1742" s="26"/>
      <c r="J1742" s="27" t="str">
        <f t="shared" si="111"/>
        <v xml:space="preserve"> </v>
      </c>
    </row>
    <row r="1743" spans="1:10" x14ac:dyDescent="0.3">
      <c r="A1743" s="23" t="str">
        <f t="shared" si="108"/>
        <v xml:space="preserve"> </v>
      </c>
      <c r="B1743" s="24"/>
      <c r="C1743" s="4"/>
      <c r="D1743" s="24"/>
      <c r="E1743" s="24"/>
      <c r="F1743" s="25" t="str">
        <f t="shared" si="109"/>
        <v xml:space="preserve"> </v>
      </c>
      <c r="G1743" s="24"/>
      <c r="H1743" s="25" t="str">
        <f t="shared" si="110"/>
        <v xml:space="preserve"> </v>
      </c>
      <c r="I1743" s="26"/>
      <c r="J1743" s="27" t="str">
        <f t="shared" si="111"/>
        <v xml:space="preserve"> </v>
      </c>
    </row>
    <row r="1744" spans="1:10" x14ac:dyDescent="0.3">
      <c r="A1744" s="23" t="str">
        <f t="shared" si="108"/>
        <v xml:space="preserve"> </v>
      </c>
      <c r="B1744" s="24"/>
      <c r="C1744" s="4"/>
      <c r="D1744" s="24"/>
      <c r="E1744" s="24"/>
      <c r="F1744" s="25" t="str">
        <f t="shared" si="109"/>
        <v xml:space="preserve"> </v>
      </c>
      <c r="G1744" s="24"/>
      <c r="H1744" s="25" t="str">
        <f t="shared" si="110"/>
        <v xml:space="preserve"> </v>
      </c>
      <c r="I1744" s="26"/>
      <c r="J1744" s="27" t="str">
        <f t="shared" si="111"/>
        <v xml:space="preserve"> </v>
      </c>
    </row>
    <row r="1745" spans="1:10" x14ac:dyDescent="0.3">
      <c r="A1745" s="23" t="str">
        <f t="shared" si="108"/>
        <v xml:space="preserve"> </v>
      </c>
      <c r="B1745" s="24"/>
      <c r="C1745" s="4"/>
      <c r="D1745" s="24"/>
      <c r="E1745" s="24"/>
      <c r="F1745" s="25" t="str">
        <f t="shared" si="109"/>
        <v xml:space="preserve"> </v>
      </c>
      <c r="G1745" s="24"/>
      <c r="H1745" s="25" t="str">
        <f t="shared" si="110"/>
        <v xml:space="preserve"> </v>
      </c>
      <c r="I1745" s="26"/>
      <c r="J1745" s="27" t="str">
        <f t="shared" si="111"/>
        <v xml:space="preserve"> </v>
      </c>
    </row>
    <row r="1746" spans="1:10" x14ac:dyDescent="0.3">
      <c r="A1746" s="23" t="str">
        <f t="shared" si="108"/>
        <v xml:space="preserve"> </v>
      </c>
      <c r="B1746" s="24"/>
      <c r="C1746" s="4"/>
      <c r="D1746" s="24"/>
      <c r="E1746" s="24"/>
      <c r="F1746" s="25" t="str">
        <f t="shared" si="109"/>
        <v xml:space="preserve"> </v>
      </c>
      <c r="G1746" s="24"/>
      <c r="H1746" s="25" t="str">
        <f t="shared" si="110"/>
        <v xml:space="preserve"> </v>
      </c>
      <c r="I1746" s="26"/>
      <c r="J1746" s="27" t="str">
        <f t="shared" si="111"/>
        <v xml:space="preserve"> </v>
      </c>
    </row>
    <row r="1747" spans="1:10" x14ac:dyDescent="0.3">
      <c r="A1747" s="23" t="str">
        <f t="shared" si="108"/>
        <v xml:space="preserve"> </v>
      </c>
      <c r="B1747" s="24"/>
      <c r="C1747" s="4"/>
      <c r="D1747" s="24"/>
      <c r="E1747" s="24"/>
      <c r="F1747" s="25" t="str">
        <f t="shared" si="109"/>
        <v xml:space="preserve"> </v>
      </c>
      <c r="G1747" s="24"/>
      <c r="H1747" s="25" t="str">
        <f t="shared" si="110"/>
        <v xml:space="preserve"> </v>
      </c>
      <c r="I1747" s="26"/>
      <c r="J1747" s="27" t="str">
        <f t="shared" si="111"/>
        <v xml:space="preserve"> </v>
      </c>
    </row>
    <row r="1748" spans="1:10" x14ac:dyDescent="0.3">
      <c r="A1748" s="23" t="str">
        <f t="shared" si="108"/>
        <v xml:space="preserve"> </v>
      </c>
      <c r="B1748" s="24"/>
      <c r="C1748" s="4"/>
      <c r="D1748" s="24"/>
      <c r="E1748" s="24"/>
      <c r="F1748" s="25" t="str">
        <f t="shared" si="109"/>
        <v xml:space="preserve"> </v>
      </c>
      <c r="G1748" s="24"/>
      <c r="H1748" s="25" t="str">
        <f t="shared" si="110"/>
        <v xml:space="preserve"> </v>
      </c>
      <c r="I1748" s="26"/>
      <c r="J1748" s="27" t="str">
        <f t="shared" si="111"/>
        <v xml:space="preserve"> </v>
      </c>
    </row>
    <row r="1749" spans="1:10" x14ac:dyDescent="0.3">
      <c r="A1749" s="23" t="str">
        <f t="shared" si="108"/>
        <v xml:space="preserve"> </v>
      </c>
      <c r="B1749" s="24"/>
      <c r="C1749" s="4"/>
      <c r="D1749" s="24"/>
      <c r="E1749" s="24"/>
      <c r="F1749" s="25" t="str">
        <f t="shared" si="109"/>
        <v xml:space="preserve"> </v>
      </c>
      <c r="G1749" s="24"/>
      <c r="H1749" s="25" t="str">
        <f t="shared" si="110"/>
        <v xml:space="preserve"> </v>
      </c>
      <c r="I1749" s="26"/>
      <c r="J1749" s="27" t="str">
        <f t="shared" si="111"/>
        <v xml:space="preserve"> </v>
      </c>
    </row>
    <row r="1750" spans="1:10" x14ac:dyDescent="0.3">
      <c r="A1750" s="23" t="str">
        <f t="shared" si="108"/>
        <v xml:space="preserve"> </v>
      </c>
      <c r="B1750" s="24"/>
      <c r="C1750" s="4"/>
      <c r="D1750" s="24"/>
      <c r="E1750" s="24"/>
      <c r="F1750" s="25" t="str">
        <f t="shared" si="109"/>
        <v xml:space="preserve"> </v>
      </c>
      <c r="G1750" s="24"/>
      <c r="H1750" s="25" t="str">
        <f t="shared" si="110"/>
        <v xml:space="preserve"> </v>
      </c>
      <c r="I1750" s="26"/>
      <c r="J1750" s="27" t="str">
        <f t="shared" si="111"/>
        <v xml:space="preserve"> </v>
      </c>
    </row>
    <row r="1751" spans="1:10" x14ac:dyDescent="0.3">
      <c r="A1751" s="23" t="str">
        <f t="shared" si="108"/>
        <v xml:space="preserve"> </v>
      </c>
      <c r="B1751" s="24"/>
      <c r="C1751" s="4"/>
      <c r="D1751" s="24"/>
      <c r="E1751" s="24"/>
      <c r="F1751" s="25" t="str">
        <f t="shared" si="109"/>
        <v xml:space="preserve"> </v>
      </c>
      <c r="G1751" s="24"/>
      <c r="H1751" s="25" t="str">
        <f t="shared" si="110"/>
        <v xml:space="preserve"> </v>
      </c>
      <c r="I1751" s="26"/>
      <c r="J1751" s="27" t="str">
        <f t="shared" si="111"/>
        <v xml:space="preserve"> </v>
      </c>
    </row>
    <row r="1752" spans="1:10" x14ac:dyDescent="0.3">
      <c r="A1752" s="23" t="str">
        <f t="shared" si="108"/>
        <v xml:space="preserve"> </v>
      </c>
      <c r="B1752" s="24"/>
      <c r="C1752" s="4"/>
      <c r="D1752" s="24"/>
      <c r="E1752" s="24"/>
      <c r="F1752" s="25" t="str">
        <f t="shared" si="109"/>
        <v xml:space="preserve"> </v>
      </c>
      <c r="G1752" s="24"/>
      <c r="H1752" s="25" t="str">
        <f t="shared" si="110"/>
        <v xml:space="preserve"> </v>
      </c>
      <c r="I1752" s="26"/>
      <c r="J1752" s="27" t="str">
        <f t="shared" si="111"/>
        <v xml:space="preserve"> </v>
      </c>
    </row>
    <row r="1753" spans="1:10" x14ac:dyDescent="0.3">
      <c r="A1753" s="23" t="str">
        <f t="shared" si="108"/>
        <v xml:space="preserve"> </v>
      </c>
      <c r="B1753" s="24"/>
      <c r="C1753" s="4"/>
      <c r="D1753" s="24"/>
      <c r="E1753" s="24"/>
      <c r="F1753" s="25" t="str">
        <f t="shared" si="109"/>
        <v xml:space="preserve"> </v>
      </c>
      <c r="G1753" s="24"/>
      <c r="H1753" s="25" t="str">
        <f t="shared" si="110"/>
        <v xml:space="preserve"> </v>
      </c>
      <c r="I1753" s="26"/>
      <c r="J1753" s="27" t="str">
        <f t="shared" si="111"/>
        <v xml:space="preserve"> </v>
      </c>
    </row>
    <row r="1754" spans="1:10" x14ac:dyDescent="0.3">
      <c r="A1754" s="23" t="str">
        <f t="shared" si="108"/>
        <v xml:space="preserve"> </v>
      </c>
      <c r="B1754" s="24"/>
      <c r="C1754" s="4"/>
      <c r="D1754" s="24"/>
      <c r="E1754" s="24"/>
      <c r="F1754" s="25" t="str">
        <f t="shared" si="109"/>
        <v xml:space="preserve"> </v>
      </c>
      <c r="G1754" s="24"/>
      <c r="H1754" s="25" t="str">
        <f t="shared" si="110"/>
        <v xml:space="preserve"> </v>
      </c>
      <c r="I1754" s="26"/>
      <c r="J1754" s="27" t="str">
        <f t="shared" si="111"/>
        <v xml:space="preserve"> </v>
      </c>
    </row>
    <row r="1755" spans="1:10" x14ac:dyDescent="0.3">
      <c r="A1755" s="23" t="str">
        <f t="shared" si="108"/>
        <v xml:space="preserve"> </v>
      </c>
      <c r="B1755" s="24"/>
      <c r="C1755" s="4"/>
      <c r="D1755" s="24"/>
      <c r="E1755" s="24"/>
      <c r="F1755" s="25" t="str">
        <f t="shared" si="109"/>
        <v xml:space="preserve"> </v>
      </c>
      <c r="G1755" s="24"/>
      <c r="H1755" s="25" t="str">
        <f t="shared" si="110"/>
        <v xml:space="preserve"> </v>
      </c>
      <c r="I1755" s="26"/>
      <c r="J1755" s="27" t="str">
        <f t="shared" si="111"/>
        <v xml:space="preserve"> </v>
      </c>
    </row>
    <row r="1756" spans="1:10" x14ac:dyDescent="0.3">
      <c r="A1756" s="23" t="str">
        <f t="shared" si="108"/>
        <v xml:space="preserve"> </v>
      </c>
      <c r="B1756" s="24"/>
      <c r="C1756" s="4"/>
      <c r="D1756" s="24"/>
      <c r="E1756" s="24"/>
      <c r="F1756" s="25" t="str">
        <f t="shared" si="109"/>
        <v xml:space="preserve"> </v>
      </c>
      <c r="G1756" s="24"/>
      <c r="H1756" s="25" t="str">
        <f t="shared" si="110"/>
        <v xml:space="preserve"> </v>
      </c>
      <c r="I1756" s="26"/>
      <c r="J1756" s="27" t="str">
        <f t="shared" si="111"/>
        <v xml:space="preserve"> </v>
      </c>
    </row>
    <row r="1757" spans="1:10" x14ac:dyDescent="0.3">
      <c r="A1757" s="23" t="str">
        <f t="shared" si="108"/>
        <v xml:space="preserve"> </v>
      </c>
      <c r="B1757" s="24"/>
      <c r="C1757" s="4"/>
      <c r="D1757" s="24"/>
      <c r="E1757" s="24"/>
      <c r="F1757" s="25" t="str">
        <f t="shared" si="109"/>
        <v xml:space="preserve"> </v>
      </c>
      <c r="G1757" s="24"/>
      <c r="H1757" s="25" t="str">
        <f t="shared" si="110"/>
        <v xml:space="preserve"> </v>
      </c>
      <c r="I1757" s="26"/>
      <c r="J1757" s="27" t="str">
        <f t="shared" si="111"/>
        <v xml:space="preserve"> </v>
      </c>
    </row>
    <row r="1758" spans="1:10" x14ac:dyDescent="0.3">
      <c r="A1758" s="23" t="str">
        <f t="shared" si="108"/>
        <v xml:space="preserve"> </v>
      </c>
      <c r="B1758" s="24"/>
      <c r="C1758" s="4"/>
      <c r="D1758" s="24"/>
      <c r="E1758" s="24"/>
      <c r="F1758" s="25" t="str">
        <f t="shared" si="109"/>
        <v xml:space="preserve"> </v>
      </c>
      <c r="G1758" s="24"/>
      <c r="H1758" s="25" t="str">
        <f t="shared" si="110"/>
        <v xml:space="preserve"> </v>
      </c>
      <c r="I1758" s="26"/>
      <c r="J1758" s="27" t="str">
        <f t="shared" si="111"/>
        <v xml:space="preserve"> </v>
      </c>
    </row>
    <row r="1759" spans="1:10" x14ac:dyDescent="0.3">
      <c r="A1759" s="23" t="str">
        <f t="shared" si="108"/>
        <v xml:space="preserve"> </v>
      </c>
      <c r="B1759" s="24"/>
      <c r="C1759" s="4"/>
      <c r="D1759" s="24"/>
      <c r="E1759" s="24"/>
      <c r="F1759" s="25" t="str">
        <f t="shared" si="109"/>
        <v xml:space="preserve"> </v>
      </c>
      <c r="G1759" s="24"/>
      <c r="H1759" s="25" t="str">
        <f t="shared" si="110"/>
        <v xml:space="preserve"> </v>
      </c>
      <c r="I1759" s="26"/>
      <c r="J1759" s="27" t="str">
        <f t="shared" si="111"/>
        <v xml:space="preserve"> </v>
      </c>
    </row>
    <row r="1760" spans="1:10" x14ac:dyDescent="0.3">
      <c r="A1760" s="23" t="str">
        <f t="shared" si="108"/>
        <v xml:space="preserve"> </v>
      </c>
      <c r="B1760" s="24"/>
      <c r="C1760" s="4"/>
      <c r="D1760" s="24"/>
      <c r="E1760" s="24"/>
      <c r="F1760" s="25" t="str">
        <f t="shared" si="109"/>
        <v xml:space="preserve"> </v>
      </c>
      <c r="G1760" s="24"/>
      <c r="H1760" s="25" t="str">
        <f t="shared" si="110"/>
        <v xml:space="preserve"> </v>
      </c>
      <c r="I1760" s="26"/>
      <c r="J1760" s="27" t="str">
        <f t="shared" si="111"/>
        <v xml:space="preserve"> </v>
      </c>
    </row>
    <row r="1761" spans="1:10" x14ac:dyDescent="0.3">
      <c r="A1761" s="23" t="str">
        <f t="shared" si="108"/>
        <v xml:space="preserve"> </v>
      </c>
      <c r="B1761" s="24"/>
      <c r="C1761" s="4"/>
      <c r="D1761" s="24"/>
      <c r="E1761" s="24"/>
      <c r="F1761" s="25" t="str">
        <f t="shared" si="109"/>
        <v xml:space="preserve"> </v>
      </c>
      <c r="G1761" s="24"/>
      <c r="H1761" s="25" t="str">
        <f t="shared" si="110"/>
        <v xml:space="preserve"> </v>
      </c>
      <c r="I1761" s="26"/>
      <c r="J1761" s="27" t="str">
        <f t="shared" si="111"/>
        <v xml:space="preserve"> </v>
      </c>
    </row>
    <row r="1762" spans="1:10" x14ac:dyDescent="0.3">
      <c r="A1762" s="23" t="str">
        <f t="shared" si="108"/>
        <v xml:space="preserve"> </v>
      </c>
      <c r="B1762" s="24"/>
      <c r="C1762" s="4"/>
      <c r="D1762" s="24"/>
      <c r="E1762" s="24"/>
      <c r="F1762" s="25" t="str">
        <f t="shared" si="109"/>
        <v xml:space="preserve"> </v>
      </c>
      <c r="G1762" s="24"/>
      <c r="H1762" s="25" t="str">
        <f t="shared" si="110"/>
        <v xml:space="preserve"> </v>
      </c>
      <c r="I1762" s="26"/>
      <c r="J1762" s="27" t="str">
        <f t="shared" si="111"/>
        <v xml:space="preserve"> </v>
      </c>
    </row>
    <row r="1763" spans="1:10" x14ac:dyDescent="0.3">
      <c r="A1763" s="23" t="str">
        <f t="shared" si="108"/>
        <v xml:space="preserve"> </v>
      </c>
      <c r="B1763" s="24"/>
      <c r="C1763" s="4"/>
      <c r="D1763" s="24"/>
      <c r="E1763" s="24"/>
      <c r="F1763" s="25" t="str">
        <f t="shared" si="109"/>
        <v xml:space="preserve"> </v>
      </c>
      <c r="G1763" s="24"/>
      <c r="H1763" s="25" t="str">
        <f t="shared" si="110"/>
        <v xml:space="preserve"> </v>
      </c>
      <c r="I1763" s="26"/>
      <c r="J1763" s="27" t="str">
        <f t="shared" si="111"/>
        <v xml:space="preserve"> </v>
      </c>
    </row>
    <row r="1764" spans="1:10" x14ac:dyDescent="0.3">
      <c r="A1764" s="23" t="str">
        <f t="shared" si="108"/>
        <v xml:space="preserve"> </v>
      </c>
      <c r="B1764" s="24"/>
      <c r="C1764" s="4"/>
      <c r="D1764" s="24"/>
      <c r="E1764" s="24"/>
      <c r="F1764" s="25" t="str">
        <f t="shared" si="109"/>
        <v xml:space="preserve"> </v>
      </c>
      <c r="G1764" s="24"/>
      <c r="H1764" s="25" t="str">
        <f t="shared" si="110"/>
        <v xml:space="preserve"> </v>
      </c>
      <c r="I1764" s="26"/>
      <c r="J1764" s="27" t="str">
        <f t="shared" si="111"/>
        <v xml:space="preserve"> </v>
      </c>
    </row>
    <row r="1765" spans="1:10" x14ac:dyDescent="0.3">
      <c r="A1765" s="23" t="str">
        <f t="shared" si="108"/>
        <v xml:space="preserve"> </v>
      </c>
      <c r="B1765" s="24"/>
      <c r="C1765" s="4"/>
      <c r="D1765" s="24"/>
      <c r="E1765" s="24"/>
      <c r="F1765" s="25" t="str">
        <f t="shared" si="109"/>
        <v xml:space="preserve"> </v>
      </c>
      <c r="G1765" s="24"/>
      <c r="H1765" s="25" t="str">
        <f t="shared" si="110"/>
        <v xml:space="preserve"> </v>
      </c>
      <c r="I1765" s="26"/>
      <c r="J1765" s="27" t="str">
        <f t="shared" si="111"/>
        <v xml:space="preserve"> </v>
      </c>
    </row>
    <row r="1766" spans="1:10" x14ac:dyDescent="0.3">
      <c r="A1766" s="23" t="str">
        <f t="shared" si="108"/>
        <v xml:space="preserve"> </v>
      </c>
      <c r="B1766" s="24"/>
      <c r="C1766" s="4"/>
      <c r="D1766" s="24"/>
      <c r="E1766" s="24"/>
      <c r="F1766" s="25" t="str">
        <f t="shared" si="109"/>
        <v xml:space="preserve"> </v>
      </c>
      <c r="G1766" s="24"/>
      <c r="H1766" s="25" t="str">
        <f t="shared" si="110"/>
        <v xml:space="preserve"> </v>
      </c>
      <c r="I1766" s="26"/>
      <c r="J1766" s="27" t="str">
        <f t="shared" si="111"/>
        <v xml:space="preserve"> </v>
      </c>
    </row>
    <row r="1767" spans="1:10" x14ac:dyDescent="0.3">
      <c r="A1767" s="23" t="str">
        <f t="shared" si="108"/>
        <v xml:space="preserve"> </v>
      </c>
      <c r="B1767" s="24"/>
      <c r="C1767" s="4"/>
      <c r="D1767" s="24"/>
      <c r="E1767" s="24"/>
      <c r="F1767" s="25" t="str">
        <f t="shared" si="109"/>
        <v xml:space="preserve"> </v>
      </c>
      <c r="G1767" s="24"/>
      <c r="H1767" s="25" t="str">
        <f t="shared" si="110"/>
        <v xml:space="preserve"> </v>
      </c>
      <c r="I1767" s="26"/>
      <c r="J1767" s="27" t="str">
        <f t="shared" si="111"/>
        <v xml:space="preserve"> </v>
      </c>
    </row>
    <row r="1768" spans="1:10" x14ac:dyDescent="0.3">
      <c r="A1768" s="23" t="str">
        <f t="shared" si="108"/>
        <v xml:space="preserve"> </v>
      </c>
      <c r="B1768" s="24"/>
      <c r="C1768" s="4"/>
      <c r="D1768" s="24"/>
      <c r="E1768" s="24"/>
      <c r="F1768" s="25" t="str">
        <f t="shared" si="109"/>
        <v xml:space="preserve"> </v>
      </c>
      <c r="G1768" s="24"/>
      <c r="H1768" s="25" t="str">
        <f t="shared" si="110"/>
        <v xml:space="preserve"> </v>
      </c>
      <c r="I1768" s="26"/>
      <c r="J1768" s="27" t="str">
        <f t="shared" si="111"/>
        <v xml:space="preserve"> </v>
      </c>
    </row>
    <row r="1769" spans="1:10" x14ac:dyDescent="0.3">
      <c r="A1769" s="23" t="str">
        <f t="shared" si="108"/>
        <v xml:space="preserve"> </v>
      </c>
      <c r="B1769" s="24"/>
      <c r="C1769" s="4"/>
      <c r="D1769" s="24"/>
      <c r="E1769" s="24"/>
      <c r="F1769" s="25" t="str">
        <f t="shared" si="109"/>
        <v xml:space="preserve"> </v>
      </c>
      <c r="G1769" s="24"/>
      <c r="H1769" s="25" t="str">
        <f t="shared" si="110"/>
        <v xml:space="preserve"> </v>
      </c>
      <c r="I1769" s="26"/>
      <c r="J1769" s="27" t="str">
        <f t="shared" si="111"/>
        <v xml:space="preserve"> </v>
      </c>
    </row>
    <row r="1770" spans="1:10" x14ac:dyDescent="0.3">
      <c r="A1770" s="23" t="str">
        <f t="shared" si="108"/>
        <v xml:space="preserve"> </v>
      </c>
      <c r="B1770" s="24"/>
      <c r="C1770" s="4"/>
      <c r="D1770" s="24"/>
      <c r="E1770" s="24"/>
      <c r="F1770" s="25" t="str">
        <f t="shared" si="109"/>
        <v xml:space="preserve"> </v>
      </c>
      <c r="G1770" s="24"/>
      <c r="H1770" s="25" t="str">
        <f t="shared" si="110"/>
        <v xml:space="preserve"> </v>
      </c>
      <c r="I1770" s="26"/>
      <c r="J1770" s="27" t="str">
        <f t="shared" si="111"/>
        <v xml:space="preserve"> </v>
      </c>
    </row>
    <row r="1771" spans="1:10" x14ac:dyDescent="0.3">
      <c r="A1771" s="23" t="str">
        <f t="shared" si="108"/>
        <v xml:space="preserve"> </v>
      </c>
      <c r="B1771" s="24"/>
      <c r="C1771" s="4"/>
      <c r="D1771" s="24"/>
      <c r="E1771" s="24"/>
      <c r="F1771" s="25" t="str">
        <f t="shared" si="109"/>
        <v xml:space="preserve"> </v>
      </c>
      <c r="G1771" s="24"/>
      <c r="H1771" s="25" t="str">
        <f t="shared" si="110"/>
        <v xml:space="preserve"> </v>
      </c>
      <c r="I1771" s="26"/>
      <c r="J1771" s="27" t="str">
        <f t="shared" si="111"/>
        <v xml:space="preserve"> </v>
      </c>
    </row>
    <row r="1772" spans="1:10" x14ac:dyDescent="0.3">
      <c r="A1772" s="23" t="str">
        <f t="shared" si="108"/>
        <v xml:space="preserve"> </v>
      </c>
      <c r="B1772" s="24"/>
      <c r="C1772" s="4"/>
      <c r="D1772" s="24"/>
      <c r="E1772" s="24"/>
      <c r="F1772" s="25" t="str">
        <f t="shared" si="109"/>
        <v xml:space="preserve"> </v>
      </c>
      <c r="G1772" s="24"/>
      <c r="H1772" s="25" t="str">
        <f t="shared" si="110"/>
        <v xml:space="preserve"> </v>
      </c>
      <c r="I1772" s="26"/>
      <c r="J1772" s="27" t="str">
        <f t="shared" si="111"/>
        <v xml:space="preserve"> </v>
      </c>
    </row>
    <row r="1773" spans="1:10" x14ac:dyDescent="0.3">
      <c r="A1773" s="23" t="str">
        <f t="shared" si="108"/>
        <v xml:space="preserve"> </v>
      </c>
      <c r="B1773" s="24"/>
      <c r="C1773" s="4"/>
      <c r="D1773" s="24"/>
      <c r="E1773" s="24"/>
      <c r="F1773" s="25" t="str">
        <f t="shared" si="109"/>
        <v xml:space="preserve"> </v>
      </c>
      <c r="G1773" s="24"/>
      <c r="H1773" s="25" t="str">
        <f t="shared" si="110"/>
        <v xml:space="preserve"> </v>
      </c>
      <c r="I1773" s="26"/>
      <c r="J1773" s="27" t="str">
        <f t="shared" si="111"/>
        <v xml:space="preserve"> </v>
      </c>
    </row>
    <row r="1774" spans="1:10" x14ac:dyDescent="0.3">
      <c r="A1774" s="23" t="str">
        <f t="shared" si="108"/>
        <v xml:space="preserve"> </v>
      </c>
      <c r="B1774" s="24"/>
      <c r="C1774" s="4"/>
      <c r="D1774" s="24"/>
      <c r="E1774" s="24"/>
      <c r="F1774" s="25" t="str">
        <f t="shared" si="109"/>
        <v xml:space="preserve"> </v>
      </c>
      <c r="G1774" s="24"/>
      <c r="H1774" s="25" t="str">
        <f t="shared" si="110"/>
        <v xml:space="preserve"> </v>
      </c>
      <c r="I1774" s="26"/>
      <c r="J1774" s="27" t="str">
        <f t="shared" si="111"/>
        <v xml:space="preserve"> </v>
      </c>
    </row>
    <row r="1775" spans="1:10" x14ac:dyDescent="0.3">
      <c r="A1775" s="23" t="str">
        <f t="shared" si="108"/>
        <v xml:space="preserve"> </v>
      </c>
      <c r="B1775" s="24"/>
      <c r="C1775" s="4"/>
      <c r="D1775" s="24"/>
      <c r="E1775" s="24"/>
      <c r="F1775" s="25" t="str">
        <f t="shared" si="109"/>
        <v xml:space="preserve"> </v>
      </c>
      <c r="G1775" s="24"/>
      <c r="H1775" s="25" t="str">
        <f t="shared" si="110"/>
        <v xml:space="preserve"> </v>
      </c>
      <c r="I1775" s="26"/>
      <c r="J1775" s="27" t="str">
        <f t="shared" si="111"/>
        <v xml:space="preserve"> </v>
      </c>
    </row>
    <row r="1776" spans="1:10" x14ac:dyDescent="0.3">
      <c r="A1776" s="23" t="str">
        <f t="shared" si="108"/>
        <v xml:space="preserve"> </v>
      </c>
      <c r="B1776" s="24"/>
      <c r="C1776" s="4"/>
      <c r="D1776" s="24"/>
      <c r="E1776" s="24"/>
      <c r="F1776" s="25" t="str">
        <f t="shared" si="109"/>
        <v xml:space="preserve"> </v>
      </c>
      <c r="G1776" s="24"/>
      <c r="H1776" s="25" t="str">
        <f t="shared" si="110"/>
        <v xml:space="preserve"> </v>
      </c>
      <c r="I1776" s="26"/>
      <c r="J1776" s="27" t="str">
        <f t="shared" si="111"/>
        <v xml:space="preserve"> </v>
      </c>
    </row>
    <row r="1777" spans="1:10" x14ac:dyDescent="0.3">
      <c r="A1777" s="23" t="str">
        <f t="shared" si="108"/>
        <v xml:space="preserve"> </v>
      </c>
      <c r="B1777" s="24"/>
      <c r="C1777" s="4"/>
      <c r="D1777" s="24"/>
      <c r="E1777" s="24"/>
      <c r="F1777" s="25" t="str">
        <f t="shared" si="109"/>
        <v xml:space="preserve"> </v>
      </c>
      <c r="G1777" s="24"/>
      <c r="H1777" s="25" t="str">
        <f t="shared" si="110"/>
        <v xml:space="preserve"> </v>
      </c>
      <c r="I1777" s="26"/>
      <c r="J1777" s="27" t="str">
        <f t="shared" si="111"/>
        <v xml:space="preserve"> </v>
      </c>
    </row>
    <row r="1778" spans="1:10" x14ac:dyDescent="0.3">
      <c r="A1778" s="23" t="str">
        <f t="shared" si="108"/>
        <v xml:space="preserve"> </v>
      </c>
      <c r="B1778" s="24"/>
      <c r="C1778" s="4"/>
      <c r="D1778" s="24"/>
      <c r="E1778" s="24"/>
      <c r="F1778" s="25" t="str">
        <f t="shared" si="109"/>
        <v xml:space="preserve"> </v>
      </c>
      <c r="G1778" s="24"/>
      <c r="H1778" s="25" t="str">
        <f t="shared" si="110"/>
        <v xml:space="preserve"> </v>
      </c>
      <c r="I1778" s="26"/>
      <c r="J1778" s="27" t="str">
        <f t="shared" si="111"/>
        <v xml:space="preserve"> </v>
      </c>
    </row>
    <row r="1779" spans="1:10" x14ac:dyDescent="0.3">
      <c r="A1779" s="23" t="str">
        <f t="shared" si="108"/>
        <v xml:space="preserve"> </v>
      </c>
      <c r="B1779" s="24"/>
      <c r="C1779" s="4"/>
      <c r="D1779" s="24"/>
      <c r="E1779" s="24"/>
      <c r="F1779" s="25" t="str">
        <f t="shared" si="109"/>
        <v xml:space="preserve"> </v>
      </c>
      <c r="G1779" s="24"/>
      <c r="H1779" s="25" t="str">
        <f t="shared" si="110"/>
        <v xml:space="preserve"> </v>
      </c>
      <c r="I1779" s="26"/>
      <c r="J1779" s="27" t="str">
        <f t="shared" si="111"/>
        <v xml:space="preserve"> </v>
      </c>
    </row>
    <row r="1780" spans="1:10" x14ac:dyDescent="0.3">
      <c r="A1780" s="23" t="str">
        <f t="shared" si="108"/>
        <v xml:space="preserve"> </v>
      </c>
      <c r="B1780" s="24"/>
      <c r="C1780" s="4"/>
      <c r="D1780" s="24"/>
      <c r="E1780" s="24"/>
      <c r="F1780" s="25" t="str">
        <f t="shared" si="109"/>
        <v xml:space="preserve"> </v>
      </c>
      <c r="G1780" s="24"/>
      <c r="H1780" s="25" t="str">
        <f t="shared" si="110"/>
        <v xml:space="preserve"> </v>
      </c>
      <c r="I1780" s="26"/>
      <c r="J1780" s="27" t="str">
        <f t="shared" si="111"/>
        <v xml:space="preserve"> </v>
      </c>
    </row>
    <row r="1781" spans="1:10" x14ac:dyDescent="0.3">
      <c r="A1781" s="23" t="str">
        <f t="shared" si="108"/>
        <v xml:space="preserve"> </v>
      </c>
      <c r="B1781" s="24"/>
      <c r="C1781" s="4"/>
      <c r="D1781" s="24"/>
      <c r="E1781" s="24"/>
      <c r="F1781" s="25" t="str">
        <f t="shared" si="109"/>
        <v xml:space="preserve"> </v>
      </c>
      <c r="G1781" s="24"/>
      <c r="H1781" s="25" t="str">
        <f t="shared" si="110"/>
        <v xml:space="preserve"> </v>
      </c>
      <c r="I1781" s="26"/>
      <c r="J1781" s="27" t="str">
        <f t="shared" si="111"/>
        <v xml:space="preserve"> </v>
      </c>
    </row>
    <row r="1782" spans="1:10" x14ac:dyDescent="0.3">
      <c r="A1782" s="23" t="str">
        <f t="shared" si="108"/>
        <v xml:space="preserve"> </v>
      </c>
      <c r="B1782" s="24"/>
      <c r="C1782" s="4"/>
      <c r="D1782" s="24"/>
      <c r="E1782" s="24"/>
      <c r="F1782" s="25" t="str">
        <f t="shared" si="109"/>
        <v xml:space="preserve"> </v>
      </c>
      <c r="G1782" s="24"/>
      <c r="H1782" s="25" t="str">
        <f t="shared" si="110"/>
        <v xml:space="preserve"> </v>
      </c>
      <c r="I1782" s="26"/>
      <c r="J1782" s="27" t="str">
        <f t="shared" si="111"/>
        <v xml:space="preserve"> </v>
      </c>
    </row>
    <row r="1783" spans="1:10" x14ac:dyDescent="0.3">
      <c r="A1783" s="23" t="str">
        <f t="shared" si="108"/>
        <v xml:space="preserve"> </v>
      </c>
      <c r="B1783" s="24"/>
      <c r="C1783" s="4"/>
      <c r="D1783" s="24"/>
      <c r="E1783" s="24"/>
      <c r="F1783" s="25" t="str">
        <f t="shared" si="109"/>
        <v xml:space="preserve"> </v>
      </c>
      <c r="G1783" s="24"/>
      <c r="H1783" s="25" t="str">
        <f t="shared" si="110"/>
        <v xml:space="preserve"> </v>
      </c>
      <c r="I1783" s="26"/>
      <c r="J1783" s="27" t="str">
        <f t="shared" si="111"/>
        <v xml:space="preserve"> </v>
      </c>
    </row>
    <row r="1784" spans="1:10" x14ac:dyDescent="0.3">
      <c r="A1784" s="23" t="str">
        <f t="shared" si="108"/>
        <v xml:space="preserve"> </v>
      </c>
      <c r="B1784" s="24"/>
      <c r="C1784" s="4"/>
      <c r="D1784" s="24"/>
      <c r="E1784" s="24"/>
      <c r="F1784" s="25" t="str">
        <f t="shared" si="109"/>
        <v xml:space="preserve"> </v>
      </c>
      <c r="G1784" s="24"/>
      <c r="H1784" s="25" t="str">
        <f t="shared" si="110"/>
        <v xml:space="preserve"> </v>
      </c>
      <c r="I1784" s="26"/>
      <c r="J1784" s="27" t="str">
        <f t="shared" si="111"/>
        <v xml:space="preserve"> </v>
      </c>
    </row>
    <row r="1785" spans="1:10" x14ac:dyDescent="0.3">
      <c r="A1785" s="23" t="str">
        <f t="shared" si="108"/>
        <v xml:space="preserve"> </v>
      </c>
      <c r="B1785" s="24"/>
      <c r="C1785" s="4"/>
      <c r="D1785" s="24"/>
      <c r="E1785" s="24"/>
      <c r="F1785" s="25" t="str">
        <f t="shared" si="109"/>
        <v xml:space="preserve"> </v>
      </c>
      <c r="G1785" s="24"/>
      <c r="H1785" s="25" t="str">
        <f t="shared" si="110"/>
        <v xml:space="preserve"> </v>
      </c>
      <c r="I1785" s="26"/>
      <c r="J1785" s="27" t="str">
        <f t="shared" si="111"/>
        <v xml:space="preserve"> </v>
      </c>
    </row>
    <row r="1786" spans="1:10" x14ac:dyDescent="0.3">
      <c r="A1786" s="23" t="str">
        <f t="shared" si="108"/>
        <v xml:space="preserve"> </v>
      </c>
      <c r="B1786" s="24"/>
      <c r="C1786" s="4"/>
      <c r="D1786" s="24"/>
      <c r="E1786" s="24"/>
      <c r="F1786" s="25" t="str">
        <f t="shared" si="109"/>
        <v xml:space="preserve"> </v>
      </c>
      <c r="G1786" s="24"/>
      <c r="H1786" s="25" t="str">
        <f t="shared" si="110"/>
        <v xml:space="preserve"> </v>
      </c>
      <c r="I1786" s="26"/>
      <c r="J1786" s="27" t="str">
        <f t="shared" si="111"/>
        <v xml:space="preserve"> </v>
      </c>
    </row>
    <row r="1787" spans="1:10" x14ac:dyDescent="0.3">
      <c r="A1787" s="23" t="str">
        <f t="shared" si="108"/>
        <v xml:space="preserve"> </v>
      </c>
      <c r="B1787" s="24"/>
      <c r="C1787" s="4"/>
      <c r="D1787" s="24"/>
      <c r="E1787" s="24"/>
      <c r="F1787" s="25" t="str">
        <f t="shared" si="109"/>
        <v xml:space="preserve"> </v>
      </c>
      <c r="G1787" s="24"/>
      <c r="H1787" s="25" t="str">
        <f t="shared" si="110"/>
        <v xml:space="preserve"> </v>
      </c>
      <c r="I1787" s="26"/>
      <c r="J1787" s="27" t="str">
        <f t="shared" si="111"/>
        <v xml:space="preserve"> </v>
      </c>
    </row>
    <row r="1788" spans="1:10" x14ac:dyDescent="0.3">
      <c r="A1788" s="23" t="str">
        <f t="shared" si="108"/>
        <v xml:space="preserve"> </v>
      </c>
      <c r="B1788" s="24"/>
      <c r="C1788" s="4"/>
      <c r="D1788" s="24"/>
      <c r="E1788" s="24"/>
      <c r="F1788" s="25" t="str">
        <f t="shared" si="109"/>
        <v xml:space="preserve"> </v>
      </c>
      <c r="G1788" s="24"/>
      <c r="H1788" s="25" t="str">
        <f t="shared" si="110"/>
        <v xml:space="preserve"> </v>
      </c>
      <c r="I1788" s="26"/>
      <c r="J1788" s="27" t="str">
        <f t="shared" si="111"/>
        <v xml:space="preserve"> </v>
      </c>
    </row>
    <row r="1789" spans="1:10" x14ac:dyDescent="0.3">
      <c r="A1789" s="23" t="str">
        <f t="shared" si="108"/>
        <v xml:space="preserve"> </v>
      </c>
      <c r="B1789" s="24"/>
      <c r="C1789" s="4"/>
      <c r="D1789" s="24"/>
      <c r="E1789" s="24"/>
      <c r="F1789" s="25" t="str">
        <f t="shared" si="109"/>
        <v xml:space="preserve"> </v>
      </c>
      <c r="G1789" s="24"/>
      <c r="H1789" s="25" t="str">
        <f t="shared" si="110"/>
        <v xml:space="preserve"> </v>
      </c>
      <c r="I1789" s="26"/>
      <c r="J1789" s="27" t="str">
        <f t="shared" si="111"/>
        <v xml:space="preserve"> </v>
      </c>
    </row>
    <row r="1790" spans="1:10" x14ac:dyDescent="0.3">
      <c r="A1790" s="23" t="str">
        <f t="shared" si="108"/>
        <v xml:space="preserve"> </v>
      </c>
      <c r="B1790" s="24"/>
      <c r="C1790" s="4"/>
      <c r="D1790" s="24"/>
      <c r="E1790" s="24"/>
      <c r="F1790" s="25" t="str">
        <f t="shared" si="109"/>
        <v xml:space="preserve"> </v>
      </c>
      <c r="G1790" s="24"/>
      <c r="H1790" s="25" t="str">
        <f t="shared" si="110"/>
        <v xml:space="preserve"> </v>
      </c>
      <c r="I1790" s="26"/>
      <c r="J1790" s="27" t="str">
        <f t="shared" si="111"/>
        <v xml:space="preserve"> </v>
      </c>
    </row>
    <row r="1791" spans="1:10" x14ac:dyDescent="0.3">
      <c r="A1791" s="23" t="str">
        <f t="shared" si="108"/>
        <v xml:space="preserve"> </v>
      </c>
      <c r="B1791" s="24"/>
      <c r="C1791" s="4"/>
      <c r="D1791" s="24"/>
      <c r="E1791" s="24"/>
      <c r="F1791" s="25" t="str">
        <f t="shared" si="109"/>
        <v xml:space="preserve"> </v>
      </c>
      <c r="G1791" s="24"/>
      <c r="H1791" s="25" t="str">
        <f t="shared" si="110"/>
        <v xml:space="preserve"> </v>
      </c>
      <c r="I1791" s="26"/>
      <c r="J1791" s="27" t="str">
        <f t="shared" si="111"/>
        <v xml:space="preserve"> </v>
      </c>
    </row>
    <row r="1792" spans="1:10" x14ac:dyDescent="0.3">
      <c r="A1792" s="23" t="str">
        <f t="shared" si="108"/>
        <v xml:space="preserve"> </v>
      </c>
      <c r="B1792" s="24"/>
      <c r="C1792" s="4"/>
      <c r="D1792" s="24"/>
      <c r="E1792" s="24"/>
      <c r="F1792" s="25" t="str">
        <f t="shared" si="109"/>
        <v xml:space="preserve"> </v>
      </c>
      <c r="G1792" s="24"/>
      <c r="H1792" s="25" t="str">
        <f t="shared" si="110"/>
        <v xml:space="preserve"> </v>
      </c>
      <c r="I1792" s="26"/>
      <c r="J1792" s="27" t="str">
        <f t="shared" si="111"/>
        <v xml:space="preserve"> </v>
      </c>
    </row>
    <row r="1793" spans="1:10" x14ac:dyDescent="0.3">
      <c r="A1793" s="23" t="str">
        <f t="shared" si="108"/>
        <v xml:space="preserve"> </v>
      </c>
      <c r="B1793" s="24"/>
      <c r="C1793" s="4"/>
      <c r="D1793" s="24"/>
      <c r="E1793" s="24"/>
      <c r="F1793" s="25" t="str">
        <f t="shared" si="109"/>
        <v xml:space="preserve"> </v>
      </c>
      <c r="G1793" s="24"/>
      <c r="H1793" s="25" t="str">
        <f t="shared" si="110"/>
        <v xml:space="preserve"> </v>
      </c>
      <c r="I1793" s="26"/>
      <c r="J1793" s="27" t="str">
        <f t="shared" si="111"/>
        <v xml:space="preserve"> </v>
      </c>
    </row>
    <row r="1794" spans="1:10" x14ac:dyDescent="0.3">
      <c r="A1794" s="23" t="str">
        <f t="shared" si="108"/>
        <v xml:space="preserve"> </v>
      </c>
      <c r="B1794" s="24"/>
      <c r="C1794" s="4"/>
      <c r="D1794" s="24"/>
      <c r="E1794" s="24"/>
      <c r="F1794" s="25" t="str">
        <f t="shared" si="109"/>
        <v xml:space="preserve"> </v>
      </c>
      <c r="G1794" s="24"/>
      <c r="H1794" s="25" t="str">
        <f t="shared" si="110"/>
        <v xml:space="preserve"> </v>
      </c>
      <c r="I1794" s="26"/>
      <c r="J1794" s="27" t="str">
        <f t="shared" si="111"/>
        <v xml:space="preserve"> </v>
      </c>
    </row>
    <row r="1795" spans="1:10" x14ac:dyDescent="0.3">
      <c r="A1795" s="23" t="str">
        <f t="shared" si="108"/>
        <v xml:space="preserve"> </v>
      </c>
      <c r="B1795" s="24"/>
      <c r="C1795" s="4"/>
      <c r="D1795" s="24"/>
      <c r="E1795" s="24"/>
      <c r="F1795" s="25" t="str">
        <f t="shared" si="109"/>
        <v xml:space="preserve"> </v>
      </c>
      <c r="G1795" s="24"/>
      <c r="H1795" s="25" t="str">
        <f t="shared" si="110"/>
        <v xml:space="preserve"> </v>
      </c>
      <c r="I1795" s="26"/>
      <c r="J1795" s="27" t="str">
        <f t="shared" si="111"/>
        <v xml:space="preserve"> </v>
      </c>
    </row>
    <row r="1796" spans="1:10" x14ac:dyDescent="0.3">
      <c r="A1796" s="23" t="str">
        <f t="shared" si="108"/>
        <v xml:space="preserve"> </v>
      </c>
      <c r="B1796" s="24"/>
      <c r="C1796" s="4"/>
      <c r="D1796" s="24"/>
      <c r="E1796" s="24"/>
      <c r="F1796" s="25" t="str">
        <f t="shared" si="109"/>
        <v xml:space="preserve"> </v>
      </c>
      <c r="G1796" s="24"/>
      <c r="H1796" s="25" t="str">
        <f t="shared" si="110"/>
        <v xml:space="preserve"> </v>
      </c>
      <c r="I1796" s="26"/>
      <c r="J1796" s="27" t="str">
        <f t="shared" si="111"/>
        <v xml:space="preserve"> </v>
      </c>
    </row>
    <row r="1797" spans="1:10" x14ac:dyDescent="0.3">
      <c r="A1797" s="23" t="str">
        <f t="shared" ref="A1797:A1860" si="112">IF(C1797&gt;0,RIGHT($D$3,10)," ")</f>
        <v xml:space="preserve"> </v>
      </c>
      <c r="B1797" s="24"/>
      <c r="C1797" s="4"/>
      <c r="D1797" s="24"/>
      <c r="E1797" s="24"/>
      <c r="F1797" s="25" t="str">
        <f t="shared" ref="F1797:F1860" si="113">IF(C1797&gt;0,$C$3," ")</f>
        <v xml:space="preserve"> </v>
      </c>
      <c r="G1797" s="24"/>
      <c r="H1797" s="25" t="str">
        <f t="shared" ref="H1797:H1860" si="114">IF(G1797&gt;0,"Pcs."," ")</f>
        <v xml:space="preserve"> </v>
      </c>
      <c r="I1797" s="26"/>
      <c r="J1797" s="27" t="str">
        <f t="shared" ref="J1797:J1860" si="115">IF(I1797*G1797=0," ",I1797*G1797)</f>
        <v xml:space="preserve"> </v>
      </c>
    </row>
    <row r="1798" spans="1:10" x14ac:dyDescent="0.3">
      <c r="A1798" s="23" t="str">
        <f t="shared" si="112"/>
        <v xml:space="preserve"> </v>
      </c>
      <c r="B1798" s="24"/>
      <c r="C1798" s="4"/>
      <c r="D1798" s="24"/>
      <c r="E1798" s="24"/>
      <c r="F1798" s="25" t="str">
        <f t="shared" si="113"/>
        <v xml:space="preserve"> </v>
      </c>
      <c r="G1798" s="24"/>
      <c r="H1798" s="25" t="str">
        <f t="shared" si="114"/>
        <v xml:space="preserve"> </v>
      </c>
      <c r="I1798" s="26"/>
      <c r="J1798" s="27" t="str">
        <f t="shared" si="115"/>
        <v xml:space="preserve"> </v>
      </c>
    </row>
    <row r="1799" spans="1:10" x14ac:dyDescent="0.3">
      <c r="A1799" s="23" t="str">
        <f t="shared" si="112"/>
        <v xml:space="preserve"> </v>
      </c>
      <c r="B1799" s="24"/>
      <c r="C1799" s="4"/>
      <c r="D1799" s="24"/>
      <c r="E1799" s="24"/>
      <c r="F1799" s="25" t="str">
        <f t="shared" si="113"/>
        <v xml:space="preserve"> </v>
      </c>
      <c r="G1799" s="24"/>
      <c r="H1799" s="25" t="str">
        <f t="shared" si="114"/>
        <v xml:space="preserve"> </v>
      </c>
      <c r="I1799" s="26"/>
      <c r="J1799" s="27" t="str">
        <f t="shared" si="115"/>
        <v xml:space="preserve"> </v>
      </c>
    </row>
    <row r="1800" spans="1:10" x14ac:dyDescent="0.3">
      <c r="A1800" s="23" t="str">
        <f t="shared" si="112"/>
        <v xml:space="preserve"> </v>
      </c>
      <c r="B1800" s="24"/>
      <c r="C1800" s="4"/>
      <c r="D1800" s="24"/>
      <c r="E1800" s="24"/>
      <c r="F1800" s="25" t="str">
        <f t="shared" si="113"/>
        <v xml:space="preserve"> </v>
      </c>
      <c r="G1800" s="24"/>
      <c r="H1800" s="25" t="str">
        <f t="shared" si="114"/>
        <v xml:space="preserve"> </v>
      </c>
      <c r="I1800" s="26"/>
      <c r="J1800" s="27" t="str">
        <f t="shared" si="115"/>
        <v xml:space="preserve"> </v>
      </c>
    </row>
    <row r="1801" spans="1:10" x14ac:dyDescent="0.3">
      <c r="A1801" s="23" t="str">
        <f t="shared" si="112"/>
        <v xml:space="preserve"> </v>
      </c>
      <c r="B1801" s="24"/>
      <c r="C1801" s="4"/>
      <c r="D1801" s="24"/>
      <c r="E1801" s="24"/>
      <c r="F1801" s="25" t="str">
        <f t="shared" si="113"/>
        <v xml:space="preserve"> </v>
      </c>
      <c r="G1801" s="24"/>
      <c r="H1801" s="25" t="str">
        <f t="shared" si="114"/>
        <v xml:space="preserve"> </v>
      </c>
      <c r="I1801" s="26"/>
      <c r="J1801" s="27" t="str">
        <f t="shared" si="115"/>
        <v xml:space="preserve"> </v>
      </c>
    </row>
    <row r="1802" spans="1:10" x14ac:dyDescent="0.3">
      <c r="A1802" s="23" t="str">
        <f t="shared" si="112"/>
        <v xml:space="preserve"> </v>
      </c>
      <c r="B1802" s="24"/>
      <c r="C1802" s="4"/>
      <c r="D1802" s="24"/>
      <c r="E1802" s="24"/>
      <c r="F1802" s="25" t="str">
        <f t="shared" si="113"/>
        <v xml:space="preserve"> </v>
      </c>
      <c r="G1802" s="24"/>
      <c r="H1802" s="25" t="str">
        <f t="shared" si="114"/>
        <v xml:space="preserve"> </v>
      </c>
      <c r="I1802" s="26"/>
      <c r="J1802" s="27" t="str">
        <f t="shared" si="115"/>
        <v xml:space="preserve"> </v>
      </c>
    </row>
    <row r="1803" spans="1:10" x14ac:dyDescent="0.3">
      <c r="A1803" s="23" t="str">
        <f t="shared" si="112"/>
        <v xml:space="preserve"> </v>
      </c>
      <c r="B1803" s="24"/>
      <c r="C1803" s="4"/>
      <c r="D1803" s="24"/>
      <c r="E1803" s="24"/>
      <c r="F1803" s="25" t="str">
        <f t="shared" si="113"/>
        <v xml:space="preserve"> </v>
      </c>
      <c r="G1803" s="24"/>
      <c r="H1803" s="25" t="str">
        <f t="shared" si="114"/>
        <v xml:space="preserve"> </v>
      </c>
      <c r="I1803" s="26"/>
      <c r="J1803" s="27" t="str">
        <f t="shared" si="115"/>
        <v xml:space="preserve"> </v>
      </c>
    </row>
    <row r="1804" spans="1:10" x14ac:dyDescent="0.3">
      <c r="A1804" s="23" t="str">
        <f t="shared" si="112"/>
        <v xml:space="preserve"> </v>
      </c>
      <c r="B1804" s="24"/>
      <c r="C1804" s="4"/>
      <c r="D1804" s="24"/>
      <c r="E1804" s="24"/>
      <c r="F1804" s="25" t="str">
        <f t="shared" si="113"/>
        <v xml:space="preserve"> </v>
      </c>
      <c r="G1804" s="24"/>
      <c r="H1804" s="25" t="str">
        <f t="shared" si="114"/>
        <v xml:space="preserve"> </v>
      </c>
      <c r="I1804" s="26"/>
      <c r="J1804" s="27" t="str">
        <f t="shared" si="115"/>
        <v xml:space="preserve"> </v>
      </c>
    </row>
    <row r="1805" spans="1:10" x14ac:dyDescent="0.3">
      <c r="A1805" s="23" t="str">
        <f t="shared" si="112"/>
        <v xml:space="preserve"> </v>
      </c>
      <c r="B1805" s="24"/>
      <c r="C1805" s="4"/>
      <c r="D1805" s="24"/>
      <c r="E1805" s="24"/>
      <c r="F1805" s="25" t="str">
        <f t="shared" si="113"/>
        <v xml:space="preserve"> </v>
      </c>
      <c r="G1805" s="24"/>
      <c r="H1805" s="25" t="str">
        <f t="shared" si="114"/>
        <v xml:space="preserve"> </v>
      </c>
      <c r="I1805" s="26"/>
      <c r="J1805" s="27" t="str">
        <f t="shared" si="115"/>
        <v xml:space="preserve"> </v>
      </c>
    </row>
    <row r="1806" spans="1:10" x14ac:dyDescent="0.3">
      <c r="A1806" s="23" t="str">
        <f t="shared" si="112"/>
        <v xml:space="preserve"> </v>
      </c>
      <c r="B1806" s="24"/>
      <c r="C1806" s="4"/>
      <c r="D1806" s="24"/>
      <c r="E1806" s="24"/>
      <c r="F1806" s="25" t="str">
        <f t="shared" si="113"/>
        <v xml:space="preserve"> </v>
      </c>
      <c r="G1806" s="24"/>
      <c r="H1806" s="25" t="str">
        <f t="shared" si="114"/>
        <v xml:space="preserve"> </v>
      </c>
      <c r="I1806" s="26"/>
      <c r="J1806" s="27" t="str">
        <f t="shared" si="115"/>
        <v xml:space="preserve"> </v>
      </c>
    </row>
    <row r="1807" spans="1:10" x14ac:dyDescent="0.3">
      <c r="A1807" s="23" t="str">
        <f t="shared" si="112"/>
        <v xml:space="preserve"> </v>
      </c>
      <c r="B1807" s="24"/>
      <c r="C1807" s="4"/>
      <c r="D1807" s="24"/>
      <c r="E1807" s="24"/>
      <c r="F1807" s="25" t="str">
        <f t="shared" si="113"/>
        <v xml:space="preserve"> </v>
      </c>
      <c r="G1807" s="24"/>
      <c r="H1807" s="25" t="str">
        <f t="shared" si="114"/>
        <v xml:space="preserve"> </v>
      </c>
      <c r="I1807" s="26"/>
      <c r="J1807" s="27" t="str">
        <f t="shared" si="115"/>
        <v xml:space="preserve"> </v>
      </c>
    </row>
    <row r="1808" spans="1:10" x14ac:dyDescent="0.3">
      <c r="A1808" s="23" t="str">
        <f t="shared" si="112"/>
        <v xml:space="preserve"> </v>
      </c>
      <c r="B1808" s="24"/>
      <c r="C1808" s="4"/>
      <c r="D1808" s="24"/>
      <c r="E1808" s="24"/>
      <c r="F1808" s="25" t="str">
        <f t="shared" si="113"/>
        <v xml:space="preserve"> </v>
      </c>
      <c r="G1808" s="24"/>
      <c r="H1808" s="25" t="str">
        <f t="shared" si="114"/>
        <v xml:space="preserve"> </v>
      </c>
      <c r="I1808" s="26"/>
      <c r="J1808" s="27" t="str">
        <f t="shared" si="115"/>
        <v xml:space="preserve"> </v>
      </c>
    </row>
    <row r="1809" spans="1:10" x14ac:dyDescent="0.3">
      <c r="A1809" s="23" t="str">
        <f t="shared" si="112"/>
        <v xml:space="preserve"> </v>
      </c>
      <c r="B1809" s="24"/>
      <c r="C1809" s="4"/>
      <c r="D1809" s="24"/>
      <c r="E1809" s="24"/>
      <c r="F1809" s="25" t="str">
        <f t="shared" si="113"/>
        <v xml:space="preserve"> </v>
      </c>
      <c r="G1809" s="24"/>
      <c r="H1809" s="25" t="str">
        <f t="shared" si="114"/>
        <v xml:space="preserve"> </v>
      </c>
      <c r="I1809" s="26"/>
      <c r="J1809" s="27" t="str">
        <f t="shared" si="115"/>
        <v xml:space="preserve"> </v>
      </c>
    </row>
    <row r="1810" spans="1:10" x14ac:dyDescent="0.3">
      <c r="A1810" s="23" t="str">
        <f t="shared" si="112"/>
        <v xml:space="preserve"> </v>
      </c>
      <c r="B1810" s="24"/>
      <c r="C1810" s="4"/>
      <c r="D1810" s="24"/>
      <c r="E1810" s="24"/>
      <c r="F1810" s="25" t="str">
        <f t="shared" si="113"/>
        <v xml:space="preserve"> </v>
      </c>
      <c r="G1810" s="24"/>
      <c r="H1810" s="25" t="str">
        <f t="shared" si="114"/>
        <v xml:space="preserve"> </v>
      </c>
      <c r="I1810" s="26"/>
      <c r="J1810" s="27" t="str">
        <f t="shared" si="115"/>
        <v xml:space="preserve"> </v>
      </c>
    </row>
    <row r="1811" spans="1:10" x14ac:dyDescent="0.3">
      <c r="A1811" s="23" t="str">
        <f t="shared" si="112"/>
        <v xml:space="preserve"> </v>
      </c>
      <c r="B1811" s="24"/>
      <c r="C1811" s="4"/>
      <c r="D1811" s="24"/>
      <c r="E1811" s="24"/>
      <c r="F1811" s="25" t="str">
        <f t="shared" si="113"/>
        <v xml:space="preserve"> </v>
      </c>
      <c r="G1811" s="24"/>
      <c r="H1811" s="25" t="str">
        <f t="shared" si="114"/>
        <v xml:space="preserve"> </v>
      </c>
      <c r="I1811" s="26"/>
      <c r="J1811" s="27" t="str">
        <f t="shared" si="115"/>
        <v xml:space="preserve"> </v>
      </c>
    </row>
    <row r="1812" spans="1:10" x14ac:dyDescent="0.3">
      <c r="A1812" s="23" t="str">
        <f t="shared" si="112"/>
        <v xml:space="preserve"> </v>
      </c>
      <c r="B1812" s="24"/>
      <c r="C1812" s="4"/>
      <c r="D1812" s="24"/>
      <c r="E1812" s="24"/>
      <c r="F1812" s="25" t="str">
        <f t="shared" si="113"/>
        <v xml:space="preserve"> </v>
      </c>
      <c r="G1812" s="24"/>
      <c r="H1812" s="25" t="str">
        <f t="shared" si="114"/>
        <v xml:space="preserve"> </v>
      </c>
      <c r="I1812" s="26"/>
      <c r="J1812" s="27" t="str">
        <f t="shared" si="115"/>
        <v xml:space="preserve"> </v>
      </c>
    </row>
    <row r="1813" spans="1:10" x14ac:dyDescent="0.3">
      <c r="A1813" s="23" t="str">
        <f t="shared" si="112"/>
        <v xml:space="preserve"> </v>
      </c>
      <c r="B1813" s="24"/>
      <c r="C1813" s="4"/>
      <c r="D1813" s="24"/>
      <c r="E1813" s="24"/>
      <c r="F1813" s="25" t="str">
        <f t="shared" si="113"/>
        <v xml:space="preserve"> </v>
      </c>
      <c r="G1813" s="24"/>
      <c r="H1813" s="25" t="str">
        <f t="shared" si="114"/>
        <v xml:space="preserve"> </v>
      </c>
      <c r="I1813" s="26"/>
      <c r="J1813" s="27" t="str">
        <f t="shared" si="115"/>
        <v xml:space="preserve"> </v>
      </c>
    </row>
    <row r="1814" spans="1:10" x14ac:dyDescent="0.3">
      <c r="A1814" s="23" t="str">
        <f t="shared" si="112"/>
        <v xml:space="preserve"> </v>
      </c>
      <c r="B1814" s="24"/>
      <c r="C1814" s="4"/>
      <c r="D1814" s="24"/>
      <c r="E1814" s="24"/>
      <c r="F1814" s="25" t="str">
        <f t="shared" si="113"/>
        <v xml:space="preserve"> </v>
      </c>
      <c r="G1814" s="24"/>
      <c r="H1814" s="25" t="str">
        <f t="shared" si="114"/>
        <v xml:space="preserve"> </v>
      </c>
      <c r="I1814" s="26"/>
      <c r="J1814" s="27" t="str">
        <f t="shared" si="115"/>
        <v xml:space="preserve"> </v>
      </c>
    </row>
    <row r="1815" spans="1:10" x14ac:dyDescent="0.3">
      <c r="A1815" s="23" t="str">
        <f t="shared" si="112"/>
        <v xml:space="preserve"> </v>
      </c>
      <c r="B1815" s="24"/>
      <c r="C1815" s="4"/>
      <c r="D1815" s="24"/>
      <c r="E1815" s="24"/>
      <c r="F1815" s="25" t="str">
        <f t="shared" si="113"/>
        <v xml:space="preserve"> </v>
      </c>
      <c r="G1815" s="24"/>
      <c r="H1815" s="25" t="str">
        <f t="shared" si="114"/>
        <v xml:space="preserve"> </v>
      </c>
      <c r="I1815" s="26"/>
      <c r="J1815" s="27" t="str">
        <f t="shared" si="115"/>
        <v xml:space="preserve"> </v>
      </c>
    </row>
    <row r="1816" spans="1:10" x14ac:dyDescent="0.3">
      <c r="A1816" s="23" t="str">
        <f t="shared" si="112"/>
        <v xml:space="preserve"> </v>
      </c>
      <c r="B1816" s="24"/>
      <c r="C1816" s="4"/>
      <c r="D1816" s="24"/>
      <c r="E1816" s="24"/>
      <c r="F1816" s="25" t="str">
        <f t="shared" si="113"/>
        <v xml:space="preserve"> </v>
      </c>
      <c r="G1816" s="24"/>
      <c r="H1816" s="25" t="str">
        <f t="shared" si="114"/>
        <v xml:space="preserve"> </v>
      </c>
      <c r="I1816" s="26"/>
      <c r="J1816" s="27" t="str">
        <f t="shared" si="115"/>
        <v xml:space="preserve"> </v>
      </c>
    </row>
    <row r="1817" spans="1:10" x14ac:dyDescent="0.3">
      <c r="A1817" s="23" t="str">
        <f t="shared" si="112"/>
        <v xml:space="preserve"> </v>
      </c>
      <c r="B1817" s="24"/>
      <c r="C1817" s="4"/>
      <c r="D1817" s="24"/>
      <c r="E1817" s="24"/>
      <c r="F1817" s="25" t="str">
        <f t="shared" si="113"/>
        <v xml:space="preserve"> </v>
      </c>
      <c r="G1817" s="24"/>
      <c r="H1817" s="25" t="str">
        <f t="shared" si="114"/>
        <v xml:space="preserve"> </v>
      </c>
      <c r="I1817" s="26"/>
      <c r="J1817" s="27" t="str">
        <f t="shared" si="115"/>
        <v xml:space="preserve"> </v>
      </c>
    </row>
    <row r="1818" spans="1:10" x14ac:dyDescent="0.3">
      <c r="A1818" s="23" t="str">
        <f t="shared" si="112"/>
        <v xml:space="preserve"> </v>
      </c>
      <c r="B1818" s="24"/>
      <c r="C1818" s="4"/>
      <c r="D1818" s="24"/>
      <c r="E1818" s="24"/>
      <c r="F1818" s="25" t="str">
        <f t="shared" si="113"/>
        <v xml:space="preserve"> </v>
      </c>
      <c r="G1818" s="24"/>
      <c r="H1818" s="25" t="str">
        <f t="shared" si="114"/>
        <v xml:space="preserve"> </v>
      </c>
      <c r="I1818" s="26"/>
      <c r="J1818" s="27" t="str">
        <f t="shared" si="115"/>
        <v xml:space="preserve"> </v>
      </c>
    </row>
    <row r="1819" spans="1:10" x14ac:dyDescent="0.3">
      <c r="A1819" s="23" t="str">
        <f t="shared" si="112"/>
        <v xml:space="preserve"> </v>
      </c>
      <c r="B1819" s="24"/>
      <c r="C1819" s="4"/>
      <c r="D1819" s="24"/>
      <c r="E1819" s="24"/>
      <c r="F1819" s="25" t="str">
        <f t="shared" si="113"/>
        <v xml:space="preserve"> </v>
      </c>
      <c r="G1819" s="24"/>
      <c r="H1819" s="25" t="str">
        <f t="shared" si="114"/>
        <v xml:space="preserve"> </v>
      </c>
      <c r="I1819" s="26"/>
      <c r="J1819" s="27" t="str">
        <f t="shared" si="115"/>
        <v xml:space="preserve"> </v>
      </c>
    </row>
    <row r="1820" spans="1:10" x14ac:dyDescent="0.3">
      <c r="A1820" s="23" t="str">
        <f t="shared" si="112"/>
        <v xml:space="preserve"> </v>
      </c>
      <c r="B1820" s="24"/>
      <c r="C1820" s="4"/>
      <c r="D1820" s="24"/>
      <c r="E1820" s="24"/>
      <c r="F1820" s="25" t="str">
        <f t="shared" si="113"/>
        <v xml:space="preserve"> </v>
      </c>
      <c r="G1820" s="24"/>
      <c r="H1820" s="25" t="str">
        <f t="shared" si="114"/>
        <v xml:space="preserve"> </v>
      </c>
      <c r="I1820" s="26"/>
      <c r="J1820" s="27" t="str">
        <f t="shared" si="115"/>
        <v xml:space="preserve"> </v>
      </c>
    </row>
    <row r="1821" spans="1:10" x14ac:dyDescent="0.3">
      <c r="A1821" s="23" t="str">
        <f t="shared" si="112"/>
        <v xml:space="preserve"> </v>
      </c>
      <c r="B1821" s="24"/>
      <c r="C1821" s="4"/>
      <c r="D1821" s="24"/>
      <c r="E1821" s="24"/>
      <c r="F1821" s="25" t="str">
        <f t="shared" si="113"/>
        <v xml:space="preserve"> </v>
      </c>
      <c r="G1821" s="24"/>
      <c r="H1821" s="25" t="str">
        <f t="shared" si="114"/>
        <v xml:space="preserve"> </v>
      </c>
      <c r="I1821" s="26"/>
      <c r="J1821" s="27" t="str">
        <f t="shared" si="115"/>
        <v xml:space="preserve"> </v>
      </c>
    </row>
    <row r="1822" spans="1:10" x14ac:dyDescent="0.3">
      <c r="A1822" s="23" t="str">
        <f t="shared" si="112"/>
        <v xml:space="preserve"> </v>
      </c>
      <c r="B1822" s="24"/>
      <c r="C1822" s="4"/>
      <c r="D1822" s="24"/>
      <c r="E1822" s="24"/>
      <c r="F1822" s="25" t="str">
        <f t="shared" si="113"/>
        <v xml:space="preserve"> </v>
      </c>
      <c r="G1822" s="24"/>
      <c r="H1822" s="25" t="str">
        <f t="shared" si="114"/>
        <v xml:space="preserve"> </v>
      </c>
      <c r="I1822" s="26"/>
      <c r="J1822" s="27" t="str">
        <f t="shared" si="115"/>
        <v xml:space="preserve"> </v>
      </c>
    </row>
    <row r="1823" spans="1:10" x14ac:dyDescent="0.3">
      <c r="A1823" s="23" t="str">
        <f t="shared" si="112"/>
        <v xml:space="preserve"> </v>
      </c>
      <c r="B1823" s="24"/>
      <c r="C1823" s="4"/>
      <c r="D1823" s="24"/>
      <c r="E1823" s="24"/>
      <c r="F1823" s="25" t="str">
        <f t="shared" si="113"/>
        <v xml:space="preserve"> </v>
      </c>
      <c r="G1823" s="24"/>
      <c r="H1823" s="25" t="str">
        <f t="shared" si="114"/>
        <v xml:space="preserve"> </v>
      </c>
      <c r="I1823" s="26"/>
      <c r="J1823" s="27" t="str">
        <f t="shared" si="115"/>
        <v xml:space="preserve"> </v>
      </c>
    </row>
    <row r="1824" spans="1:10" x14ac:dyDescent="0.3">
      <c r="A1824" s="23" t="str">
        <f t="shared" si="112"/>
        <v xml:space="preserve"> </v>
      </c>
      <c r="B1824" s="24"/>
      <c r="C1824" s="4"/>
      <c r="D1824" s="24"/>
      <c r="E1824" s="24"/>
      <c r="F1824" s="25" t="str">
        <f t="shared" si="113"/>
        <v xml:space="preserve"> </v>
      </c>
      <c r="G1824" s="24"/>
      <c r="H1824" s="25" t="str">
        <f t="shared" si="114"/>
        <v xml:space="preserve"> </v>
      </c>
      <c r="I1824" s="26"/>
      <c r="J1824" s="27" t="str">
        <f t="shared" si="115"/>
        <v xml:space="preserve"> </v>
      </c>
    </row>
    <row r="1825" spans="1:10" x14ac:dyDescent="0.3">
      <c r="A1825" s="23" t="str">
        <f t="shared" si="112"/>
        <v xml:space="preserve"> </v>
      </c>
      <c r="B1825" s="24"/>
      <c r="C1825" s="4"/>
      <c r="D1825" s="24"/>
      <c r="E1825" s="24"/>
      <c r="F1825" s="25" t="str">
        <f t="shared" si="113"/>
        <v xml:space="preserve"> </v>
      </c>
      <c r="G1825" s="24"/>
      <c r="H1825" s="25" t="str">
        <f t="shared" si="114"/>
        <v xml:space="preserve"> </v>
      </c>
      <c r="I1825" s="26"/>
      <c r="J1825" s="27" t="str">
        <f t="shared" si="115"/>
        <v xml:space="preserve"> </v>
      </c>
    </row>
    <row r="1826" spans="1:10" x14ac:dyDescent="0.3">
      <c r="A1826" s="23" t="str">
        <f t="shared" si="112"/>
        <v xml:space="preserve"> </v>
      </c>
      <c r="B1826" s="24"/>
      <c r="C1826" s="4"/>
      <c r="D1826" s="24"/>
      <c r="E1826" s="24"/>
      <c r="F1826" s="25" t="str">
        <f t="shared" si="113"/>
        <v xml:space="preserve"> </v>
      </c>
      <c r="G1826" s="24"/>
      <c r="H1826" s="25" t="str">
        <f t="shared" si="114"/>
        <v xml:space="preserve"> </v>
      </c>
      <c r="I1826" s="26"/>
      <c r="J1826" s="27" t="str">
        <f t="shared" si="115"/>
        <v xml:space="preserve"> </v>
      </c>
    </row>
    <row r="1827" spans="1:10" x14ac:dyDescent="0.3">
      <c r="A1827" s="23" t="str">
        <f t="shared" si="112"/>
        <v xml:space="preserve"> </v>
      </c>
      <c r="B1827" s="24"/>
      <c r="C1827" s="4"/>
      <c r="D1827" s="24"/>
      <c r="E1827" s="24"/>
      <c r="F1827" s="25" t="str">
        <f t="shared" si="113"/>
        <v xml:space="preserve"> </v>
      </c>
      <c r="G1827" s="24"/>
      <c r="H1827" s="25" t="str">
        <f t="shared" si="114"/>
        <v xml:space="preserve"> </v>
      </c>
      <c r="I1827" s="26"/>
      <c r="J1827" s="27" t="str">
        <f t="shared" si="115"/>
        <v xml:space="preserve"> </v>
      </c>
    </row>
    <row r="1828" spans="1:10" x14ac:dyDescent="0.3">
      <c r="A1828" s="23" t="str">
        <f t="shared" si="112"/>
        <v xml:space="preserve"> </v>
      </c>
      <c r="B1828" s="24"/>
      <c r="C1828" s="4"/>
      <c r="D1828" s="24"/>
      <c r="E1828" s="24"/>
      <c r="F1828" s="25" t="str">
        <f t="shared" si="113"/>
        <v xml:space="preserve"> </v>
      </c>
      <c r="G1828" s="24"/>
      <c r="H1828" s="25" t="str">
        <f t="shared" si="114"/>
        <v xml:space="preserve"> </v>
      </c>
      <c r="I1828" s="26"/>
      <c r="J1828" s="27" t="str">
        <f t="shared" si="115"/>
        <v xml:space="preserve"> </v>
      </c>
    </row>
    <row r="1829" spans="1:10" x14ac:dyDescent="0.3">
      <c r="A1829" s="23" t="str">
        <f t="shared" si="112"/>
        <v xml:space="preserve"> </v>
      </c>
      <c r="B1829" s="24"/>
      <c r="C1829" s="4"/>
      <c r="D1829" s="24"/>
      <c r="E1829" s="24"/>
      <c r="F1829" s="25" t="str">
        <f t="shared" si="113"/>
        <v xml:space="preserve"> </v>
      </c>
      <c r="G1829" s="24"/>
      <c r="H1829" s="25" t="str">
        <f t="shared" si="114"/>
        <v xml:space="preserve"> </v>
      </c>
      <c r="I1829" s="26"/>
      <c r="J1829" s="27" t="str">
        <f t="shared" si="115"/>
        <v xml:space="preserve"> </v>
      </c>
    </row>
    <row r="1830" spans="1:10" x14ac:dyDescent="0.3">
      <c r="A1830" s="23" t="str">
        <f t="shared" si="112"/>
        <v xml:space="preserve"> </v>
      </c>
      <c r="B1830" s="24"/>
      <c r="C1830" s="4"/>
      <c r="D1830" s="24"/>
      <c r="E1830" s="24"/>
      <c r="F1830" s="25" t="str">
        <f t="shared" si="113"/>
        <v xml:space="preserve"> </v>
      </c>
      <c r="G1830" s="24"/>
      <c r="H1830" s="25" t="str">
        <f t="shared" si="114"/>
        <v xml:space="preserve"> </v>
      </c>
      <c r="I1830" s="26"/>
      <c r="J1830" s="27" t="str">
        <f t="shared" si="115"/>
        <v xml:space="preserve"> </v>
      </c>
    </row>
    <row r="1831" spans="1:10" x14ac:dyDescent="0.3">
      <c r="A1831" s="23" t="str">
        <f t="shared" si="112"/>
        <v xml:space="preserve"> </v>
      </c>
      <c r="B1831" s="24"/>
      <c r="C1831" s="4"/>
      <c r="D1831" s="24"/>
      <c r="E1831" s="24"/>
      <c r="F1831" s="25" t="str">
        <f t="shared" si="113"/>
        <v xml:space="preserve"> </v>
      </c>
      <c r="G1831" s="24"/>
      <c r="H1831" s="25" t="str">
        <f t="shared" si="114"/>
        <v xml:space="preserve"> </v>
      </c>
      <c r="I1831" s="26"/>
      <c r="J1831" s="27" t="str">
        <f t="shared" si="115"/>
        <v xml:space="preserve"> </v>
      </c>
    </row>
    <row r="1832" spans="1:10" x14ac:dyDescent="0.3">
      <c r="A1832" s="23" t="str">
        <f t="shared" si="112"/>
        <v xml:space="preserve"> </v>
      </c>
      <c r="B1832" s="24"/>
      <c r="C1832" s="4"/>
      <c r="D1832" s="24"/>
      <c r="E1832" s="24"/>
      <c r="F1832" s="25" t="str">
        <f t="shared" si="113"/>
        <v xml:space="preserve"> </v>
      </c>
      <c r="G1832" s="24"/>
      <c r="H1832" s="25" t="str">
        <f t="shared" si="114"/>
        <v xml:space="preserve"> </v>
      </c>
      <c r="I1832" s="26"/>
      <c r="J1832" s="27" t="str">
        <f t="shared" si="115"/>
        <v xml:space="preserve"> </v>
      </c>
    </row>
    <row r="1833" spans="1:10" x14ac:dyDescent="0.3">
      <c r="A1833" s="23" t="str">
        <f t="shared" si="112"/>
        <v xml:space="preserve"> </v>
      </c>
      <c r="B1833" s="24"/>
      <c r="C1833" s="4"/>
      <c r="D1833" s="24"/>
      <c r="E1833" s="24"/>
      <c r="F1833" s="25" t="str">
        <f t="shared" si="113"/>
        <v xml:space="preserve"> </v>
      </c>
      <c r="G1833" s="24"/>
      <c r="H1833" s="25" t="str">
        <f t="shared" si="114"/>
        <v xml:space="preserve"> </v>
      </c>
      <c r="I1833" s="26"/>
      <c r="J1833" s="27" t="str">
        <f t="shared" si="115"/>
        <v xml:space="preserve"> </v>
      </c>
    </row>
    <row r="1834" spans="1:10" x14ac:dyDescent="0.3">
      <c r="A1834" s="23" t="str">
        <f t="shared" si="112"/>
        <v xml:space="preserve"> </v>
      </c>
      <c r="B1834" s="24"/>
      <c r="C1834" s="4"/>
      <c r="D1834" s="24"/>
      <c r="E1834" s="24"/>
      <c r="F1834" s="25" t="str">
        <f t="shared" si="113"/>
        <v xml:space="preserve"> </v>
      </c>
      <c r="G1834" s="24"/>
      <c r="H1834" s="25" t="str">
        <f t="shared" si="114"/>
        <v xml:space="preserve"> </v>
      </c>
      <c r="I1834" s="26"/>
      <c r="J1834" s="27" t="str">
        <f t="shared" si="115"/>
        <v xml:space="preserve"> </v>
      </c>
    </row>
    <row r="1835" spans="1:10" x14ac:dyDescent="0.3">
      <c r="A1835" s="23" t="str">
        <f t="shared" si="112"/>
        <v xml:space="preserve"> </v>
      </c>
      <c r="B1835" s="24"/>
      <c r="C1835" s="4"/>
      <c r="D1835" s="24"/>
      <c r="E1835" s="24"/>
      <c r="F1835" s="25" t="str">
        <f t="shared" si="113"/>
        <v xml:space="preserve"> </v>
      </c>
      <c r="G1835" s="24"/>
      <c r="H1835" s="25" t="str">
        <f t="shared" si="114"/>
        <v xml:space="preserve"> </v>
      </c>
      <c r="I1835" s="26"/>
      <c r="J1835" s="27" t="str">
        <f t="shared" si="115"/>
        <v xml:space="preserve"> </v>
      </c>
    </row>
    <row r="1836" spans="1:10" x14ac:dyDescent="0.3">
      <c r="A1836" s="23" t="str">
        <f t="shared" si="112"/>
        <v xml:space="preserve"> </v>
      </c>
      <c r="B1836" s="24"/>
      <c r="C1836" s="4"/>
      <c r="D1836" s="24"/>
      <c r="E1836" s="24"/>
      <c r="F1836" s="25" t="str">
        <f t="shared" si="113"/>
        <v xml:space="preserve"> </v>
      </c>
      <c r="G1836" s="24"/>
      <c r="H1836" s="25" t="str">
        <f t="shared" si="114"/>
        <v xml:space="preserve"> </v>
      </c>
      <c r="I1836" s="26"/>
      <c r="J1836" s="27" t="str">
        <f t="shared" si="115"/>
        <v xml:space="preserve"> </v>
      </c>
    </row>
    <row r="1837" spans="1:10" x14ac:dyDescent="0.3">
      <c r="A1837" s="23" t="str">
        <f t="shared" si="112"/>
        <v xml:space="preserve"> </v>
      </c>
      <c r="B1837" s="24"/>
      <c r="C1837" s="4"/>
      <c r="D1837" s="24"/>
      <c r="E1837" s="24"/>
      <c r="F1837" s="25" t="str">
        <f t="shared" si="113"/>
        <v xml:space="preserve"> </v>
      </c>
      <c r="G1837" s="24"/>
      <c r="H1837" s="25" t="str">
        <f t="shared" si="114"/>
        <v xml:space="preserve"> </v>
      </c>
      <c r="I1837" s="26"/>
      <c r="J1837" s="27" t="str">
        <f t="shared" si="115"/>
        <v xml:space="preserve"> </v>
      </c>
    </row>
    <row r="1838" spans="1:10" x14ac:dyDescent="0.3">
      <c r="A1838" s="23" t="str">
        <f t="shared" si="112"/>
        <v xml:space="preserve"> </v>
      </c>
      <c r="B1838" s="24"/>
      <c r="C1838" s="4"/>
      <c r="D1838" s="24"/>
      <c r="E1838" s="24"/>
      <c r="F1838" s="25" t="str">
        <f t="shared" si="113"/>
        <v xml:space="preserve"> </v>
      </c>
      <c r="G1838" s="24"/>
      <c r="H1838" s="25" t="str">
        <f t="shared" si="114"/>
        <v xml:space="preserve"> </v>
      </c>
      <c r="I1838" s="26"/>
      <c r="J1838" s="27" t="str">
        <f t="shared" si="115"/>
        <v xml:space="preserve"> </v>
      </c>
    </row>
    <row r="1839" spans="1:10" x14ac:dyDescent="0.3">
      <c r="A1839" s="23" t="str">
        <f t="shared" si="112"/>
        <v xml:space="preserve"> </v>
      </c>
      <c r="B1839" s="24"/>
      <c r="C1839" s="4"/>
      <c r="D1839" s="24"/>
      <c r="E1839" s="24"/>
      <c r="F1839" s="25" t="str">
        <f t="shared" si="113"/>
        <v xml:space="preserve"> </v>
      </c>
      <c r="G1839" s="24"/>
      <c r="H1839" s="25" t="str">
        <f t="shared" si="114"/>
        <v xml:space="preserve"> </v>
      </c>
      <c r="I1839" s="26"/>
      <c r="J1839" s="27" t="str">
        <f t="shared" si="115"/>
        <v xml:space="preserve"> </v>
      </c>
    </row>
    <row r="1840" spans="1:10" x14ac:dyDescent="0.3">
      <c r="A1840" s="23" t="str">
        <f t="shared" si="112"/>
        <v xml:space="preserve"> </v>
      </c>
      <c r="B1840" s="24"/>
      <c r="C1840" s="4"/>
      <c r="D1840" s="24"/>
      <c r="E1840" s="24"/>
      <c r="F1840" s="25" t="str">
        <f t="shared" si="113"/>
        <v xml:space="preserve"> </v>
      </c>
      <c r="G1840" s="24"/>
      <c r="H1840" s="25" t="str">
        <f t="shared" si="114"/>
        <v xml:space="preserve"> </v>
      </c>
      <c r="I1840" s="26"/>
      <c r="J1840" s="27" t="str">
        <f t="shared" si="115"/>
        <v xml:space="preserve"> </v>
      </c>
    </row>
    <row r="1841" spans="1:10" x14ac:dyDescent="0.3">
      <c r="A1841" s="23" t="str">
        <f t="shared" si="112"/>
        <v xml:space="preserve"> </v>
      </c>
      <c r="B1841" s="24"/>
      <c r="C1841" s="4"/>
      <c r="D1841" s="24"/>
      <c r="E1841" s="24"/>
      <c r="F1841" s="25" t="str">
        <f t="shared" si="113"/>
        <v xml:space="preserve"> </v>
      </c>
      <c r="G1841" s="24"/>
      <c r="H1841" s="25" t="str">
        <f t="shared" si="114"/>
        <v xml:space="preserve"> </v>
      </c>
      <c r="I1841" s="26"/>
      <c r="J1841" s="27" t="str">
        <f t="shared" si="115"/>
        <v xml:space="preserve"> </v>
      </c>
    </row>
    <row r="1842" spans="1:10" x14ac:dyDescent="0.3">
      <c r="A1842" s="23" t="str">
        <f t="shared" si="112"/>
        <v xml:space="preserve"> </v>
      </c>
      <c r="B1842" s="24"/>
      <c r="C1842" s="4"/>
      <c r="D1842" s="24"/>
      <c r="E1842" s="24"/>
      <c r="F1842" s="25" t="str">
        <f t="shared" si="113"/>
        <v xml:space="preserve"> </v>
      </c>
      <c r="G1842" s="24"/>
      <c r="H1842" s="25" t="str">
        <f t="shared" si="114"/>
        <v xml:space="preserve"> </v>
      </c>
      <c r="I1842" s="26"/>
      <c r="J1842" s="27" t="str">
        <f t="shared" si="115"/>
        <v xml:space="preserve"> </v>
      </c>
    </row>
    <row r="1843" spans="1:10" x14ac:dyDescent="0.3">
      <c r="A1843" s="23" t="str">
        <f t="shared" si="112"/>
        <v xml:space="preserve"> </v>
      </c>
      <c r="B1843" s="24"/>
      <c r="C1843" s="4"/>
      <c r="D1843" s="24"/>
      <c r="E1843" s="24"/>
      <c r="F1843" s="25" t="str">
        <f t="shared" si="113"/>
        <v xml:space="preserve"> </v>
      </c>
      <c r="G1843" s="24"/>
      <c r="H1843" s="25" t="str">
        <f t="shared" si="114"/>
        <v xml:space="preserve"> </v>
      </c>
      <c r="I1843" s="26"/>
      <c r="J1843" s="27" t="str">
        <f t="shared" si="115"/>
        <v xml:space="preserve"> </v>
      </c>
    </row>
    <row r="1844" spans="1:10" x14ac:dyDescent="0.3">
      <c r="A1844" s="23" t="str">
        <f t="shared" si="112"/>
        <v xml:space="preserve"> </v>
      </c>
      <c r="B1844" s="24"/>
      <c r="C1844" s="4"/>
      <c r="D1844" s="24"/>
      <c r="E1844" s="24"/>
      <c r="F1844" s="25" t="str">
        <f t="shared" si="113"/>
        <v xml:space="preserve"> </v>
      </c>
      <c r="G1844" s="24"/>
      <c r="H1844" s="25" t="str">
        <f t="shared" si="114"/>
        <v xml:space="preserve"> </v>
      </c>
      <c r="I1844" s="26"/>
      <c r="J1844" s="27" t="str">
        <f t="shared" si="115"/>
        <v xml:space="preserve"> </v>
      </c>
    </row>
    <row r="1845" spans="1:10" x14ac:dyDescent="0.3">
      <c r="A1845" s="23" t="str">
        <f t="shared" si="112"/>
        <v xml:space="preserve"> </v>
      </c>
      <c r="B1845" s="24"/>
      <c r="C1845" s="4"/>
      <c r="D1845" s="24"/>
      <c r="E1845" s="24"/>
      <c r="F1845" s="25" t="str">
        <f t="shared" si="113"/>
        <v xml:space="preserve"> </v>
      </c>
      <c r="G1845" s="24"/>
      <c r="H1845" s="25" t="str">
        <f t="shared" si="114"/>
        <v xml:space="preserve"> </v>
      </c>
      <c r="I1845" s="26"/>
      <c r="J1845" s="27" t="str">
        <f t="shared" si="115"/>
        <v xml:space="preserve"> </v>
      </c>
    </row>
    <row r="1846" spans="1:10" x14ac:dyDescent="0.3">
      <c r="A1846" s="23" t="str">
        <f t="shared" si="112"/>
        <v xml:space="preserve"> </v>
      </c>
      <c r="B1846" s="24"/>
      <c r="C1846" s="4"/>
      <c r="D1846" s="24"/>
      <c r="E1846" s="24"/>
      <c r="F1846" s="25" t="str">
        <f t="shared" si="113"/>
        <v xml:space="preserve"> </v>
      </c>
      <c r="G1846" s="24"/>
      <c r="H1846" s="25" t="str">
        <f t="shared" si="114"/>
        <v xml:space="preserve"> </v>
      </c>
      <c r="I1846" s="26"/>
      <c r="J1846" s="27" t="str">
        <f t="shared" si="115"/>
        <v xml:space="preserve"> </v>
      </c>
    </row>
    <row r="1847" spans="1:10" x14ac:dyDescent="0.3">
      <c r="A1847" s="23" t="str">
        <f t="shared" si="112"/>
        <v xml:space="preserve"> </v>
      </c>
      <c r="B1847" s="24"/>
      <c r="C1847" s="4"/>
      <c r="D1847" s="24"/>
      <c r="E1847" s="24"/>
      <c r="F1847" s="25" t="str">
        <f t="shared" si="113"/>
        <v xml:space="preserve"> </v>
      </c>
      <c r="G1847" s="24"/>
      <c r="H1847" s="25" t="str">
        <f t="shared" si="114"/>
        <v xml:space="preserve"> </v>
      </c>
      <c r="I1847" s="26"/>
      <c r="J1847" s="27" t="str">
        <f t="shared" si="115"/>
        <v xml:space="preserve"> </v>
      </c>
    </row>
    <row r="1848" spans="1:10" x14ac:dyDescent="0.3">
      <c r="A1848" s="23" t="str">
        <f t="shared" si="112"/>
        <v xml:space="preserve"> </v>
      </c>
      <c r="B1848" s="24"/>
      <c r="C1848" s="4"/>
      <c r="D1848" s="24"/>
      <c r="E1848" s="24"/>
      <c r="F1848" s="25" t="str">
        <f t="shared" si="113"/>
        <v xml:space="preserve"> </v>
      </c>
      <c r="G1848" s="24"/>
      <c r="H1848" s="25" t="str">
        <f t="shared" si="114"/>
        <v xml:space="preserve"> </v>
      </c>
      <c r="I1848" s="26"/>
      <c r="J1848" s="27" t="str">
        <f t="shared" si="115"/>
        <v xml:space="preserve"> </v>
      </c>
    </row>
    <row r="1849" spans="1:10" x14ac:dyDescent="0.3">
      <c r="A1849" s="23" t="str">
        <f t="shared" si="112"/>
        <v xml:space="preserve"> </v>
      </c>
      <c r="B1849" s="24"/>
      <c r="C1849" s="4"/>
      <c r="D1849" s="24"/>
      <c r="E1849" s="24"/>
      <c r="F1849" s="25" t="str">
        <f t="shared" si="113"/>
        <v xml:space="preserve"> </v>
      </c>
      <c r="G1849" s="24"/>
      <c r="H1849" s="25" t="str">
        <f t="shared" si="114"/>
        <v xml:space="preserve"> </v>
      </c>
      <c r="I1849" s="26"/>
      <c r="J1849" s="27" t="str">
        <f t="shared" si="115"/>
        <v xml:space="preserve"> </v>
      </c>
    </row>
    <row r="1850" spans="1:10" x14ac:dyDescent="0.3">
      <c r="A1850" s="23" t="str">
        <f t="shared" si="112"/>
        <v xml:space="preserve"> </v>
      </c>
      <c r="B1850" s="24"/>
      <c r="C1850" s="4"/>
      <c r="D1850" s="24"/>
      <c r="E1850" s="24"/>
      <c r="F1850" s="25" t="str">
        <f t="shared" si="113"/>
        <v xml:space="preserve"> </v>
      </c>
      <c r="G1850" s="24"/>
      <c r="H1850" s="25" t="str">
        <f t="shared" si="114"/>
        <v xml:space="preserve"> </v>
      </c>
      <c r="I1850" s="26"/>
      <c r="J1850" s="27" t="str">
        <f t="shared" si="115"/>
        <v xml:space="preserve"> </v>
      </c>
    </row>
    <row r="1851" spans="1:10" x14ac:dyDescent="0.3">
      <c r="A1851" s="23" t="str">
        <f t="shared" si="112"/>
        <v xml:space="preserve"> </v>
      </c>
      <c r="B1851" s="24"/>
      <c r="C1851" s="4"/>
      <c r="D1851" s="24"/>
      <c r="E1851" s="24"/>
      <c r="F1851" s="25" t="str">
        <f t="shared" si="113"/>
        <v xml:space="preserve"> </v>
      </c>
      <c r="G1851" s="24"/>
      <c r="H1851" s="25" t="str">
        <f t="shared" si="114"/>
        <v xml:space="preserve"> </v>
      </c>
      <c r="I1851" s="26"/>
      <c r="J1851" s="27" t="str">
        <f t="shared" si="115"/>
        <v xml:space="preserve"> </v>
      </c>
    </row>
    <row r="1852" spans="1:10" x14ac:dyDescent="0.3">
      <c r="A1852" s="23" t="str">
        <f t="shared" si="112"/>
        <v xml:space="preserve"> </v>
      </c>
      <c r="B1852" s="24"/>
      <c r="C1852" s="4"/>
      <c r="D1852" s="24"/>
      <c r="E1852" s="24"/>
      <c r="F1852" s="25" t="str">
        <f t="shared" si="113"/>
        <v xml:space="preserve"> </v>
      </c>
      <c r="G1852" s="24"/>
      <c r="H1852" s="25" t="str">
        <f t="shared" si="114"/>
        <v xml:space="preserve"> </v>
      </c>
      <c r="I1852" s="26"/>
      <c r="J1852" s="27" t="str">
        <f t="shared" si="115"/>
        <v xml:space="preserve"> </v>
      </c>
    </row>
    <row r="1853" spans="1:10" x14ac:dyDescent="0.3">
      <c r="A1853" s="23" t="str">
        <f t="shared" si="112"/>
        <v xml:space="preserve"> </v>
      </c>
      <c r="B1853" s="24"/>
      <c r="C1853" s="4"/>
      <c r="D1853" s="24"/>
      <c r="E1853" s="24"/>
      <c r="F1853" s="25" t="str">
        <f t="shared" si="113"/>
        <v xml:space="preserve"> </v>
      </c>
      <c r="G1853" s="24"/>
      <c r="H1853" s="25" t="str">
        <f t="shared" si="114"/>
        <v xml:space="preserve"> </v>
      </c>
      <c r="I1853" s="26"/>
      <c r="J1853" s="27" t="str">
        <f t="shared" si="115"/>
        <v xml:space="preserve"> </v>
      </c>
    </row>
    <row r="1854" spans="1:10" x14ac:dyDescent="0.3">
      <c r="A1854" s="23" t="str">
        <f t="shared" si="112"/>
        <v xml:space="preserve"> </v>
      </c>
      <c r="B1854" s="24"/>
      <c r="C1854" s="4"/>
      <c r="D1854" s="24"/>
      <c r="E1854" s="24"/>
      <c r="F1854" s="25" t="str">
        <f t="shared" si="113"/>
        <v xml:space="preserve"> </v>
      </c>
      <c r="G1854" s="24"/>
      <c r="H1854" s="25" t="str">
        <f t="shared" si="114"/>
        <v xml:space="preserve"> </v>
      </c>
      <c r="I1854" s="26"/>
      <c r="J1854" s="27" t="str">
        <f t="shared" si="115"/>
        <v xml:space="preserve"> </v>
      </c>
    </row>
    <row r="1855" spans="1:10" x14ac:dyDescent="0.3">
      <c r="A1855" s="23" t="str">
        <f t="shared" si="112"/>
        <v xml:space="preserve"> </v>
      </c>
      <c r="B1855" s="24"/>
      <c r="C1855" s="4"/>
      <c r="D1855" s="24"/>
      <c r="E1855" s="24"/>
      <c r="F1855" s="25" t="str">
        <f t="shared" si="113"/>
        <v xml:space="preserve"> </v>
      </c>
      <c r="G1855" s="24"/>
      <c r="H1855" s="25" t="str">
        <f t="shared" si="114"/>
        <v xml:space="preserve"> </v>
      </c>
      <c r="I1855" s="26"/>
      <c r="J1855" s="27" t="str">
        <f t="shared" si="115"/>
        <v xml:space="preserve"> </v>
      </c>
    </row>
    <row r="1856" spans="1:10" x14ac:dyDescent="0.3">
      <c r="A1856" s="23" t="str">
        <f t="shared" si="112"/>
        <v xml:space="preserve"> </v>
      </c>
      <c r="B1856" s="24"/>
      <c r="C1856" s="4"/>
      <c r="D1856" s="24"/>
      <c r="E1856" s="24"/>
      <c r="F1856" s="25" t="str">
        <f t="shared" si="113"/>
        <v xml:space="preserve"> </v>
      </c>
      <c r="G1856" s="24"/>
      <c r="H1856" s="25" t="str">
        <f t="shared" si="114"/>
        <v xml:space="preserve"> </v>
      </c>
      <c r="I1856" s="26"/>
      <c r="J1856" s="27" t="str">
        <f t="shared" si="115"/>
        <v xml:space="preserve"> </v>
      </c>
    </row>
    <row r="1857" spans="1:10" x14ac:dyDescent="0.3">
      <c r="A1857" s="23" t="str">
        <f t="shared" si="112"/>
        <v xml:space="preserve"> </v>
      </c>
      <c r="B1857" s="24"/>
      <c r="C1857" s="4"/>
      <c r="D1857" s="24"/>
      <c r="E1857" s="24"/>
      <c r="F1857" s="25" t="str">
        <f t="shared" si="113"/>
        <v xml:space="preserve"> </v>
      </c>
      <c r="G1857" s="24"/>
      <c r="H1857" s="25" t="str">
        <f t="shared" si="114"/>
        <v xml:space="preserve"> </v>
      </c>
      <c r="I1857" s="26"/>
      <c r="J1857" s="27" t="str">
        <f t="shared" si="115"/>
        <v xml:space="preserve"> </v>
      </c>
    </row>
    <row r="1858" spans="1:10" x14ac:dyDescent="0.3">
      <c r="A1858" s="23" t="str">
        <f t="shared" si="112"/>
        <v xml:space="preserve"> </v>
      </c>
      <c r="B1858" s="24"/>
      <c r="C1858" s="4"/>
      <c r="D1858" s="24"/>
      <c r="E1858" s="24"/>
      <c r="F1858" s="25" t="str">
        <f t="shared" si="113"/>
        <v xml:space="preserve"> </v>
      </c>
      <c r="G1858" s="24"/>
      <c r="H1858" s="25" t="str">
        <f t="shared" si="114"/>
        <v xml:space="preserve"> </v>
      </c>
      <c r="I1858" s="26"/>
      <c r="J1858" s="27" t="str">
        <f t="shared" si="115"/>
        <v xml:space="preserve"> </v>
      </c>
    </row>
    <row r="1859" spans="1:10" x14ac:dyDescent="0.3">
      <c r="A1859" s="23" t="str">
        <f t="shared" si="112"/>
        <v xml:space="preserve"> </v>
      </c>
      <c r="B1859" s="24"/>
      <c r="C1859" s="4"/>
      <c r="D1859" s="24"/>
      <c r="E1859" s="24"/>
      <c r="F1859" s="25" t="str">
        <f t="shared" si="113"/>
        <v xml:space="preserve"> </v>
      </c>
      <c r="G1859" s="24"/>
      <c r="H1859" s="25" t="str">
        <f t="shared" si="114"/>
        <v xml:space="preserve"> </v>
      </c>
      <c r="I1859" s="26"/>
      <c r="J1859" s="27" t="str">
        <f t="shared" si="115"/>
        <v xml:space="preserve"> </v>
      </c>
    </row>
    <row r="1860" spans="1:10" x14ac:dyDescent="0.3">
      <c r="A1860" s="23" t="str">
        <f t="shared" si="112"/>
        <v xml:space="preserve"> </v>
      </c>
      <c r="B1860" s="24"/>
      <c r="C1860" s="4"/>
      <c r="D1860" s="24"/>
      <c r="E1860" s="24"/>
      <c r="F1860" s="25" t="str">
        <f t="shared" si="113"/>
        <v xml:space="preserve"> </v>
      </c>
      <c r="G1860" s="24"/>
      <c r="H1860" s="25" t="str">
        <f t="shared" si="114"/>
        <v xml:space="preserve"> </v>
      </c>
      <c r="I1860" s="26"/>
      <c r="J1860" s="27" t="str">
        <f t="shared" si="115"/>
        <v xml:space="preserve"> </v>
      </c>
    </row>
    <row r="1861" spans="1:10" x14ac:dyDescent="0.3">
      <c r="A1861" s="23" t="str">
        <f t="shared" ref="A1861:A1924" si="116">IF(C1861&gt;0,RIGHT($D$3,10)," ")</f>
        <v xml:space="preserve"> </v>
      </c>
      <c r="B1861" s="24"/>
      <c r="C1861" s="4"/>
      <c r="D1861" s="24"/>
      <c r="E1861" s="24"/>
      <c r="F1861" s="25" t="str">
        <f t="shared" ref="F1861:F1924" si="117">IF(C1861&gt;0,$C$3," ")</f>
        <v xml:space="preserve"> </v>
      </c>
      <c r="G1861" s="24"/>
      <c r="H1861" s="25" t="str">
        <f t="shared" ref="H1861:H1924" si="118">IF(G1861&gt;0,"Pcs."," ")</f>
        <v xml:space="preserve"> </v>
      </c>
      <c r="I1861" s="26"/>
      <c r="J1861" s="27" t="str">
        <f t="shared" ref="J1861:J1924" si="119">IF(I1861*G1861=0," ",I1861*G1861)</f>
        <v xml:space="preserve"> </v>
      </c>
    </row>
    <row r="1862" spans="1:10" x14ac:dyDescent="0.3">
      <c r="A1862" s="23" t="str">
        <f t="shared" si="116"/>
        <v xml:space="preserve"> </v>
      </c>
      <c r="B1862" s="24"/>
      <c r="C1862" s="4"/>
      <c r="D1862" s="24"/>
      <c r="E1862" s="24"/>
      <c r="F1862" s="25" t="str">
        <f t="shared" si="117"/>
        <v xml:space="preserve"> </v>
      </c>
      <c r="G1862" s="24"/>
      <c r="H1862" s="25" t="str">
        <f t="shared" si="118"/>
        <v xml:space="preserve"> </v>
      </c>
      <c r="I1862" s="26"/>
      <c r="J1862" s="27" t="str">
        <f t="shared" si="119"/>
        <v xml:space="preserve"> </v>
      </c>
    </row>
    <row r="1863" spans="1:10" x14ac:dyDescent="0.3">
      <c r="A1863" s="23" t="str">
        <f t="shared" si="116"/>
        <v xml:space="preserve"> </v>
      </c>
      <c r="B1863" s="24"/>
      <c r="C1863" s="4"/>
      <c r="D1863" s="24"/>
      <c r="E1863" s="24"/>
      <c r="F1863" s="25" t="str">
        <f t="shared" si="117"/>
        <v xml:space="preserve"> </v>
      </c>
      <c r="G1863" s="24"/>
      <c r="H1863" s="25" t="str">
        <f t="shared" si="118"/>
        <v xml:space="preserve"> </v>
      </c>
      <c r="I1863" s="26"/>
      <c r="J1863" s="27" t="str">
        <f t="shared" si="119"/>
        <v xml:space="preserve"> </v>
      </c>
    </row>
    <row r="1864" spans="1:10" x14ac:dyDescent="0.3">
      <c r="A1864" s="23" t="str">
        <f t="shared" si="116"/>
        <v xml:space="preserve"> </v>
      </c>
      <c r="B1864" s="24"/>
      <c r="C1864" s="4"/>
      <c r="D1864" s="24"/>
      <c r="E1864" s="24"/>
      <c r="F1864" s="25" t="str">
        <f t="shared" si="117"/>
        <v xml:space="preserve"> </v>
      </c>
      <c r="G1864" s="24"/>
      <c r="H1864" s="25" t="str">
        <f t="shared" si="118"/>
        <v xml:space="preserve"> </v>
      </c>
      <c r="I1864" s="26"/>
      <c r="J1864" s="27" t="str">
        <f t="shared" si="119"/>
        <v xml:space="preserve"> </v>
      </c>
    </row>
    <row r="1865" spans="1:10" x14ac:dyDescent="0.3">
      <c r="A1865" s="23" t="str">
        <f t="shared" si="116"/>
        <v xml:space="preserve"> </v>
      </c>
      <c r="B1865" s="24"/>
      <c r="C1865" s="4"/>
      <c r="D1865" s="24"/>
      <c r="E1865" s="24"/>
      <c r="F1865" s="25" t="str">
        <f t="shared" si="117"/>
        <v xml:space="preserve"> </v>
      </c>
      <c r="G1865" s="24"/>
      <c r="H1865" s="25" t="str">
        <f t="shared" si="118"/>
        <v xml:space="preserve"> </v>
      </c>
      <c r="I1865" s="26"/>
      <c r="J1865" s="27" t="str">
        <f t="shared" si="119"/>
        <v xml:space="preserve"> </v>
      </c>
    </row>
    <row r="1866" spans="1:10" x14ac:dyDescent="0.3">
      <c r="A1866" s="23" t="str">
        <f t="shared" si="116"/>
        <v xml:space="preserve"> </v>
      </c>
      <c r="B1866" s="24"/>
      <c r="C1866" s="4"/>
      <c r="D1866" s="24"/>
      <c r="E1866" s="24"/>
      <c r="F1866" s="25" t="str">
        <f t="shared" si="117"/>
        <v xml:space="preserve"> </v>
      </c>
      <c r="G1866" s="24"/>
      <c r="H1866" s="25" t="str">
        <f t="shared" si="118"/>
        <v xml:space="preserve"> </v>
      </c>
      <c r="I1866" s="26"/>
      <c r="J1866" s="27" t="str">
        <f t="shared" si="119"/>
        <v xml:space="preserve"> </v>
      </c>
    </row>
    <row r="1867" spans="1:10" x14ac:dyDescent="0.3">
      <c r="A1867" s="23" t="str">
        <f t="shared" si="116"/>
        <v xml:space="preserve"> </v>
      </c>
      <c r="B1867" s="24"/>
      <c r="C1867" s="4"/>
      <c r="D1867" s="24"/>
      <c r="E1867" s="24"/>
      <c r="F1867" s="25" t="str">
        <f t="shared" si="117"/>
        <v xml:space="preserve"> </v>
      </c>
      <c r="G1867" s="24"/>
      <c r="H1867" s="25" t="str">
        <f t="shared" si="118"/>
        <v xml:space="preserve"> </v>
      </c>
      <c r="I1867" s="26"/>
      <c r="J1867" s="27" t="str">
        <f t="shared" si="119"/>
        <v xml:space="preserve"> </v>
      </c>
    </row>
    <row r="1868" spans="1:10" x14ac:dyDescent="0.3">
      <c r="A1868" s="23" t="str">
        <f t="shared" si="116"/>
        <v xml:space="preserve"> </v>
      </c>
      <c r="B1868" s="24"/>
      <c r="C1868" s="4"/>
      <c r="D1868" s="24"/>
      <c r="E1868" s="24"/>
      <c r="F1868" s="25" t="str">
        <f t="shared" si="117"/>
        <v xml:space="preserve"> </v>
      </c>
      <c r="G1868" s="24"/>
      <c r="H1868" s="25" t="str">
        <f t="shared" si="118"/>
        <v xml:space="preserve"> </v>
      </c>
      <c r="I1868" s="26"/>
      <c r="J1868" s="27" t="str">
        <f t="shared" si="119"/>
        <v xml:space="preserve"> </v>
      </c>
    </row>
    <row r="1869" spans="1:10" x14ac:dyDescent="0.3">
      <c r="A1869" s="23" t="str">
        <f t="shared" si="116"/>
        <v xml:space="preserve"> </v>
      </c>
      <c r="B1869" s="24"/>
      <c r="C1869" s="4"/>
      <c r="D1869" s="24"/>
      <c r="E1869" s="24"/>
      <c r="F1869" s="25" t="str">
        <f t="shared" si="117"/>
        <v xml:space="preserve"> </v>
      </c>
      <c r="G1869" s="24"/>
      <c r="H1869" s="25" t="str">
        <f t="shared" si="118"/>
        <v xml:space="preserve"> </v>
      </c>
      <c r="I1869" s="26"/>
      <c r="J1869" s="27" t="str">
        <f t="shared" si="119"/>
        <v xml:space="preserve"> </v>
      </c>
    </row>
    <row r="1870" spans="1:10" x14ac:dyDescent="0.3">
      <c r="A1870" s="23" t="str">
        <f t="shared" si="116"/>
        <v xml:space="preserve"> </v>
      </c>
      <c r="B1870" s="24"/>
      <c r="C1870" s="4"/>
      <c r="D1870" s="24"/>
      <c r="E1870" s="24"/>
      <c r="F1870" s="25" t="str">
        <f t="shared" si="117"/>
        <v xml:space="preserve"> </v>
      </c>
      <c r="G1870" s="24"/>
      <c r="H1870" s="25" t="str">
        <f t="shared" si="118"/>
        <v xml:space="preserve"> </v>
      </c>
      <c r="I1870" s="26"/>
      <c r="J1870" s="27" t="str">
        <f t="shared" si="119"/>
        <v xml:space="preserve"> </v>
      </c>
    </row>
    <row r="1871" spans="1:10" x14ac:dyDescent="0.3">
      <c r="A1871" s="23" t="str">
        <f t="shared" si="116"/>
        <v xml:space="preserve"> </v>
      </c>
      <c r="B1871" s="24"/>
      <c r="C1871" s="4"/>
      <c r="D1871" s="24"/>
      <c r="E1871" s="24"/>
      <c r="F1871" s="25" t="str">
        <f t="shared" si="117"/>
        <v xml:space="preserve"> </v>
      </c>
      <c r="G1871" s="24"/>
      <c r="H1871" s="25" t="str">
        <f t="shared" si="118"/>
        <v xml:space="preserve"> </v>
      </c>
      <c r="I1871" s="26"/>
      <c r="J1871" s="27" t="str">
        <f t="shared" si="119"/>
        <v xml:space="preserve"> </v>
      </c>
    </row>
    <row r="1872" spans="1:10" x14ac:dyDescent="0.3">
      <c r="A1872" s="23" t="str">
        <f t="shared" si="116"/>
        <v xml:space="preserve"> </v>
      </c>
      <c r="B1872" s="24"/>
      <c r="C1872" s="4"/>
      <c r="D1872" s="24"/>
      <c r="E1872" s="24"/>
      <c r="F1872" s="25" t="str">
        <f t="shared" si="117"/>
        <v xml:space="preserve"> </v>
      </c>
      <c r="G1872" s="24"/>
      <c r="H1872" s="25" t="str">
        <f t="shared" si="118"/>
        <v xml:space="preserve"> </v>
      </c>
      <c r="I1872" s="26"/>
      <c r="J1872" s="27" t="str">
        <f t="shared" si="119"/>
        <v xml:space="preserve"> </v>
      </c>
    </row>
    <row r="1873" spans="1:10" x14ac:dyDescent="0.3">
      <c r="A1873" s="23" t="str">
        <f t="shared" si="116"/>
        <v xml:space="preserve"> </v>
      </c>
      <c r="B1873" s="24"/>
      <c r="C1873" s="4"/>
      <c r="D1873" s="24"/>
      <c r="E1873" s="24"/>
      <c r="F1873" s="25" t="str">
        <f t="shared" si="117"/>
        <v xml:space="preserve"> </v>
      </c>
      <c r="G1873" s="24"/>
      <c r="H1873" s="25" t="str">
        <f t="shared" si="118"/>
        <v xml:space="preserve"> </v>
      </c>
      <c r="I1873" s="26"/>
      <c r="J1873" s="27" t="str">
        <f t="shared" si="119"/>
        <v xml:space="preserve"> </v>
      </c>
    </row>
    <row r="1874" spans="1:10" x14ac:dyDescent="0.3">
      <c r="A1874" s="23" t="str">
        <f t="shared" si="116"/>
        <v xml:space="preserve"> </v>
      </c>
      <c r="B1874" s="24"/>
      <c r="C1874" s="4"/>
      <c r="D1874" s="24"/>
      <c r="E1874" s="24"/>
      <c r="F1874" s="25" t="str">
        <f t="shared" si="117"/>
        <v xml:space="preserve"> </v>
      </c>
      <c r="G1874" s="24"/>
      <c r="H1874" s="25" t="str">
        <f t="shared" si="118"/>
        <v xml:space="preserve"> </v>
      </c>
      <c r="I1874" s="26"/>
      <c r="J1874" s="27" t="str">
        <f t="shared" si="119"/>
        <v xml:space="preserve"> </v>
      </c>
    </row>
    <row r="1875" spans="1:10" x14ac:dyDescent="0.3">
      <c r="A1875" s="23" t="str">
        <f t="shared" si="116"/>
        <v xml:space="preserve"> </v>
      </c>
      <c r="B1875" s="24"/>
      <c r="C1875" s="4"/>
      <c r="D1875" s="24"/>
      <c r="E1875" s="24"/>
      <c r="F1875" s="25" t="str">
        <f t="shared" si="117"/>
        <v xml:space="preserve"> </v>
      </c>
      <c r="G1875" s="24"/>
      <c r="H1875" s="25" t="str">
        <f t="shared" si="118"/>
        <v xml:space="preserve"> </v>
      </c>
      <c r="I1875" s="26"/>
      <c r="J1875" s="27" t="str">
        <f t="shared" si="119"/>
        <v xml:space="preserve"> </v>
      </c>
    </row>
    <row r="1876" spans="1:10" x14ac:dyDescent="0.3">
      <c r="A1876" s="23" t="str">
        <f t="shared" si="116"/>
        <v xml:space="preserve"> </v>
      </c>
      <c r="B1876" s="24"/>
      <c r="C1876" s="4"/>
      <c r="D1876" s="24"/>
      <c r="E1876" s="24"/>
      <c r="F1876" s="25" t="str">
        <f t="shared" si="117"/>
        <v xml:space="preserve"> </v>
      </c>
      <c r="G1876" s="24"/>
      <c r="H1876" s="25" t="str">
        <f t="shared" si="118"/>
        <v xml:space="preserve"> </v>
      </c>
      <c r="I1876" s="26"/>
      <c r="J1876" s="27" t="str">
        <f t="shared" si="119"/>
        <v xml:space="preserve"> </v>
      </c>
    </row>
    <row r="1877" spans="1:10" x14ac:dyDescent="0.3">
      <c r="A1877" s="23" t="str">
        <f t="shared" si="116"/>
        <v xml:space="preserve"> </v>
      </c>
      <c r="B1877" s="24"/>
      <c r="C1877" s="4"/>
      <c r="D1877" s="24"/>
      <c r="E1877" s="24"/>
      <c r="F1877" s="25" t="str">
        <f t="shared" si="117"/>
        <v xml:space="preserve"> </v>
      </c>
      <c r="G1877" s="24"/>
      <c r="H1877" s="25" t="str">
        <f t="shared" si="118"/>
        <v xml:space="preserve"> </v>
      </c>
      <c r="I1877" s="26"/>
      <c r="J1877" s="27" t="str">
        <f t="shared" si="119"/>
        <v xml:space="preserve"> </v>
      </c>
    </row>
    <row r="1878" spans="1:10" x14ac:dyDescent="0.3">
      <c r="A1878" s="23" t="str">
        <f t="shared" si="116"/>
        <v xml:space="preserve"> </v>
      </c>
      <c r="B1878" s="24"/>
      <c r="C1878" s="4"/>
      <c r="D1878" s="24"/>
      <c r="E1878" s="24"/>
      <c r="F1878" s="25" t="str">
        <f t="shared" si="117"/>
        <v xml:space="preserve"> </v>
      </c>
      <c r="G1878" s="24"/>
      <c r="H1878" s="25" t="str">
        <f t="shared" si="118"/>
        <v xml:space="preserve"> </v>
      </c>
      <c r="I1878" s="26"/>
      <c r="J1878" s="27" t="str">
        <f t="shared" si="119"/>
        <v xml:space="preserve"> </v>
      </c>
    </row>
    <row r="1879" spans="1:10" x14ac:dyDescent="0.3">
      <c r="A1879" s="23" t="str">
        <f t="shared" si="116"/>
        <v xml:space="preserve"> </v>
      </c>
      <c r="B1879" s="24"/>
      <c r="C1879" s="4"/>
      <c r="D1879" s="24"/>
      <c r="E1879" s="24"/>
      <c r="F1879" s="25" t="str">
        <f t="shared" si="117"/>
        <v xml:space="preserve"> </v>
      </c>
      <c r="G1879" s="24"/>
      <c r="H1879" s="25" t="str">
        <f t="shared" si="118"/>
        <v xml:space="preserve"> </v>
      </c>
      <c r="I1879" s="26"/>
      <c r="J1879" s="27" t="str">
        <f t="shared" si="119"/>
        <v xml:space="preserve"> </v>
      </c>
    </row>
    <row r="1880" spans="1:10" x14ac:dyDescent="0.3">
      <c r="A1880" s="23" t="str">
        <f t="shared" si="116"/>
        <v xml:space="preserve"> </v>
      </c>
      <c r="B1880" s="24"/>
      <c r="C1880" s="4"/>
      <c r="D1880" s="24"/>
      <c r="E1880" s="24"/>
      <c r="F1880" s="25" t="str">
        <f t="shared" si="117"/>
        <v xml:space="preserve"> </v>
      </c>
      <c r="G1880" s="24"/>
      <c r="H1880" s="25" t="str">
        <f t="shared" si="118"/>
        <v xml:space="preserve"> </v>
      </c>
      <c r="I1880" s="26"/>
      <c r="J1880" s="27" t="str">
        <f t="shared" si="119"/>
        <v xml:space="preserve"> </v>
      </c>
    </row>
    <row r="1881" spans="1:10" x14ac:dyDescent="0.3">
      <c r="A1881" s="23" t="str">
        <f t="shared" si="116"/>
        <v xml:space="preserve"> </v>
      </c>
      <c r="B1881" s="24"/>
      <c r="C1881" s="4"/>
      <c r="D1881" s="24"/>
      <c r="E1881" s="24"/>
      <c r="F1881" s="25" t="str">
        <f t="shared" si="117"/>
        <v xml:space="preserve"> </v>
      </c>
      <c r="G1881" s="24"/>
      <c r="H1881" s="25" t="str">
        <f t="shared" si="118"/>
        <v xml:space="preserve"> </v>
      </c>
      <c r="I1881" s="26"/>
      <c r="J1881" s="27" t="str">
        <f t="shared" si="119"/>
        <v xml:space="preserve"> </v>
      </c>
    </row>
    <row r="1882" spans="1:10" x14ac:dyDescent="0.3">
      <c r="A1882" s="23" t="str">
        <f t="shared" si="116"/>
        <v xml:space="preserve"> </v>
      </c>
      <c r="B1882" s="24"/>
      <c r="C1882" s="4"/>
      <c r="D1882" s="24"/>
      <c r="E1882" s="24"/>
      <c r="F1882" s="25" t="str">
        <f t="shared" si="117"/>
        <v xml:space="preserve"> </v>
      </c>
      <c r="G1882" s="24"/>
      <c r="H1882" s="25" t="str">
        <f t="shared" si="118"/>
        <v xml:space="preserve"> </v>
      </c>
      <c r="I1882" s="26"/>
      <c r="J1882" s="27" t="str">
        <f t="shared" si="119"/>
        <v xml:space="preserve"> </v>
      </c>
    </row>
    <row r="1883" spans="1:10" x14ac:dyDescent="0.3">
      <c r="A1883" s="23" t="str">
        <f t="shared" si="116"/>
        <v xml:space="preserve"> </v>
      </c>
      <c r="B1883" s="24"/>
      <c r="C1883" s="4"/>
      <c r="D1883" s="24"/>
      <c r="E1883" s="24"/>
      <c r="F1883" s="25" t="str">
        <f t="shared" si="117"/>
        <v xml:space="preserve"> </v>
      </c>
      <c r="G1883" s="24"/>
      <c r="H1883" s="25" t="str">
        <f t="shared" si="118"/>
        <v xml:space="preserve"> </v>
      </c>
      <c r="I1883" s="26"/>
      <c r="J1883" s="27" t="str">
        <f t="shared" si="119"/>
        <v xml:space="preserve"> </v>
      </c>
    </row>
    <row r="1884" spans="1:10" x14ac:dyDescent="0.3">
      <c r="A1884" s="23" t="str">
        <f t="shared" si="116"/>
        <v xml:space="preserve"> </v>
      </c>
      <c r="B1884" s="24"/>
      <c r="C1884" s="4"/>
      <c r="D1884" s="24"/>
      <c r="E1884" s="24"/>
      <c r="F1884" s="25" t="str">
        <f t="shared" si="117"/>
        <v xml:space="preserve"> </v>
      </c>
      <c r="G1884" s="24"/>
      <c r="H1884" s="25" t="str">
        <f t="shared" si="118"/>
        <v xml:space="preserve"> </v>
      </c>
      <c r="I1884" s="26"/>
      <c r="J1884" s="27" t="str">
        <f t="shared" si="119"/>
        <v xml:space="preserve"> </v>
      </c>
    </row>
    <row r="1885" spans="1:10" x14ac:dyDescent="0.3">
      <c r="A1885" s="23" t="str">
        <f t="shared" si="116"/>
        <v xml:space="preserve"> </v>
      </c>
      <c r="B1885" s="24"/>
      <c r="C1885" s="4"/>
      <c r="D1885" s="24"/>
      <c r="E1885" s="24"/>
      <c r="F1885" s="25" t="str">
        <f t="shared" si="117"/>
        <v xml:space="preserve"> </v>
      </c>
      <c r="G1885" s="24"/>
      <c r="H1885" s="25" t="str">
        <f t="shared" si="118"/>
        <v xml:space="preserve"> </v>
      </c>
      <c r="I1885" s="26"/>
      <c r="J1885" s="27" t="str">
        <f t="shared" si="119"/>
        <v xml:space="preserve"> </v>
      </c>
    </row>
    <row r="1886" spans="1:10" x14ac:dyDescent="0.3">
      <c r="A1886" s="23" t="str">
        <f t="shared" si="116"/>
        <v xml:space="preserve"> </v>
      </c>
      <c r="B1886" s="24"/>
      <c r="C1886" s="4"/>
      <c r="D1886" s="24"/>
      <c r="E1886" s="24"/>
      <c r="F1886" s="25" t="str">
        <f t="shared" si="117"/>
        <v xml:space="preserve"> </v>
      </c>
      <c r="G1886" s="24"/>
      <c r="H1886" s="25" t="str">
        <f t="shared" si="118"/>
        <v xml:space="preserve"> </v>
      </c>
      <c r="I1886" s="26"/>
      <c r="J1886" s="27" t="str">
        <f t="shared" si="119"/>
        <v xml:space="preserve"> </v>
      </c>
    </row>
    <row r="1887" spans="1:10" x14ac:dyDescent="0.3">
      <c r="A1887" s="23" t="str">
        <f t="shared" si="116"/>
        <v xml:space="preserve"> </v>
      </c>
      <c r="B1887" s="24"/>
      <c r="C1887" s="4"/>
      <c r="D1887" s="24"/>
      <c r="E1887" s="24"/>
      <c r="F1887" s="25" t="str">
        <f t="shared" si="117"/>
        <v xml:space="preserve"> </v>
      </c>
      <c r="G1887" s="24"/>
      <c r="H1887" s="25" t="str">
        <f t="shared" si="118"/>
        <v xml:space="preserve"> </v>
      </c>
      <c r="I1887" s="26"/>
      <c r="J1887" s="27" t="str">
        <f t="shared" si="119"/>
        <v xml:space="preserve"> </v>
      </c>
    </row>
    <row r="1888" spans="1:10" x14ac:dyDescent="0.3">
      <c r="A1888" s="23" t="str">
        <f t="shared" si="116"/>
        <v xml:space="preserve"> </v>
      </c>
      <c r="B1888" s="24"/>
      <c r="C1888" s="4"/>
      <c r="D1888" s="24"/>
      <c r="E1888" s="24"/>
      <c r="F1888" s="25" t="str">
        <f t="shared" si="117"/>
        <v xml:space="preserve"> </v>
      </c>
      <c r="G1888" s="24"/>
      <c r="H1888" s="25" t="str">
        <f t="shared" si="118"/>
        <v xml:space="preserve"> </v>
      </c>
      <c r="I1888" s="26"/>
      <c r="J1888" s="27" t="str">
        <f t="shared" si="119"/>
        <v xml:space="preserve"> </v>
      </c>
    </row>
    <row r="1889" spans="1:10" x14ac:dyDescent="0.3">
      <c r="A1889" s="23" t="str">
        <f t="shared" si="116"/>
        <v xml:space="preserve"> </v>
      </c>
      <c r="B1889" s="24"/>
      <c r="C1889" s="4"/>
      <c r="D1889" s="24"/>
      <c r="E1889" s="24"/>
      <c r="F1889" s="25" t="str">
        <f t="shared" si="117"/>
        <v xml:space="preserve"> </v>
      </c>
      <c r="G1889" s="24"/>
      <c r="H1889" s="25" t="str">
        <f t="shared" si="118"/>
        <v xml:space="preserve"> </v>
      </c>
      <c r="I1889" s="26"/>
      <c r="J1889" s="27" t="str">
        <f t="shared" si="119"/>
        <v xml:space="preserve"> </v>
      </c>
    </row>
    <row r="1890" spans="1:10" x14ac:dyDescent="0.3">
      <c r="A1890" s="23" t="str">
        <f t="shared" si="116"/>
        <v xml:space="preserve"> </v>
      </c>
      <c r="B1890" s="24"/>
      <c r="C1890" s="4"/>
      <c r="D1890" s="24"/>
      <c r="E1890" s="24"/>
      <c r="F1890" s="25" t="str">
        <f t="shared" si="117"/>
        <v xml:space="preserve"> </v>
      </c>
      <c r="G1890" s="24"/>
      <c r="H1890" s="25" t="str">
        <f t="shared" si="118"/>
        <v xml:space="preserve"> </v>
      </c>
      <c r="I1890" s="26"/>
      <c r="J1890" s="27" t="str">
        <f t="shared" si="119"/>
        <v xml:space="preserve"> </v>
      </c>
    </row>
    <row r="1891" spans="1:10" x14ac:dyDescent="0.3">
      <c r="A1891" s="23" t="str">
        <f t="shared" si="116"/>
        <v xml:space="preserve"> </v>
      </c>
      <c r="B1891" s="24"/>
      <c r="C1891" s="4"/>
      <c r="D1891" s="24"/>
      <c r="E1891" s="24"/>
      <c r="F1891" s="25" t="str">
        <f t="shared" si="117"/>
        <v xml:space="preserve"> </v>
      </c>
      <c r="G1891" s="24"/>
      <c r="H1891" s="25" t="str">
        <f t="shared" si="118"/>
        <v xml:space="preserve"> </v>
      </c>
      <c r="I1891" s="26"/>
      <c r="J1891" s="27" t="str">
        <f t="shared" si="119"/>
        <v xml:space="preserve"> </v>
      </c>
    </row>
    <row r="1892" spans="1:10" x14ac:dyDescent="0.3">
      <c r="A1892" s="23" t="str">
        <f t="shared" si="116"/>
        <v xml:space="preserve"> </v>
      </c>
      <c r="B1892" s="24"/>
      <c r="C1892" s="4"/>
      <c r="D1892" s="24"/>
      <c r="E1892" s="24"/>
      <c r="F1892" s="25" t="str">
        <f t="shared" si="117"/>
        <v xml:space="preserve"> </v>
      </c>
      <c r="G1892" s="24"/>
      <c r="H1892" s="25" t="str">
        <f t="shared" si="118"/>
        <v xml:space="preserve"> </v>
      </c>
      <c r="I1892" s="26"/>
      <c r="J1892" s="27" t="str">
        <f t="shared" si="119"/>
        <v xml:space="preserve"> </v>
      </c>
    </row>
    <row r="1893" spans="1:10" x14ac:dyDescent="0.3">
      <c r="A1893" s="23" t="str">
        <f t="shared" si="116"/>
        <v xml:space="preserve"> </v>
      </c>
      <c r="B1893" s="24"/>
      <c r="C1893" s="4"/>
      <c r="D1893" s="24"/>
      <c r="E1893" s="24"/>
      <c r="F1893" s="25" t="str">
        <f t="shared" si="117"/>
        <v xml:space="preserve"> </v>
      </c>
      <c r="G1893" s="24"/>
      <c r="H1893" s="25" t="str">
        <f t="shared" si="118"/>
        <v xml:space="preserve"> </v>
      </c>
      <c r="I1893" s="26"/>
      <c r="J1893" s="27" t="str">
        <f t="shared" si="119"/>
        <v xml:space="preserve"> </v>
      </c>
    </row>
    <row r="1894" spans="1:10" x14ac:dyDescent="0.3">
      <c r="A1894" s="23" t="str">
        <f t="shared" si="116"/>
        <v xml:space="preserve"> </v>
      </c>
      <c r="B1894" s="24"/>
      <c r="C1894" s="4"/>
      <c r="D1894" s="24"/>
      <c r="E1894" s="24"/>
      <c r="F1894" s="25" t="str">
        <f t="shared" si="117"/>
        <v xml:space="preserve"> </v>
      </c>
      <c r="G1894" s="24"/>
      <c r="H1894" s="25" t="str">
        <f t="shared" si="118"/>
        <v xml:space="preserve"> </v>
      </c>
      <c r="I1894" s="26"/>
      <c r="J1894" s="27" t="str">
        <f t="shared" si="119"/>
        <v xml:space="preserve"> </v>
      </c>
    </row>
    <row r="1895" spans="1:10" x14ac:dyDescent="0.3">
      <c r="A1895" s="23" t="str">
        <f t="shared" si="116"/>
        <v xml:space="preserve"> </v>
      </c>
      <c r="B1895" s="24"/>
      <c r="C1895" s="4"/>
      <c r="D1895" s="24"/>
      <c r="E1895" s="24"/>
      <c r="F1895" s="25" t="str">
        <f t="shared" si="117"/>
        <v xml:space="preserve"> </v>
      </c>
      <c r="G1895" s="24"/>
      <c r="H1895" s="25" t="str">
        <f t="shared" si="118"/>
        <v xml:space="preserve"> </v>
      </c>
      <c r="I1895" s="26"/>
      <c r="J1895" s="27" t="str">
        <f t="shared" si="119"/>
        <v xml:space="preserve"> </v>
      </c>
    </row>
    <row r="1896" spans="1:10" x14ac:dyDescent="0.3">
      <c r="A1896" s="23" t="str">
        <f t="shared" si="116"/>
        <v xml:space="preserve"> </v>
      </c>
      <c r="B1896" s="24"/>
      <c r="C1896" s="4"/>
      <c r="D1896" s="24"/>
      <c r="E1896" s="24"/>
      <c r="F1896" s="25" t="str">
        <f t="shared" si="117"/>
        <v xml:space="preserve"> </v>
      </c>
      <c r="G1896" s="24"/>
      <c r="H1896" s="25" t="str">
        <f t="shared" si="118"/>
        <v xml:space="preserve"> </v>
      </c>
      <c r="I1896" s="26"/>
      <c r="J1896" s="27" t="str">
        <f t="shared" si="119"/>
        <v xml:space="preserve"> </v>
      </c>
    </row>
    <row r="1897" spans="1:10" x14ac:dyDescent="0.3">
      <c r="A1897" s="23" t="str">
        <f t="shared" si="116"/>
        <v xml:space="preserve"> </v>
      </c>
      <c r="B1897" s="24"/>
      <c r="C1897" s="4"/>
      <c r="D1897" s="24"/>
      <c r="E1897" s="24"/>
      <c r="F1897" s="25" t="str">
        <f t="shared" si="117"/>
        <v xml:space="preserve"> </v>
      </c>
      <c r="G1897" s="24"/>
      <c r="H1897" s="25" t="str">
        <f t="shared" si="118"/>
        <v xml:space="preserve"> </v>
      </c>
      <c r="I1897" s="26"/>
      <c r="J1897" s="27" t="str">
        <f t="shared" si="119"/>
        <v xml:space="preserve"> </v>
      </c>
    </row>
    <row r="1898" spans="1:10" x14ac:dyDescent="0.3">
      <c r="A1898" s="23" t="str">
        <f t="shared" si="116"/>
        <v xml:space="preserve"> </v>
      </c>
      <c r="B1898" s="24"/>
      <c r="C1898" s="4"/>
      <c r="D1898" s="24"/>
      <c r="E1898" s="24"/>
      <c r="F1898" s="25" t="str">
        <f t="shared" si="117"/>
        <v xml:space="preserve"> </v>
      </c>
      <c r="G1898" s="24"/>
      <c r="H1898" s="25" t="str">
        <f t="shared" si="118"/>
        <v xml:space="preserve"> </v>
      </c>
      <c r="I1898" s="26"/>
      <c r="J1898" s="27" t="str">
        <f t="shared" si="119"/>
        <v xml:space="preserve"> </v>
      </c>
    </row>
    <row r="1899" spans="1:10" x14ac:dyDescent="0.3">
      <c r="A1899" s="23" t="str">
        <f t="shared" si="116"/>
        <v xml:space="preserve"> </v>
      </c>
      <c r="B1899" s="24"/>
      <c r="C1899" s="4"/>
      <c r="D1899" s="24"/>
      <c r="E1899" s="24"/>
      <c r="F1899" s="25" t="str">
        <f t="shared" si="117"/>
        <v xml:space="preserve"> </v>
      </c>
      <c r="G1899" s="24"/>
      <c r="H1899" s="25" t="str">
        <f t="shared" si="118"/>
        <v xml:space="preserve"> </v>
      </c>
      <c r="I1899" s="26"/>
      <c r="J1899" s="27" t="str">
        <f t="shared" si="119"/>
        <v xml:space="preserve"> </v>
      </c>
    </row>
    <row r="1900" spans="1:10" x14ac:dyDescent="0.3">
      <c r="A1900" s="23" t="str">
        <f t="shared" si="116"/>
        <v xml:space="preserve"> </v>
      </c>
      <c r="B1900" s="24"/>
      <c r="C1900" s="4"/>
      <c r="D1900" s="24"/>
      <c r="E1900" s="24"/>
      <c r="F1900" s="25" t="str">
        <f t="shared" si="117"/>
        <v xml:space="preserve"> </v>
      </c>
      <c r="G1900" s="24"/>
      <c r="H1900" s="25" t="str">
        <f t="shared" si="118"/>
        <v xml:space="preserve"> </v>
      </c>
      <c r="I1900" s="26"/>
      <c r="J1900" s="27" t="str">
        <f t="shared" si="119"/>
        <v xml:space="preserve"> </v>
      </c>
    </row>
    <row r="1901" spans="1:10" x14ac:dyDescent="0.3">
      <c r="A1901" s="23" t="str">
        <f t="shared" si="116"/>
        <v xml:space="preserve"> </v>
      </c>
      <c r="B1901" s="24"/>
      <c r="C1901" s="4"/>
      <c r="D1901" s="24"/>
      <c r="E1901" s="24"/>
      <c r="F1901" s="25" t="str">
        <f t="shared" si="117"/>
        <v xml:space="preserve"> </v>
      </c>
      <c r="G1901" s="24"/>
      <c r="H1901" s="25" t="str">
        <f t="shared" si="118"/>
        <v xml:space="preserve"> </v>
      </c>
      <c r="I1901" s="26"/>
      <c r="J1901" s="27" t="str">
        <f t="shared" si="119"/>
        <v xml:space="preserve"> </v>
      </c>
    </row>
    <row r="1902" spans="1:10" x14ac:dyDescent="0.3">
      <c r="A1902" s="23" t="str">
        <f t="shared" si="116"/>
        <v xml:space="preserve"> </v>
      </c>
      <c r="B1902" s="24"/>
      <c r="C1902" s="4"/>
      <c r="D1902" s="24"/>
      <c r="E1902" s="24"/>
      <c r="F1902" s="25" t="str">
        <f t="shared" si="117"/>
        <v xml:space="preserve"> </v>
      </c>
      <c r="G1902" s="24"/>
      <c r="H1902" s="25" t="str">
        <f t="shared" si="118"/>
        <v xml:space="preserve"> </v>
      </c>
      <c r="I1902" s="26"/>
      <c r="J1902" s="27" t="str">
        <f t="shared" si="119"/>
        <v xml:space="preserve"> </v>
      </c>
    </row>
    <row r="1903" spans="1:10" x14ac:dyDescent="0.3">
      <c r="A1903" s="23" t="str">
        <f t="shared" si="116"/>
        <v xml:space="preserve"> </v>
      </c>
      <c r="B1903" s="24"/>
      <c r="C1903" s="4"/>
      <c r="D1903" s="24"/>
      <c r="E1903" s="24"/>
      <c r="F1903" s="25" t="str">
        <f t="shared" si="117"/>
        <v xml:space="preserve"> </v>
      </c>
      <c r="G1903" s="24"/>
      <c r="H1903" s="25" t="str">
        <f t="shared" si="118"/>
        <v xml:space="preserve"> </v>
      </c>
      <c r="I1903" s="26"/>
      <c r="J1903" s="27" t="str">
        <f t="shared" si="119"/>
        <v xml:space="preserve"> </v>
      </c>
    </row>
    <row r="1904" spans="1:10" x14ac:dyDescent="0.3">
      <c r="A1904" s="23" t="str">
        <f t="shared" si="116"/>
        <v xml:space="preserve"> </v>
      </c>
      <c r="B1904" s="24"/>
      <c r="C1904" s="4"/>
      <c r="D1904" s="24"/>
      <c r="E1904" s="24"/>
      <c r="F1904" s="25" t="str">
        <f t="shared" si="117"/>
        <v xml:space="preserve"> </v>
      </c>
      <c r="G1904" s="24"/>
      <c r="H1904" s="25" t="str">
        <f t="shared" si="118"/>
        <v xml:space="preserve"> </v>
      </c>
      <c r="I1904" s="26"/>
      <c r="J1904" s="27" t="str">
        <f t="shared" si="119"/>
        <v xml:space="preserve"> </v>
      </c>
    </row>
    <row r="1905" spans="1:10" x14ac:dyDescent="0.3">
      <c r="A1905" s="23" t="str">
        <f t="shared" si="116"/>
        <v xml:space="preserve"> </v>
      </c>
      <c r="B1905" s="24"/>
      <c r="C1905" s="4"/>
      <c r="D1905" s="24"/>
      <c r="E1905" s="24"/>
      <c r="F1905" s="25" t="str">
        <f t="shared" si="117"/>
        <v xml:space="preserve"> </v>
      </c>
      <c r="G1905" s="24"/>
      <c r="H1905" s="25" t="str">
        <f t="shared" si="118"/>
        <v xml:space="preserve"> </v>
      </c>
      <c r="I1905" s="26"/>
      <c r="J1905" s="27" t="str">
        <f t="shared" si="119"/>
        <v xml:space="preserve"> </v>
      </c>
    </row>
    <row r="1906" spans="1:10" x14ac:dyDescent="0.3">
      <c r="A1906" s="23" t="str">
        <f t="shared" si="116"/>
        <v xml:space="preserve"> </v>
      </c>
      <c r="B1906" s="24"/>
      <c r="C1906" s="4"/>
      <c r="D1906" s="24"/>
      <c r="E1906" s="24"/>
      <c r="F1906" s="25" t="str">
        <f t="shared" si="117"/>
        <v xml:space="preserve"> </v>
      </c>
      <c r="G1906" s="24"/>
      <c r="H1906" s="25" t="str">
        <f t="shared" si="118"/>
        <v xml:space="preserve"> </v>
      </c>
      <c r="I1906" s="26"/>
      <c r="J1906" s="27" t="str">
        <f t="shared" si="119"/>
        <v xml:space="preserve"> </v>
      </c>
    </row>
    <row r="1907" spans="1:10" x14ac:dyDescent="0.3">
      <c r="A1907" s="23" t="str">
        <f t="shared" si="116"/>
        <v xml:space="preserve"> </v>
      </c>
      <c r="B1907" s="24"/>
      <c r="C1907" s="4"/>
      <c r="D1907" s="24"/>
      <c r="E1907" s="24"/>
      <c r="F1907" s="25" t="str">
        <f t="shared" si="117"/>
        <v xml:space="preserve"> </v>
      </c>
      <c r="G1907" s="24"/>
      <c r="H1907" s="25" t="str">
        <f t="shared" si="118"/>
        <v xml:space="preserve"> </v>
      </c>
      <c r="I1907" s="26"/>
      <c r="J1907" s="27" t="str">
        <f t="shared" si="119"/>
        <v xml:space="preserve"> </v>
      </c>
    </row>
    <row r="1908" spans="1:10" x14ac:dyDescent="0.3">
      <c r="A1908" s="23" t="str">
        <f t="shared" si="116"/>
        <v xml:space="preserve"> </v>
      </c>
      <c r="B1908" s="24"/>
      <c r="C1908" s="4"/>
      <c r="D1908" s="24"/>
      <c r="E1908" s="24"/>
      <c r="F1908" s="25" t="str">
        <f t="shared" si="117"/>
        <v xml:space="preserve"> </v>
      </c>
      <c r="G1908" s="24"/>
      <c r="H1908" s="25" t="str">
        <f t="shared" si="118"/>
        <v xml:space="preserve"> </v>
      </c>
      <c r="I1908" s="26"/>
      <c r="J1908" s="27" t="str">
        <f t="shared" si="119"/>
        <v xml:space="preserve"> </v>
      </c>
    </row>
    <row r="1909" spans="1:10" x14ac:dyDescent="0.3">
      <c r="A1909" s="23" t="str">
        <f t="shared" si="116"/>
        <v xml:space="preserve"> </v>
      </c>
      <c r="B1909" s="24"/>
      <c r="C1909" s="4"/>
      <c r="D1909" s="24"/>
      <c r="E1909" s="24"/>
      <c r="F1909" s="25" t="str">
        <f t="shared" si="117"/>
        <v xml:space="preserve"> </v>
      </c>
      <c r="G1909" s="24"/>
      <c r="H1909" s="25" t="str">
        <f t="shared" si="118"/>
        <v xml:space="preserve"> </v>
      </c>
      <c r="I1909" s="26"/>
      <c r="J1909" s="27" t="str">
        <f t="shared" si="119"/>
        <v xml:space="preserve"> </v>
      </c>
    </row>
    <row r="1910" spans="1:10" x14ac:dyDescent="0.3">
      <c r="A1910" s="23" t="str">
        <f t="shared" si="116"/>
        <v xml:space="preserve"> </v>
      </c>
      <c r="B1910" s="24"/>
      <c r="C1910" s="4"/>
      <c r="D1910" s="24"/>
      <c r="E1910" s="24"/>
      <c r="F1910" s="25" t="str">
        <f t="shared" si="117"/>
        <v xml:space="preserve"> </v>
      </c>
      <c r="G1910" s="24"/>
      <c r="H1910" s="25" t="str">
        <f t="shared" si="118"/>
        <v xml:space="preserve"> </v>
      </c>
      <c r="I1910" s="26"/>
      <c r="J1910" s="27" t="str">
        <f t="shared" si="119"/>
        <v xml:space="preserve"> </v>
      </c>
    </row>
    <row r="1911" spans="1:10" x14ac:dyDescent="0.3">
      <c r="A1911" s="23" t="str">
        <f t="shared" si="116"/>
        <v xml:space="preserve"> </v>
      </c>
      <c r="B1911" s="24"/>
      <c r="C1911" s="4"/>
      <c r="D1911" s="24"/>
      <c r="E1911" s="24"/>
      <c r="F1911" s="25" t="str">
        <f t="shared" si="117"/>
        <v xml:space="preserve"> </v>
      </c>
      <c r="G1911" s="24"/>
      <c r="H1911" s="25" t="str">
        <f t="shared" si="118"/>
        <v xml:space="preserve"> </v>
      </c>
      <c r="I1911" s="26"/>
      <c r="J1911" s="27" t="str">
        <f t="shared" si="119"/>
        <v xml:space="preserve"> </v>
      </c>
    </row>
    <row r="1912" spans="1:10" x14ac:dyDescent="0.3">
      <c r="A1912" s="23" t="str">
        <f t="shared" si="116"/>
        <v xml:space="preserve"> </v>
      </c>
      <c r="B1912" s="24"/>
      <c r="C1912" s="4"/>
      <c r="D1912" s="24"/>
      <c r="E1912" s="24"/>
      <c r="F1912" s="25" t="str">
        <f t="shared" si="117"/>
        <v xml:space="preserve"> </v>
      </c>
      <c r="G1912" s="24"/>
      <c r="H1912" s="25" t="str">
        <f t="shared" si="118"/>
        <v xml:space="preserve"> </v>
      </c>
      <c r="I1912" s="26"/>
      <c r="J1912" s="27" t="str">
        <f t="shared" si="119"/>
        <v xml:space="preserve"> </v>
      </c>
    </row>
    <row r="1913" spans="1:10" x14ac:dyDescent="0.3">
      <c r="A1913" s="23" t="str">
        <f t="shared" si="116"/>
        <v xml:space="preserve"> </v>
      </c>
      <c r="B1913" s="24"/>
      <c r="C1913" s="4"/>
      <c r="D1913" s="24"/>
      <c r="E1913" s="24"/>
      <c r="F1913" s="25" t="str">
        <f t="shared" si="117"/>
        <v xml:space="preserve"> </v>
      </c>
      <c r="G1913" s="24"/>
      <c r="H1913" s="25" t="str">
        <f t="shared" si="118"/>
        <v xml:space="preserve"> </v>
      </c>
      <c r="I1913" s="26"/>
      <c r="J1913" s="27" t="str">
        <f t="shared" si="119"/>
        <v xml:space="preserve"> </v>
      </c>
    </row>
    <row r="1914" spans="1:10" x14ac:dyDescent="0.3">
      <c r="A1914" s="23" t="str">
        <f t="shared" si="116"/>
        <v xml:space="preserve"> </v>
      </c>
      <c r="B1914" s="24"/>
      <c r="C1914" s="4"/>
      <c r="D1914" s="24"/>
      <c r="E1914" s="24"/>
      <c r="F1914" s="25" t="str">
        <f t="shared" si="117"/>
        <v xml:space="preserve"> </v>
      </c>
      <c r="G1914" s="24"/>
      <c r="H1914" s="25" t="str">
        <f t="shared" si="118"/>
        <v xml:space="preserve"> </v>
      </c>
      <c r="I1914" s="26"/>
      <c r="J1914" s="27" t="str">
        <f t="shared" si="119"/>
        <v xml:space="preserve"> </v>
      </c>
    </row>
    <row r="1915" spans="1:10" x14ac:dyDescent="0.3">
      <c r="A1915" s="23" t="str">
        <f t="shared" si="116"/>
        <v xml:space="preserve"> </v>
      </c>
      <c r="B1915" s="24"/>
      <c r="C1915" s="4"/>
      <c r="D1915" s="24"/>
      <c r="E1915" s="24"/>
      <c r="F1915" s="25" t="str">
        <f t="shared" si="117"/>
        <v xml:space="preserve"> </v>
      </c>
      <c r="G1915" s="24"/>
      <c r="H1915" s="25" t="str">
        <f t="shared" si="118"/>
        <v xml:space="preserve"> </v>
      </c>
      <c r="I1915" s="26"/>
      <c r="J1915" s="27" t="str">
        <f t="shared" si="119"/>
        <v xml:space="preserve"> </v>
      </c>
    </row>
    <row r="1916" spans="1:10" x14ac:dyDescent="0.3">
      <c r="A1916" s="23" t="str">
        <f t="shared" si="116"/>
        <v xml:space="preserve"> </v>
      </c>
      <c r="B1916" s="24"/>
      <c r="C1916" s="4"/>
      <c r="D1916" s="24"/>
      <c r="E1916" s="24"/>
      <c r="F1916" s="25" t="str">
        <f t="shared" si="117"/>
        <v xml:space="preserve"> </v>
      </c>
      <c r="G1916" s="24"/>
      <c r="H1916" s="25" t="str">
        <f t="shared" si="118"/>
        <v xml:space="preserve"> </v>
      </c>
      <c r="I1916" s="26"/>
      <c r="J1916" s="27" t="str">
        <f t="shared" si="119"/>
        <v xml:space="preserve"> </v>
      </c>
    </row>
    <row r="1917" spans="1:10" x14ac:dyDescent="0.3">
      <c r="A1917" s="23" t="str">
        <f t="shared" si="116"/>
        <v xml:space="preserve"> </v>
      </c>
      <c r="B1917" s="24"/>
      <c r="C1917" s="4"/>
      <c r="D1917" s="24"/>
      <c r="E1917" s="24"/>
      <c r="F1917" s="25" t="str">
        <f t="shared" si="117"/>
        <v xml:space="preserve"> </v>
      </c>
      <c r="G1917" s="24"/>
      <c r="H1917" s="25" t="str">
        <f t="shared" si="118"/>
        <v xml:space="preserve"> </v>
      </c>
      <c r="I1917" s="26"/>
      <c r="J1917" s="27" t="str">
        <f t="shared" si="119"/>
        <v xml:space="preserve"> </v>
      </c>
    </row>
    <row r="1918" spans="1:10" x14ac:dyDescent="0.3">
      <c r="A1918" s="23" t="str">
        <f t="shared" si="116"/>
        <v xml:space="preserve"> </v>
      </c>
      <c r="B1918" s="24"/>
      <c r="C1918" s="4"/>
      <c r="D1918" s="24"/>
      <c r="E1918" s="24"/>
      <c r="F1918" s="25" t="str">
        <f t="shared" si="117"/>
        <v xml:space="preserve"> </v>
      </c>
      <c r="G1918" s="24"/>
      <c r="H1918" s="25" t="str">
        <f t="shared" si="118"/>
        <v xml:space="preserve"> </v>
      </c>
      <c r="I1918" s="26"/>
      <c r="J1918" s="27" t="str">
        <f t="shared" si="119"/>
        <v xml:space="preserve"> </v>
      </c>
    </row>
    <row r="1919" spans="1:10" x14ac:dyDescent="0.3">
      <c r="A1919" s="23" t="str">
        <f t="shared" si="116"/>
        <v xml:space="preserve"> </v>
      </c>
      <c r="B1919" s="24"/>
      <c r="C1919" s="4"/>
      <c r="D1919" s="24"/>
      <c r="E1919" s="24"/>
      <c r="F1919" s="25" t="str">
        <f t="shared" si="117"/>
        <v xml:space="preserve"> </v>
      </c>
      <c r="G1919" s="24"/>
      <c r="H1919" s="25" t="str">
        <f t="shared" si="118"/>
        <v xml:space="preserve"> </v>
      </c>
      <c r="I1919" s="26"/>
      <c r="J1919" s="27" t="str">
        <f t="shared" si="119"/>
        <v xml:space="preserve"> </v>
      </c>
    </row>
    <row r="1920" spans="1:10" x14ac:dyDescent="0.3">
      <c r="A1920" s="23" t="str">
        <f t="shared" si="116"/>
        <v xml:space="preserve"> </v>
      </c>
      <c r="B1920" s="24"/>
      <c r="C1920" s="4"/>
      <c r="D1920" s="24"/>
      <c r="E1920" s="24"/>
      <c r="F1920" s="25" t="str">
        <f t="shared" si="117"/>
        <v xml:space="preserve"> </v>
      </c>
      <c r="G1920" s="24"/>
      <c r="H1920" s="25" t="str">
        <f t="shared" si="118"/>
        <v xml:space="preserve"> </v>
      </c>
      <c r="I1920" s="26"/>
      <c r="J1920" s="27" t="str">
        <f t="shared" si="119"/>
        <v xml:space="preserve"> </v>
      </c>
    </row>
    <row r="1921" spans="1:10" x14ac:dyDescent="0.3">
      <c r="A1921" s="23" t="str">
        <f t="shared" si="116"/>
        <v xml:space="preserve"> </v>
      </c>
      <c r="B1921" s="24"/>
      <c r="C1921" s="4"/>
      <c r="D1921" s="24"/>
      <c r="E1921" s="24"/>
      <c r="F1921" s="25" t="str">
        <f t="shared" si="117"/>
        <v xml:space="preserve"> </v>
      </c>
      <c r="G1921" s="24"/>
      <c r="H1921" s="25" t="str">
        <f t="shared" si="118"/>
        <v xml:space="preserve"> </v>
      </c>
      <c r="I1921" s="26"/>
      <c r="J1921" s="27" t="str">
        <f t="shared" si="119"/>
        <v xml:space="preserve"> </v>
      </c>
    </row>
    <row r="1922" spans="1:10" x14ac:dyDescent="0.3">
      <c r="A1922" s="23" t="str">
        <f t="shared" si="116"/>
        <v xml:space="preserve"> </v>
      </c>
      <c r="B1922" s="24"/>
      <c r="C1922" s="4"/>
      <c r="D1922" s="24"/>
      <c r="E1922" s="24"/>
      <c r="F1922" s="25" t="str">
        <f t="shared" si="117"/>
        <v xml:space="preserve"> </v>
      </c>
      <c r="G1922" s="24"/>
      <c r="H1922" s="25" t="str">
        <f t="shared" si="118"/>
        <v xml:space="preserve"> </v>
      </c>
      <c r="I1922" s="26"/>
      <c r="J1922" s="27" t="str">
        <f t="shared" si="119"/>
        <v xml:space="preserve"> </v>
      </c>
    </row>
    <row r="1923" spans="1:10" x14ac:dyDescent="0.3">
      <c r="A1923" s="23" t="str">
        <f t="shared" si="116"/>
        <v xml:space="preserve"> </v>
      </c>
      <c r="B1923" s="24"/>
      <c r="C1923" s="4"/>
      <c r="D1923" s="24"/>
      <c r="E1923" s="24"/>
      <c r="F1923" s="25" t="str">
        <f t="shared" si="117"/>
        <v xml:space="preserve"> </v>
      </c>
      <c r="G1923" s="24"/>
      <c r="H1923" s="25" t="str">
        <f t="shared" si="118"/>
        <v xml:space="preserve"> </v>
      </c>
      <c r="I1923" s="26"/>
      <c r="J1923" s="27" t="str">
        <f t="shared" si="119"/>
        <v xml:space="preserve"> </v>
      </c>
    </row>
    <row r="1924" spans="1:10" x14ac:dyDescent="0.3">
      <c r="A1924" s="23" t="str">
        <f t="shared" si="116"/>
        <v xml:space="preserve"> </v>
      </c>
      <c r="B1924" s="24"/>
      <c r="C1924" s="4"/>
      <c r="D1924" s="24"/>
      <c r="E1924" s="24"/>
      <c r="F1924" s="25" t="str">
        <f t="shared" si="117"/>
        <v xml:space="preserve"> </v>
      </c>
      <c r="G1924" s="24"/>
      <c r="H1924" s="25" t="str">
        <f t="shared" si="118"/>
        <v xml:space="preserve"> </v>
      </c>
      <c r="I1924" s="26"/>
      <c r="J1924" s="27" t="str">
        <f t="shared" si="119"/>
        <v xml:space="preserve"> </v>
      </c>
    </row>
    <row r="1925" spans="1:10" x14ac:dyDescent="0.3">
      <c r="A1925" s="23" t="str">
        <f t="shared" ref="A1925:A1988" si="120">IF(C1925&gt;0,RIGHT($D$3,10)," ")</f>
        <v xml:space="preserve"> </v>
      </c>
      <c r="B1925" s="24"/>
      <c r="C1925" s="4"/>
      <c r="D1925" s="24"/>
      <c r="E1925" s="24"/>
      <c r="F1925" s="25" t="str">
        <f t="shared" ref="F1925:F1988" si="121">IF(C1925&gt;0,$C$3," ")</f>
        <v xml:space="preserve"> </v>
      </c>
      <c r="G1925" s="24"/>
      <c r="H1925" s="25" t="str">
        <f t="shared" ref="H1925:H1988" si="122">IF(G1925&gt;0,"Pcs."," ")</f>
        <v xml:space="preserve"> </v>
      </c>
      <c r="I1925" s="26"/>
      <c r="J1925" s="27" t="str">
        <f t="shared" ref="J1925:J1988" si="123">IF(I1925*G1925=0," ",I1925*G1925)</f>
        <v xml:space="preserve"> </v>
      </c>
    </row>
    <row r="1926" spans="1:10" x14ac:dyDescent="0.3">
      <c r="A1926" s="23" t="str">
        <f t="shared" si="120"/>
        <v xml:space="preserve"> </v>
      </c>
      <c r="B1926" s="24"/>
      <c r="C1926" s="4"/>
      <c r="D1926" s="24"/>
      <c r="E1926" s="24"/>
      <c r="F1926" s="25" t="str">
        <f t="shared" si="121"/>
        <v xml:space="preserve"> </v>
      </c>
      <c r="G1926" s="24"/>
      <c r="H1926" s="25" t="str">
        <f t="shared" si="122"/>
        <v xml:space="preserve"> </v>
      </c>
      <c r="I1926" s="26"/>
      <c r="J1926" s="27" t="str">
        <f t="shared" si="123"/>
        <v xml:space="preserve"> </v>
      </c>
    </row>
    <row r="1927" spans="1:10" x14ac:dyDescent="0.3">
      <c r="A1927" s="23" t="str">
        <f t="shared" si="120"/>
        <v xml:space="preserve"> </v>
      </c>
      <c r="B1927" s="24"/>
      <c r="C1927" s="4"/>
      <c r="D1927" s="24"/>
      <c r="E1927" s="24"/>
      <c r="F1927" s="25" t="str">
        <f t="shared" si="121"/>
        <v xml:space="preserve"> </v>
      </c>
      <c r="G1927" s="24"/>
      <c r="H1927" s="25" t="str">
        <f t="shared" si="122"/>
        <v xml:space="preserve"> </v>
      </c>
      <c r="I1927" s="26"/>
      <c r="J1927" s="27" t="str">
        <f t="shared" si="123"/>
        <v xml:space="preserve"> </v>
      </c>
    </row>
    <row r="1928" spans="1:10" x14ac:dyDescent="0.3">
      <c r="A1928" s="23" t="str">
        <f t="shared" si="120"/>
        <v xml:space="preserve"> </v>
      </c>
      <c r="B1928" s="24"/>
      <c r="C1928" s="4"/>
      <c r="D1928" s="24"/>
      <c r="E1928" s="24"/>
      <c r="F1928" s="25" t="str">
        <f t="shared" si="121"/>
        <v xml:space="preserve"> </v>
      </c>
      <c r="G1928" s="24"/>
      <c r="H1928" s="25" t="str">
        <f t="shared" si="122"/>
        <v xml:space="preserve"> </v>
      </c>
      <c r="I1928" s="26"/>
      <c r="J1928" s="27" t="str">
        <f t="shared" si="123"/>
        <v xml:space="preserve"> </v>
      </c>
    </row>
    <row r="1929" spans="1:10" x14ac:dyDescent="0.3">
      <c r="A1929" s="23" t="str">
        <f t="shared" si="120"/>
        <v xml:space="preserve"> </v>
      </c>
      <c r="B1929" s="24"/>
      <c r="C1929" s="4"/>
      <c r="D1929" s="24"/>
      <c r="E1929" s="24"/>
      <c r="F1929" s="25" t="str">
        <f t="shared" si="121"/>
        <v xml:space="preserve"> </v>
      </c>
      <c r="G1929" s="24"/>
      <c r="H1929" s="25" t="str">
        <f t="shared" si="122"/>
        <v xml:space="preserve"> </v>
      </c>
      <c r="I1929" s="26"/>
      <c r="J1929" s="27" t="str">
        <f t="shared" si="123"/>
        <v xml:space="preserve"> </v>
      </c>
    </row>
    <row r="1930" spans="1:10" x14ac:dyDescent="0.3">
      <c r="A1930" s="23" t="str">
        <f t="shared" si="120"/>
        <v xml:space="preserve"> </v>
      </c>
      <c r="B1930" s="24"/>
      <c r="C1930" s="4"/>
      <c r="D1930" s="24"/>
      <c r="E1930" s="24"/>
      <c r="F1930" s="25" t="str">
        <f t="shared" si="121"/>
        <v xml:space="preserve"> </v>
      </c>
      <c r="G1930" s="24"/>
      <c r="H1930" s="25" t="str">
        <f t="shared" si="122"/>
        <v xml:space="preserve"> </v>
      </c>
      <c r="I1930" s="26"/>
      <c r="J1930" s="27" t="str">
        <f t="shared" si="123"/>
        <v xml:space="preserve"> </v>
      </c>
    </row>
    <row r="1931" spans="1:10" x14ac:dyDescent="0.3">
      <c r="A1931" s="23" t="str">
        <f t="shared" si="120"/>
        <v xml:space="preserve"> </v>
      </c>
      <c r="B1931" s="24"/>
      <c r="C1931" s="4"/>
      <c r="D1931" s="24"/>
      <c r="E1931" s="24"/>
      <c r="F1931" s="25" t="str">
        <f t="shared" si="121"/>
        <v xml:space="preserve"> </v>
      </c>
      <c r="G1931" s="24"/>
      <c r="H1931" s="25" t="str">
        <f t="shared" si="122"/>
        <v xml:space="preserve"> </v>
      </c>
      <c r="I1931" s="26"/>
      <c r="J1931" s="27" t="str">
        <f t="shared" si="123"/>
        <v xml:space="preserve"> </v>
      </c>
    </row>
    <row r="1932" spans="1:10" x14ac:dyDescent="0.3">
      <c r="A1932" s="23" t="str">
        <f t="shared" si="120"/>
        <v xml:space="preserve"> </v>
      </c>
      <c r="B1932" s="24"/>
      <c r="C1932" s="4"/>
      <c r="D1932" s="24"/>
      <c r="E1932" s="24"/>
      <c r="F1932" s="25" t="str">
        <f t="shared" si="121"/>
        <v xml:space="preserve"> </v>
      </c>
      <c r="G1932" s="24"/>
      <c r="H1932" s="25" t="str">
        <f t="shared" si="122"/>
        <v xml:space="preserve"> </v>
      </c>
      <c r="I1932" s="26"/>
      <c r="J1932" s="27" t="str">
        <f t="shared" si="123"/>
        <v xml:space="preserve"> </v>
      </c>
    </row>
    <row r="1933" spans="1:10" x14ac:dyDescent="0.3">
      <c r="A1933" s="23" t="str">
        <f t="shared" si="120"/>
        <v xml:space="preserve"> </v>
      </c>
      <c r="B1933" s="24"/>
      <c r="C1933" s="4"/>
      <c r="D1933" s="24"/>
      <c r="E1933" s="24"/>
      <c r="F1933" s="25" t="str">
        <f t="shared" si="121"/>
        <v xml:space="preserve"> </v>
      </c>
      <c r="G1933" s="24"/>
      <c r="H1933" s="25" t="str">
        <f t="shared" si="122"/>
        <v xml:space="preserve"> </v>
      </c>
      <c r="I1933" s="26"/>
      <c r="J1933" s="27" t="str">
        <f t="shared" si="123"/>
        <v xml:space="preserve"> </v>
      </c>
    </row>
    <row r="1934" spans="1:10" x14ac:dyDescent="0.3">
      <c r="A1934" s="23" t="str">
        <f t="shared" si="120"/>
        <v xml:space="preserve"> </v>
      </c>
      <c r="B1934" s="24"/>
      <c r="C1934" s="4"/>
      <c r="D1934" s="24"/>
      <c r="E1934" s="24"/>
      <c r="F1934" s="25" t="str">
        <f t="shared" si="121"/>
        <v xml:space="preserve"> </v>
      </c>
      <c r="G1934" s="24"/>
      <c r="H1934" s="25" t="str">
        <f t="shared" si="122"/>
        <v xml:space="preserve"> </v>
      </c>
      <c r="I1934" s="26"/>
      <c r="J1934" s="27" t="str">
        <f t="shared" si="123"/>
        <v xml:space="preserve"> </v>
      </c>
    </row>
    <row r="1935" spans="1:10" x14ac:dyDescent="0.3">
      <c r="A1935" s="23" t="str">
        <f t="shared" si="120"/>
        <v xml:space="preserve"> </v>
      </c>
      <c r="B1935" s="24"/>
      <c r="C1935" s="4"/>
      <c r="D1935" s="24"/>
      <c r="E1935" s="24"/>
      <c r="F1935" s="25" t="str">
        <f t="shared" si="121"/>
        <v xml:space="preserve"> </v>
      </c>
      <c r="G1935" s="24"/>
      <c r="H1935" s="25" t="str">
        <f t="shared" si="122"/>
        <v xml:space="preserve"> </v>
      </c>
      <c r="I1935" s="26"/>
      <c r="J1935" s="27" t="str">
        <f t="shared" si="123"/>
        <v xml:space="preserve"> </v>
      </c>
    </row>
    <row r="1936" spans="1:10" x14ac:dyDescent="0.3">
      <c r="A1936" s="23" t="str">
        <f t="shared" si="120"/>
        <v xml:space="preserve"> </v>
      </c>
      <c r="B1936" s="24"/>
      <c r="C1936" s="4"/>
      <c r="D1936" s="24"/>
      <c r="E1936" s="24"/>
      <c r="F1936" s="25" t="str">
        <f t="shared" si="121"/>
        <v xml:space="preserve"> </v>
      </c>
      <c r="G1936" s="24"/>
      <c r="H1936" s="25" t="str">
        <f t="shared" si="122"/>
        <v xml:space="preserve"> </v>
      </c>
      <c r="I1936" s="26"/>
      <c r="J1936" s="27" t="str">
        <f t="shared" si="123"/>
        <v xml:space="preserve"> </v>
      </c>
    </row>
    <row r="1937" spans="1:10" x14ac:dyDescent="0.3">
      <c r="A1937" s="23" t="str">
        <f t="shared" si="120"/>
        <v xml:space="preserve"> </v>
      </c>
      <c r="B1937" s="24"/>
      <c r="C1937" s="4"/>
      <c r="D1937" s="24"/>
      <c r="E1937" s="24"/>
      <c r="F1937" s="25" t="str">
        <f t="shared" si="121"/>
        <v xml:space="preserve"> </v>
      </c>
      <c r="G1937" s="24"/>
      <c r="H1937" s="25" t="str">
        <f t="shared" si="122"/>
        <v xml:space="preserve"> </v>
      </c>
      <c r="I1937" s="26"/>
      <c r="J1937" s="27" t="str">
        <f t="shared" si="123"/>
        <v xml:space="preserve"> </v>
      </c>
    </row>
    <row r="1938" spans="1:10" x14ac:dyDescent="0.3">
      <c r="A1938" s="23" t="str">
        <f t="shared" si="120"/>
        <v xml:space="preserve"> </v>
      </c>
      <c r="B1938" s="24"/>
      <c r="C1938" s="4"/>
      <c r="D1938" s="24"/>
      <c r="E1938" s="24"/>
      <c r="F1938" s="25" t="str">
        <f t="shared" si="121"/>
        <v xml:space="preserve"> </v>
      </c>
      <c r="G1938" s="24"/>
      <c r="H1938" s="25" t="str">
        <f t="shared" si="122"/>
        <v xml:space="preserve"> </v>
      </c>
      <c r="I1938" s="26"/>
      <c r="J1938" s="27" t="str">
        <f t="shared" si="123"/>
        <v xml:space="preserve"> </v>
      </c>
    </row>
    <row r="1939" spans="1:10" x14ac:dyDescent="0.3">
      <c r="A1939" s="23" t="str">
        <f t="shared" si="120"/>
        <v xml:space="preserve"> </v>
      </c>
      <c r="B1939" s="24"/>
      <c r="C1939" s="4"/>
      <c r="D1939" s="24"/>
      <c r="E1939" s="24"/>
      <c r="F1939" s="25" t="str">
        <f t="shared" si="121"/>
        <v xml:space="preserve"> </v>
      </c>
      <c r="G1939" s="24"/>
      <c r="H1939" s="25" t="str">
        <f t="shared" si="122"/>
        <v xml:space="preserve"> </v>
      </c>
      <c r="I1939" s="26"/>
      <c r="J1939" s="27" t="str">
        <f t="shared" si="123"/>
        <v xml:space="preserve"> </v>
      </c>
    </row>
    <row r="1940" spans="1:10" x14ac:dyDescent="0.3">
      <c r="A1940" s="23" t="str">
        <f t="shared" si="120"/>
        <v xml:space="preserve"> </v>
      </c>
      <c r="B1940" s="24"/>
      <c r="C1940" s="4"/>
      <c r="D1940" s="24"/>
      <c r="E1940" s="24"/>
      <c r="F1940" s="25" t="str">
        <f t="shared" si="121"/>
        <v xml:space="preserve"> </v>
      </c>
      <c r="G1940" s="24"/>
      <c r="H1940" s="25" t="str">
        <f t="shared" si="122"/>
        <v xml:space="preserve"> </v>
      </c>
      <c r="I1940" s="26"/>
      <c r="J1940" s="27" t="str">
        <f t="shared" si="123"/>
        <v xml:space="preserve"> </v>
      </c>
    </row>
    <row r="1941" spans="1:10" x14ac:dyDescent="0.3">
      <c r="A1941" s="23" t="str">
        <f t="shared" si="120"/>
        <v xml:space="preserve"> </v>
      </c>
      <c r="B1941" s="24"/>
      <c r="C1941" s="4"/>
      <c r="D1941" s="24"/>
      <c r="E1941" s="24"/>
      <c r="F1941" s="25" t="str">
        <f t="shared" si="121"/>
        <v xml:space="preserve"> </v>
      </c>
      <c r="G1941" s="24"/>
      <c r="H1941" s="25" t="str">
        <f t="shared" si="122"/>
        <v xml:space="preserve"> </v>
      </c>
      <c r="I1941" s="26"/>
      <c r="J1941" s="27" t="str">
        <f t="shared" si="123"/>
        <v xml:space="preserve"> </v>
      </c>
    </row>
    <row r="1942" spans="1:10" x14ac:dyDescent="0.3">
      <c r="A1942" s="23" t="str">
        <f t="shared" si="120"/>
        <v xml:space="preserve"> </v>
      </c>
      <c r="B1942" s="24"/>
      <c r="C1942" s="4"/>
      <c r="D1942" s="24"/>
      <c r="E1942" s="24"/>
      <c r="F1942" s="25" t="str">
        <f t="shared" si="121"/>
        <v xml:space="preserve"> </v>
      </c>
      <c r="G1942" s="24"/>
      <c r="H1942" s="25" t="str">
        <f t="shared" si="122"/>
        <v xml:space="preserve"> </v>
      </c>
      <c r="I1942" s="26"/>
      <c r="J1942" s="27" t="str">
        <f t="shared" si="123"/>
        <v xml:space="preserve"> </v>
      </c>
    </row>
    <row r="1943" spans="1:10" x14ac:dyDescent="0.3">
      <c r="A1943" s="23" t="str">
        <f t="shared" si="120"/>
        <v xml:space="preserve"> </v>
      </c>
      <c r="B1943" s="24"/>
      <c r="C1943" s="4"/>
      <c r="D1943" s="24"/>
      <c r="E1943" s="24"/>
      <c r="F1943" s="25" t="str">
        <f t="shared" si="121"/>
        <v xml:space="preserve"> </v>
      </c>
      <c r="G1943" s="24"/>
      <c r="H1943" s="25" t="str">
        <f t="shared" si="122"/>
        <v xml:space="preserve"> </v>
      </c>
      <c r="I1943" s="26"/>
      <c r="J1943" s="27" t="str">
        <f t="shared" si="123"/>
        <v xml:space="preserve"> </v>
      </c>
    </row>
    <row r="1944" spans="1:10" x14ac:dyDescent="0.3">
      <c r="A1944" s="23" t="str">
        <f t="shared" si="120"/>
        <v xml:space="preserve"> </v>
      </c>
      <c r="B1944" s="24"/>
      <c r="C1944" s="4"/>
      <c r="D1944" s="24"/>
      <c r="E1944" s="24"/>
      <c r="F1944" s="25" t="str">
        <f t="shared" si="121"/>
        <v xml:space="preserve"> </v>
      </c>
      <c r="G1944" s="24"/>
      <c r="H1944" s="25" t="str">
        <f t="shared" si="122"/>
        <v xml:space="preserve"> </v>
      </c>
      <c r="I1944" s="26"/>
      <c r="J1944" s="27" t="str">
        <f t="shared" si="123"/>
        <v xml:space="preserve"> </v>
      </c>
    </row>
    <row r="1945" spans="1:10" x14ac:dyDescent="0.3">
      <c r="A1945" s="23" t="str">
        <f t="shared" si="120"/>
        <v xml:space="preserve"> </v>
      </c>
      <c r="B1945" s="24"/>
      <c r="C1945" s="4"/>
      <c r="D1945" s="24"/>
      <c r="E1945" s="24"/>
      <c r="F1945" s="25" t="str">
        <f t="shared" si="121"/>
        <v xml:space="preserve"> </v>
      </c>
      <c r="G1945" s="24"/>
      <c r="H1945" s="25" t="str">
        <f t="shared" si="122"/>
        <v xml:space="preserve"> </v>
      </c>
      <c r="I1945" s="26"/>
      <c r="J1945" s="27" t="str">
        <f t="shared" si="123"/>
        <v xml:space="preserve"> </v>
      </c>
    </row>
    <row r="1946" spans="1:10" x14ac:dyDescent="0.3">
      <c r="A1946" s="23" t="str">
        <f t="shared" si="120"/>
        <v xml:space="preserve"> </v>
      </c>
      <c r="B1946" s="24"/>
      <c r="C1946" s="4"/>
      <c r="D1946" s="24"/>
      <c r="E1946" s="24"/>
      <c r="F1946" s="25" t="str">
        <f t="shared" si="121"/>
        <v xml:space="preserve"> </v>
      </c>
      <c r="G1946" s="24"/>
      <c r="H1946" s="25" t="str">
        <f t="shared" si="122"/>
        <v xml:space="preserve"> </v>
      </c>
      <c r="I1946" s="26"/>
      <c r="J1946" s="27" t="str">
        <f t="shared" si="123"/>
        <v xml:space="preserve"> </v>
      </c>
    </row>
    <row r="1947" spans="1:10" x14ac:dyDescent="0.3">
      <c r="A1947" s="23" t="str">
        <f t="shared" si="120"/>
        <v xml:space="preserve"> </v>
      </c>
      <c r="B1947" s="24"/>
      <c r="C1947" s="4"/>
      <c r="D1947" s="24"/>
      <c r="E1947" s="24"/>
      <c r="F1947" s="25" t="str">
        <f t="shared" si="121"/>
        <v xml:space="preserve"> </v>
      </c>
      <c r="G1947" s="24"/>
      <c r="H1947" s="25" t="str">
        <f t="shared" si="122"/>
        <v xml:space="preserve"> </v>
      </c>
      <c r="I1947" s="26"/>
      <c r="J1947" s="27" t="str">
        <f t="shared" si="123"/>
        <v xml:space="preserve"> </v>
      </c>
    </row>
    <row r="1948" spans="1:10" x14ac:dyDescent="0.3">
      <c r="A1948" s="23" t="str">
        <f t="shared" si="120"/>
        <v xml:space="preserve"> </v>
      </c>
      <c r="B1948" s="24"/>
      <c r="C1948" s="4"/>
      <c r="D1948" s="24"/>
      <c r="E1948" s="24"/>
      <c r="F1948" s="25" t="str">
        <f t="shared" si="121"/>
        <v xml:space="preserve"> </v>
      </c>
      <c r="G1948" s="24"/>
      <c r="H1948" s="25" t="str">
        <f t="shared" si="122"/>
        <v xml:space="preserve"> </v>
      </c>
      <c r="I1948" s="26"/>
      <c r="J1948" s="27" t="str">
        <f t="shared" si="123"/>
        <v xml:space="preserve"> </v>
      </c>
    </row>
    <row r="1949" spans="1:10" x14ac:dyDescent="0.3">
      <c r="A1949" s="23" t="str">
        <f t="shared" si="120"/>
        <v xml:space="preserve"> </v>
      </c>
      <c r="B1949" s="24"/>
      <c r="C1949" s="4"/>
      <c r="D1949" s="24"/>
      <c r="E1949" s="24"/>
      <c r="F1949" s="25" t="str">
        <f t="shared" si="121"/>
        <v xml:space="preserve"> </v>
      </c>
      <c r="G1949" s="24"/>
      <c r="H1949" s="25" t="str">
        <f t="shared" si="122"/>
        <v xml:space="preserve"> </v>
      </c>
      <c r="I1949" s="26"/>
      <c r="J1949" s="27" t="str">
        <f t="shared" si="123"/>
        <v xml:space="preserve"> </v>
      </c>
    </row>
    <row r="1950" spans="1:10" x14ac:dyDescent="0.3">
      <c r="A1950" s="23" t="str">
        <f t="shared" si="120"/>
        <v xml:space="preserve"> </v>
      </c>
      <c r="B1950" s="24"/>
      <c r="C1950" s="4"/>
      <c r="D1950" s="24"/>
      <c r="E1950" s="24"/>
      <c r="F1950" s="25" t="str">
        <f t="shared" si="121"/>
        <v xml:space="preserve"> </v>
      </c>
      <c r="G1950" s="24"/>
      <c r="H1950" s="25" t="str">
        <f t="shared" si="122"/>
        <v xml:space="preserve"> </v>
      </c>
      <c r="I1950" s="26"/>
      <c r="J1950" s="27" t="str">
        <f t="shared" si="123"/>
        <v xml:space="preserve"> </v>
      </c>
    </row>
    <row r="1951" spans="1:10" x14ac:dyDescent="0.3">
      <c r="A1951" s="23" t="str">
        <f t="shared" si="120"/>
        <v xml:space="preserve"> </v>
      </c>
      <c r="B1951" s="24"/>
      <c r="C1951" s="4"/>
      <c r="D1951" s="24"/>
      <c r="E1951" s="24"/>
      <c r="F1951" s="25" t="str">
        <f t="shared" si="121"/>
        <v xml:space="preserve"> </v>
      </c>
      <c r="G1951" s="24"/>
      <c r="H1951" s="25" t="str">
        <f t="shared" si="122"/>
        <v xml:space="preserve"> </v>
      </c>
      <c r="I1951" s="26"/>
      <c r="J1951" s="27" t="str">
        <f t="shared" si="123"/>
        <v xml:space="preserve"> </v>
      </c>
    </row>
    <row r="1952" spans="1:10" x14ac:dyDescent="0.3">
      <c r="A1952" s="23" t="str">
        <f t="shared" si="120"/>
        <v xml:space="preserve"> </v>
      </c>
      <c r="B1952" s="24"/>
      <c r="C1952" s="4"/>
      <c r="D1952" s="24"/>
      <c r="E1952" s="24"/>
      <c r="F1952" s="25" t="str">
        <f t="shared" si="121"/>
        <v xml:space="preserve"> </v>
      </c>
      <c r="G1952" s="24"/>
      <c r="H1952" s="25" t="str">
        <f t="shared" si="122"/>
        <v xml:space="preserve"> </v>
      </c>
      <c r="I1952" s="26"/>
      <c r="J1952" s="27" t="str">
        <f t="shared" si="123"/>
        <v xml:space="preserve"> </v>
      </c>
    </row>
    <row r="1953" spans="1:10" x14ac:dyDescent="0.3">
      <c r="A1953" s="23" t="str">
        <f t="shared" si="120"/>
        <v xml:space="preserve"> </v>
      </c>
      <c r="B1953" s="24"/>
      <c r="C1953" s="4"/>
      <c r="D1953" s="24"/>
      <c r="E1953" s="24"/>
      <c r="F1953" s="25" t="str">
        <f t="shared" si="121"/>
        <v xml:space="preserve"> </v>
      </c>
      <c r="G1953" s="24"/>
      <c r="H1953" s="25" t="str">
        <f t="shared" si="122"/>
        <v xml:space="preserve"> </v>
      </c>
      <c r="I1953" s="26"/>
      <c r="J1953" s="27" t="str">
        <f t="shared" si="123"/>
        <v xml:space="preserve"> </v>
      </c>
    </row>
    <row r="1954" spans="1:10" x14ac:dyDescent="0.3">
      <c r="A1954" s="23" t="str">
        <f t="shared" si="120"/>
        <v xml:space="preserve"> </v>
      </c>
      <c r="B1954" s="24"/>
      <c r="C1954" s="4"/>
      <c r="D1954" s="24"/>
      <c r="E1954" s="24"/>
      <c r="F1954" s="25" t="str">
        <f t="shared" si="121"/>
        <v xml:space="preserve"> </v>
      </c>
      <c r="G1954" s="24"/>
      <c r="H1954" s="25" t="str">
        <f t="shared" si="122"/>
        <v xml:space="preserve"> </v>
      </c>
      <c r="I1954" s="26"/>
      <c r="J1954" s="27" t="str">
        <f t="shared" si="123"/>
        <v xml:space="preserve"> </v>
      </c>
    </row>
    <row r="1955" spans="1:10" x14ac:dyDescent="0.3">
      <c r="A1955" s="23" t="str">
        <f t="shared" si="120"/>
        <v xml:space="preserve"> </v>
      </c>
      <c r="B1955" s="24"/>
      <c r="C1955" s="4"/>
      <c r="D1955" s="24"/>
      <c r="E1955" s="24"/>
      <c r="F1955" s="25" t="str">
        <f t="shared" si="121"/>
        <v xml:space="preserve"> </v>
      </c>
      <c r="G1955" s="24"/>
      <c r="H1955" s="25" t="str">
        <f t="shared" si="122"/>
        <v xml:space="preserve"> </v>
      </c>
      <c r="I1955" s="26"/>
      <c r="J1955" s="27" t="str">
        <f t="shared" si="123"/>
        <v xml:space="preserve"> </v>
      </c>
    </row>
    <row r="1956" spans="1:10" x14ac:dyDescent="0.3">
      <c r="A1956" s="23" t="str">
        <f t="shared" si="120"/>
        <v xml:space="preserve"> </v>
      </c>
      <c r="B1956" s="24"/>
      <c r="C1956" s="4"/>
      <c r="D1956" s="24"/>
      <c r="E1956" s="24"/>
      <c r="F1956" s="25" t="str">
        <f t="shared" si="121"/>
        <v xml:space="preserve"> </v>
      </c>
      <c r="G1956" s="24"/>
      <c r="H1956" s="25" t="str">
        <f t="shared" si="122"/>
        <v xml:space="preserve"> </v>
      </c>
      <c r="I1956" s="26"/>
      <c r="J1956" s="27" t="str">
        <f t="shared" si="123"/>
        <v xml:space="preserve"> </v>
      </c>
    </row>
    <row r="1957" spans="1:10" x14ac:dyDescent="0.3">
      <c r="A1957" s="23" t="str">
        <f t="shared" si="120"/>
        <v xml:space="preserve"> </v>
      </c>
      <c r="B1957" s="24"/>
      <c r="C1957" s="4"/>
      <c r="D1957" s="24"/>
      <c r="E1957" s="24"/>
      <c r="F1957" s="25" t="str">
        <f t="shared" si="121"/>
        <v xml:space="preserve"> </v>
      </c>
      <c r="G1957" s="24"/>
      <c r="H1957" s="25" t="str">
        <f t="shared" si="122"/>
        <v xml:space="preserve"> </v>
      </c>
      <c r="I1957" s="26"/>
      <c r="J1957" s="27" t="str">
        <f t="shared" si="123"/>
        <v xml:space="preserve"> </v>
      </c>
    </row>
    <row r="1958" spans="1:10" x14ac:dyDescent="0.3">
      <c r="A1958" s="23" t="str">
        <f t="shared" si="120"/>
        <v xml:space="preserve"> </v>
      </c>
      <c r="B1958" s="24"/>
      <c r="C1958" s="4"/>
      <c r="D1958" s="24"/>
      <c r="E1958" s="24"/>
      <c r="F1958" s="25" t="str">
        <f t="shared" si="121"/>
        <v xml:space="preserve"> </v>
      </c>
      <c r="G1958" s="24"/>
      <c r="H1958" s="25" t="str">
        <f t="shared" si="122"/>
        <v xml:space="preserve"> </v>
      </c>
      <c r="I1958" s="26"/>
      <c r="J1958" s="27" t="str">
        <f t="shared" si="123"/>
        <v xml:space="preserve"> </v>
      </c>
    </row>
    <row r="1959" spans="1:10" x14ac:dyDescent="0.3">
      <c r="A1959" s="23" t="str">
        <f t="shared" si="120"/>
        <v xml:space="preserve"> </v>
      </c>
      <c r="B1959" s="24"/>
      <c r="C1959" s="4"/>
      <c r="D1959" s="24"/>
      <c r="E1959" s="24"/>
      <c r="F1959" s="25" t="str">
        <f t="shared" si="121"/>
        <v xml:space="preserve"> </v>
      </c>
      <c r="G1959" s="24"/>
      <c r="H1959" s="25" t="str">
        <f t="shared" si="122"/>
        <v xml:space="preserve"> </v>
      </c>
      <c r="I1959" s="26"/>
      <c r="J1959" s="27" t="str">
        <f t="shared" si="123"/>
        <v xml:space="preserve"> </v>
      </c>
    </row>
    <row r="1960" spans="1:10" x14ac:dyDescent="0.3">
      <c r="A1960" s="23" t="str">
        <f t="shared" si="120"/>
        <v xml:space="preserve"> </v>
      </c>
      <c r="B1960" s="24"/>
      <c r="C1960" s="4"/>
      <c r="D1960" s="24"/>
      <c r="E1960" s="24"/>
      <c r="F1960" s="25" t="str">
        <f t="shared" si="121"/>
        <v xml:space="preserve"> </v>
      </c>
      <c r="G1960" s="24"/>
      <c r="H1960" s="25" t="str">
        <f t="shared" si="122"/>
        <v xml:space="preserve"> </v>
      </c>
      <c r="I1960" s="26"/>
      <c r="J1960" s="27" t="str">
        <f t="shared" si="123"/>
        <v xml:space="preserve"> </v>
      </c>
    </row>
    <row r="1961" spans="1:10" x14ac:dyDescent="0.3">
      <c r="A1961" s="23" t="str">
        <f t="shared" si="120"/>
        <v xml:space="preserve"> </v>
      </c>
      <c r="B1961" s="24"/>
      <c r="C1961" s="4"/>
      <c r="D1961" s="24"/>
      <c r="E1961" s="24"/>
      <c r="F1961" s="25" t="str">
        <f t="shared" si="121"/>
        <v xml:space="preserve"> </v>
      </c>
      <c r="G1961" s="24"/>
      <c r="H1961" s="25" t="str">
        <f t="shared" si="122"/>
        <v xml:space="preserve"> </v>
      </c>
      <c r="I1961" s="26"/>
      <c r="J1961" s="27" t="str">
        <f t="shared" si="123"/>
        <v xml:space="preserve"> </v>
      </c>
    </row>
    <row r="1962" spans="1:10" x14ac:dyDescent="0.3">
      <c r="A1962" s="23" t="str">
        <f t="shared" si="120"/>
        <v xml:space="preserve"> </v>
      </c>
      <c r="B1962" s="24"/>
      <c r="C1962" s="4"/>
      <c r="D1962" s="24"/>
      <c r="E1962" s="24"/>
      <c r="F1962" s="25" t="str">
        <f t="shared" si="121"/>
        <v xml:space="preserve"> </v>
      </c>
      <c r="G1962" s="24"/>
      <c r="H1962" s="25" t="str">
        <f t="shared" si="122"/>
        <v xml:space="preserve"> </v>
      </c>
      <c r="I1962" s="26"/>
      <c r="J1962" s="27" t="str">
        <f t="shared" si="123"/>
        <v xml:space="preserve"> </v>
      </c>
    </row>
    <row r="1963" spans="1:10" x14ac:dyDescent="0.3">
      <c r="A1963" s="23" t="str">
        <f t="shared" si="120"/>
        <v xml:space="preserve"> </v>
      </c>
      <c r="B1963" s="24"/>
      <c r="C1963" s="4"/>
      <c r="D1963" s="24"/>
      <c r="E1963" s="24"/>
      <c r="F1963" s="25" t="str">
        <f t="shared" si="121"/>
        <v xml:space="preserve"> </v>
      </c>
      <c r="G1963" s="24"/>
      <c r="H1963" s="25" t="str">
        <f t="shared" si="122"/>
        <v xml:space="preserve"> </v>
      </c>
      <c r="I1963" s="26"/>
      <c r="J1963" s="27" t="str">
        <f t="shared" si="123"/>
        <v xml:space="preserve"> </v>
      </c>
    </row>
    <row r="1964" spans="1:10" x14ac:dyDescent="0.3">
      <c r="A1964" s="23" t="str">
        <f t="shared" si="120"/>
        <v xml:space="preserve"> </v>
      </c>
      <c r="B1964" s="24"/>
      <c r="C1964" s="4"/>
      <c r="D1964" s="24"/>
      <c r="E1964" s="24"/>
      <c r="F1964" s="25" t="str">
        <f t="shared" si="121"/>
        <v xml:space="preserve"> </v>
      </c>
      <c r="G1964" s="24"/>
      <c r="H1964" s="25" t="str">
        <f t="shared" si="122"/>
        <v xml:space="preserve"> </v>
      </c>
      <c r="I1964" s="26"/>
      <c r="J1964" s="27" t="str">
        <f t="shared" si="123"/>
        <v xml:space="preserve"> </v>
      </c>
    </row>
    <row r="1965" spans="1:10" x14ac:dyDescent="0.3">
      <c r="A1965" s="23" t="str">
        <f t="shared" si="120"/>
        <v xml:space="preserve"> </v>
      </c>
      <c r="B1965" s="24"/>
      <c r="C1965" s="4"/>
      <c r="D1965" s="24"/>
      <c r="E1965" s="24"/>
      <c r="F1965" s="25" t="str">
        <f t="shared" si="121"/>
        <v xml:space="preserve"> </v>
      </c>
      <c r="G1965" s="24"/>
      <c r="H1965" s="25" t="str">
        <f t="shared" si="122"/>
        <v xml:space="preserve"> </v>
      </c>
      <c r="I1965" s="26"/>
      <c r="J1965" s="27" t="str">
        <f t="shared" si="123"/>
        <v xml:space="preserve"> </v>
      </c>
    </row>
    <row r="1966" spans="1:10" x14ac:dyDescent="0.3">
      <c r="A1966" s="23" t="str">
        <f t="shared" si="120"/>
        <v xml:space="preserve"> </v>
      </c>
      <c r="B1966" s="24"/>
      <c r="C1966" s="4"/>
      <c r="D1966" s="24"/>
      <c r="E1966" s="24"/>
      <c r="F1966" s="25" t="str">
        <f t="shared" si="121"/>
        <v xml:space="preserve"> </v>
      </c>
      <c r="G1966" s="24"/>
      <c r="H1966" s="25" t="str">
        <f t="shared" si="122"/>
        <v xml:space="preserve"> </v>
      </c>
      <c r="I1966" s="26"/>
      <c r="J1966" s="27" t="str">
        <f t="shared" si="123"/>
        <v xml:space="preserve"> </v>
      </c>
    </row>
    <row r="1967" spans="1:10" x14ac:dyDescent="0.3">
      <c r="A1967" s="23" t="str">
        <f t="shared" si="120"/>
        <v xml:space="preserve"> </v>
      </c>
      <c r="B1967" s="24"/>
      <c r="C1967" s="4"/>
      <c r="D1967" s="24"/>
      <c r="E1967" s="24"/>
      <c r="F1967" s="25" t="str">
        <f t="shared" si="121"/>
        <v xml:space="preserve"> </v>
      </c>
      <c r="G1967" s="24"/>
      <c r="H1967" s="25" t="str">
        <f t="shared" si="122"/>
        <v xml:space="preserve"> </v>
      </c>
      <c r="I1967" s="26"/>
      <c r="J1967" s="27" t="str">
        <f t="shared" si="123"/>
        <v xml:space="preserve"> </v>
      </c>
    </row>
    <row r="1968" spans="1:10" x14ac:dyDescent="0.3">
      <c r="A1968" s="23" t="str">
        <f t="shared" si="120"/>
        <v xml:space="preserve"> </v>
      </c>
      <c r="B1968" s="24"/>
      <c r="C1968" s="4"/>
      <c r="D1968" s="24"/>
      <c r="E1968" s="24"/>
      <c r="F1968" s="25" t="str">
        <f t="shared" si="121"/>
        <v xml:space="preserve"> </v>
      </c>
      <c r="G1968" s="24"/>
      <c r="H1968" s="25" t="str">
        <f t="shared" si="122"/>
        <v xml:space="preserve"> </v>
      </c>
      <c r="I1968" s="26"/>
      <c r="J1968" s="27" t="str">
        <f t="shared" si="123"/>
        <v xml:space="preserve"> </v>
      </c>
    </row>
    <row r="1969" spans="1:10" x14ac:dyDescent="0.3">
      <c r="A1969" s="23" t="str">
        <f t="shared" si="120"/>
        <v xml:space="preserve"> </v>
      </c>
      <c r="B1969" s="24"/>
      <c r="C1969" s="4"/>
      <c r="D1969" s="24"/>
      <c r="E1969" s="24"/>
      <c r="F1969" s="25" t="str">
        <f t="shared" si="121"/>
        <v xml:space="preserve"> </v>
      </c>
      <c r="G1969" s="24"/>
      <c r="H1969" s="25" t="str">
        <f t="shared" si="122"/>
        <v xml:space="preserve"> </v>
      </c>
      <c r="I1969" s="26"/>
      <c r="J1969" s="27" t="str">
        <f t="shared" si="123"/>
        <v xml:space="preserve"> </v>
      </c>
    </row>
    <row r="1970" spans="1:10" x14ac:dyDescent="0.3">
      <c r="A1970" s="23" t="str">
        <f t="shared" si="120"/>
        <v xml:space="preserve"> </v>
      </c>
      <c r="B1970" s="24"/>
      <c r="C1970" s="4"/>
      <c r="D1970" s="24"/>
      <c r="E1970" s="24"/>
      <c r="F1970" s="25" t="str">
        <f t="shared" si="121"/>
        <v xml:space="preserve"> </v>
      </c>
      <c r="G1970" s="24"/>
      <c r="H1970" s="25" t="str">
        <f t="shared" si="122"/>
        <v xml:space="preserve"> </v>
      </c>
      <c r="I1970" s="26"/>
      <c r="J1970" s="27" t="str">
        <f t="shared" si="123"/>
        <v xml:space="preserve"> </v>
      </c>
    </row>
    <row r="1971" spans="1:10" x14ac:dyDescent="0.3">
      <c r="A1971" s="23" t="str">
        <f t="shared" si="120"/>
        <v xml:space="preserve"> </v>
      </c>
      <c r="B1971" s="24"/>
      <c r="C1971" s="4"/>
      <c r="D1971" s="24"/>
      <c r="E1971" s="24"/>
      <c r="F1971" s="25" t="str">
        <f t="shared" si="121"/>
        <v xml:space="preserve"> </v>
      </c>
      <c r="G1971" s="24"/>
      <c r="H1971" s="25" t="str">
        <f t="shared" si="122"/>
        <v xml:space="preserve"> </v>
      </c>
      <c r="I1971" s="26"/>
      <c r="J1971" s="27" t="str">
        <f t="shared" si="123"/>
        <v xml:space="preserve"> </v>
      </c>
    </row>
    <row r="1972" spans="1:10" x14ac:dyDescent="0.3">
      <c r="A1972" s="23" t="str">
        <f t="shared" si="120"/>
        <v xml:space="preserve"> </v>
      </c>
      <c r="B1972" s="24"/>
      <c r="C1972" s="4"/>
      <c r="D1972" s="24"/>
      <c r="E1972" s="24"/>
      <c r="F1972" s="25" t="str">
        <f t="shared" si="121"/>
        <v xml:space="preserve"> </v>
      </c>
      <c r="G1972" s="24"/>
      <c r="H1972" s="25" t="str">
        <f t="shared" si="122"/>
        <v xml:space="preserve"> </v>
      </c>
      <c r="I1972" s="26"/>
      <c r="J1972" s="27" t="str">
        <f t="shared" si="123"/>
        <v xml:space="preserve"> </v>
      </c>
    </row>
    <row r="1973" spans="1:10" x14ac:dyDescent="0.3">
      <c r="A1973" s="23" t="str">
        <f t="shared" si="120"/>
        <v xml:space="preserve"> </v>
      </c>
      <c r="B1973" s="24"/>
      <c r="C1973" s="4"/>
      <c r="D1973" s="24"/>
      <c r="E1973" s="24"/>
      <c r="F1973" s="25" t="str">
        <f t="shared" si="121"/>
        <v xml:space="preserve"> </v>
      </c>
      <c r="G1973" s="24"/>
      <c r="H1973" s="25" t="str">
        <f t="shared" si="122"/>
        <v xml:space="preserve"> </v>
      </c>
      <c r="I1973" s="26"/>
      <c r="J1973" s="27" t="str">
        <f t="shared" si="123"/>
        <v xml:space="preserve"> </v>
      </c>
    </row>
    <row r="1974" spans="1:10" x14ac:dyDescent="0.3">
      <c r="A1974" s="23" t="str">
        <f t="shared" si="120"/>
        <v xml:space="preserve"> </v>
      </c>
      <c r="B1974" s="24"/>
      <c r="C1974" s="4"/>
      <c r="D1974" s="24"/>
      <c r="E1974" s="24"/>
      <c r="F1974" s="25" t="str">
        <f t="shared" si="121"/>
        <v xml:space="preserve"> </v>
      </c>
      <c r="G1974" s="24"/>
      <c r="H1974" s="25" t="str">
        <f t="shared" si="122"/>
        <v xml:space="preserve"> </v>
      </c>
      <c r="I1974" s="26"/>
      <c r="J1974" s="27" t="str">
        <f t="shared" si="123"/>
        <v xml:space="preserve"> </v>
      </c>
    </row>
    <row r="1975" spans="1:10" x14ac:dyDescent="0.3">
      <c r="A1975" s="23" t="str">
        <f t="shared" si="120"/>
        <v xml:space="preserve"> </v>
      </c>
      <c r="B1975" s="24"/>
      <c r="C1975" s="4"/>
      <c r="D1975" s="24"/>
      <c r="E1975" s="24"/>
      <c r="F1975" s="25" t="str">
        <f t="shared" si="121"/>
        <v xml:space="preserve"> </v>
      </c>
      <c r="G1975" s="24"/>
      <c r="H1975" s="25" t="str">
        <f t="shared" si="122"/>
        <v xml:space="preserve"> </v>
      </c>
      <c r="I1975" s="26"/>
      <c r="J1975" s="27" t="str">
        <f t="shared" si="123"/>
        <v xml:space="preserve"> </v>
      </c>
    </row>
    <row r="1976" spans="1:10" x14ac:dyDescent="0.3">
      <c r="A1976" s="23" t="str">
        <f t="shared" si="120"/>
        <v xml:space="preserve"> </v>
      </c>
      <c r="B1976" s="24"/>
      <c r="C1976" s="4"/>
      <c r="D1976" s="24"/>
      <c r="E1976" s="24"/>
      <c r="F1976" s="25" t="str">
        <f t="shared" si="121"/>
        <v xml:space="preserve"> </v>
      </c>
      <c r="G1976" s="24"/>
      <c r="H1976" s="25" t="str">
        <f t="shared" si="122"/>
        <v xml:space="preserve"> </v>
      </c>
      <c r="I1976" s="26"/>
      <c r="J1976" s="27" t="str">
        <f t="shared" si="123"/>
        <v xml:space="preserve"> </v>
      </c>
    </row>
    <row r="1977" spans="1:10" x14ac:dyDescent="0.3">
      <c r="A1977" s="23" t="str">
        <f t="shared" si="120"/>
        <v xml:space="preserve"> </v>
      </c>
      <c r="B1977" s="24"/>
      <c r="C1977" s="4"/>
      <c r="D1977" s="24"/>
      <c r="E1977" s="24"/>
      <c r="F1977" s="25" t="str">
        <f t="shared" si="121"/>
        <v xml:space="preserve"> </v>
      </c>
      <c r="G1977" s="24"/>
      <c r="H1977" s="25" t="str">
        <f t="shared" si="122"/>
        <v xml:space="preserve"> </v>
      </c>
      <c r="I1977" s="26"/>
      <c r="J1977" s="27" t="str">
        <f t="shared" si="123"/>
        <v xml:space="preserve"> </v>
      </c>
    </row>
    <row r="1978" spans="1:10" x14ac:dyDescent="0.3">
      <c r="A1978" s="23" t="str">
        <f t="shared" si="120"/>
        <v xml:space="preserve"> </v>
      </c>
      <c r="B1978" s="24"/>
      <c r="C1978" s="4"/>
      <c r="D1978" s="24"/>
      <c r="E1978" s="24"/>
      <c r="F1978" s="25" t="str">
        <f t="shared" si="121"/>
        <v xml:space="preserve"> </v>
      </c>
      <c r="G1978" s="24"/>
      <c r="H1978" s="25" t="str">
        <f t="shared" si="122"/>
        <v xml:space="preserve"> </v>
      </c>
      <c r="I1978" s="26"/>
      <c r="J1978" s="27" t="str">
        <f t="shared" si="123"/>
        <v xml:space="preserve"> </v>
      </c>
    </row>
    <row r="1979" spans="1:10" x14ac:dyDescent="0.3">
      <c r="A1979" s="23" t="str">
        <f t="shared" si="120"/>
        <v xml:space="preserve"> </v>
      </c>
      <c r="B1979" s="24"/>
      <c r="C1979" s="4"/>
      <c r="D1979" s="24"/>
      <c r="E1979" s="24"/>
      <c r="F1979" s="25" t="str">
        <f t="shared" si="121"/>
        <v xml:space="preserve"> </v>
      </c>
      <c r="G1979" s="24"/>
      <c r="H1979" s="25" t="str">
        <f t="shared" si="122"/>
        <v xml:space="preserve"> </v>
      </c>
      <c r="I1979" s="26"/>
      <c r="J1979" s="27" t="str">
        <f t="shared" si="123"/>
        <v xml:space="preserve"> </v>
      </c>
    </row>
    <row r="1980" spans="1:10" x14ac:dyDescent="0.3">
      <c r="A1980" s="23" t="str">
        <f t="shared" si="120"/>
        <v xml:space="preserve"> </v>
      </c>
      <c r="B1980" s="24"/>
      <c r="C1980" s="4"/>
      <c r="D1980" s="24"/>
      <c r="E1980" s="24"/>
      <c r="F1980" s="25" t="str">
        <f t="shared" si="121"/>
        <v xml:space="preserve"> </v>
      </c>
      <c r="G1980" s="24"/>
      <c r="H1980" s="25" t="str">
        <f t="shared" si="122"/>
        <v xml:space="preserve"> </v>
      </c>
      <c r="I1980" s="26"/>
      <c r="J1980" s="27" t="str">
        <f t="shared" si="123"/>
        <v xml:space="preserve"> </v>
      </c>
    </row>
    <row r="1981" spans="1:10" x14ac:dyDescent="0.3">
      <c r="A1981" s="23" t="str">
        <f t="shared" si="120"/>
        <v xml:space="preserve"> </v>
      </c>
      <c r="B1981" s="24"/>
      <c r="C1981" s="4"/>
      <c r="D1981" s="24"/>
      <c r="E1981" s="24"/>
      <c r="F1981" s="25" t="str">
        <f t="shared" si="121"/>
        <v xml:space="preserve"> </v>
      </c>
      <c r="G1981" s="24"/>
      <c r="H1981" s="25" t="str">
        <f t="shared" si="122"/>
        <v xml:space="preserve"> </v>
      </c>
      <c r="I1981" s="26"/>
      <c r="J1981" s="27" t="str">
        <f t="shared" si="123"/>
        <v xml:space="preserve"> </v>
      </c>
    </row>
    <row r="1982" spans="1:10" x14ac:dyDescent="0.3">
      <c r="A1982" s="23" t="str">
        <f t="shared" si="120"/>
        <v xml:space="preserve"> </v>
      </c>
      <c r="B1982" s="24"/>
      <c r="C1982" s="4"/>
      <c r="D1982" s="24"/>
      <c r="E1982" s="24"/>
      <c r="F1982" s="25" t="str">
        <f t="shared" si="121"/>
        <v xml:space="preserve"> </v>
      </c>
      <c r="G1982" s="24"/>
      <c r="H1982" s="25" t="str">
        <f t="shared" si="122"/>
        <v xml:space="preserve"> </v>
      </c>
      <c r="I1982" s="26"/>
      <c r="J1982" s="27" t="str">
        <f t="shared" si="123"/>
        <v xml:space="preserve"> </v>
      </c>
    </row>
    <row r="1983" spans="1:10" x14ac:dyDescent="0.3">
      <c r="A1983" s="23" t="str">
        <f t="shared" si="120"/>
        <v xml:space="preserve"> </v>
      </c>
      <c r="B1983" s="24"/>
      <c r="C1983" s="4"/>
      <c r="D1983" s="24"/>
      <c r="E1983" s="24"/>
      <c r="F1983" s="25" t="str">
        <f t="shared" si="121"/>
        <v xml:space="preserve"> </v>
      </c>
      <c r="G1983" s="24"/>
      <c r="H1983" s="25" t="str">
        <f t="shared" si="122"/>
        <v xml:space="preserve"> </v>
      </c>
      <c r="I1983" s="26"/>
      <c r="J1983" s="27" t="str">
        <f t="shared" si="123"/>
        <v xml:space="preserve"> </v>
      </c>
    </row>
    <row r="1984" spans="1:10" x14ac:dyDescent="0.3">
      <c r="A1984" s="23" t="str">
        <f t="shared" si="120"/>
        <v xml:space="preserve"> </v>
      </c>
      <c r="B1984" s="24"/>
      <c r="C1984" s="4"/>
      <c r="D1984" s="24"/>
      <c r="E1984" s="24"/>
      <c r="F1984" s="25" t="str">
        <f t="shared" si="121"/>
        <v xml:space="preserve"> </v>
      </c>
      <c r="G1984" s="24"/>
      <c r="H1984" s="25" t="str">
        <f t="shared" si="122"/>
        <v xml:space="preserve"> </v>
      </c>
      <c r="I1984" s="26"/>
      <c r="J1984" s="27" t="str">
        <f t="shared" si="123"/>
        <v xml:space="preserve"> </v>
      </c>
    </row>
    <row r="1985" spans="1:10" x14ac:dyDescent="0.3">
      <c r="A1985" s="23" t="str">
        <f t="shared" si="120"/>
        <v xml:space="preserve"> </v>
      </c>
      <c r="B1985" s="24"/>
      <c r="C1985" s="4"/>
      <c r="D1985" s="24"/>
      <c r="E1985" s="24"/>
      <c r="F1985" s="25" t="str">
        <f t="shared" si="121"/>
        <v xml:space="preserve"> </v>
      </c>
      <c r="G1985" s="24"/>
      <c r="H1985" s="25" t="str">
        <f t="shared" si="122"/>
        <v xml:space="preserve"> </v>
      </c>
      <c r="I1985" s="26"/>
      <c r="J1985" s="27" t="str">
        <f t="shared" si="123"/>
        <v xml:space="preserve"> </v>
      </c>
    </row>
    <row r="1986" spans="1:10" x14ac:dyDescent="0.3">
      <c r="A1986" s="23" t="str">
        <f t="shared" si="120"/>
        <v xml:space="preserve"> </v>
      </c>
      <c r="B1986" s="24"/>
      <c r="C1986" s="4"/>
      <c r="D1986" s="24"/>
      <c r="E1986" s="24"/>
      <c r="F1986" s="25" t="str">
        <f t="shared" si="121"/>
        <v xml:space="preserve"> </v>
      </c>
      <c r="G1986" s="24"/>
      <c r="H1986" s="25" t="str">
        <f t="shared" si="122"/>
        <v xml:space="preserve"> </v>
      </c>
      <c r="I1986" s="26"/>
      <c r="J1986" s="27" t="str">
        <f t="shared" si="123"/>
        <v xml:space="preserve"> </v>
      </c>
    </row>
    <row r="1987" spans="1:10" x14ac:dyDescent="0.3">
      <c r="A1987" s="23" t="str">
        <f t="shared" si="120"/>
        <v xml:space="preserve"> </v>
      </c>
      <c r="B1987" s="24"/>
      <c r="C1987" s="4"/>
      <c r="D1987" s="24"/>
      <c r="E1987" s="24"/>
      <c r="F1987" s="25" t="str">
        <f t="shared" si="121"/>
        <v xml:space="preserve"> </v>
      </c>
      <c r="G1987" s="24"/>
      <c r="H1987" s="25" t="str">
        <f t="shared" si="122"/>
        <v xml:space="preserve"> </v>
      </c>
      <c r="I1987" s="26"/>
      <c r="J1987" s="27" t="str">
        <f t="shared" si="123"/>
        <v xml:space="preserve"> </v>
      </c>
    </row>
    <row r="1988" spans="1:10" x14ac:dyDescent="0.3">
      <c r="A1988" s="23" t="str">
        <f t="shared" si="120"/>
        <v xml:space="preserve"> </v>
      </c>
      <c r="B1988" s="24"/>
      <c r="C1988" s="4"/>
      <c r="D1988" s="24"/>
      <c r="E1988" s="24"/>
      <c r="F1988" s="25" t="str">
        <f t="shared" si="121"/>
        <v xml:space="preserve"> </v>
      </c>
      <c r="G1988" s="24"/>
      <c r="H1988" s="25" t="str">
        <f t="shared" si="122"/>
        <v xml:space="preserve"> </v>
      </c>
      <c r="I1988" s="26"/>
      <c r="J1988" s="27" t="str">
        <f t="shared" si="123"/>
        <v xml:space="preserve"> </v>
      </c>
    </row>
    <row r="1989" spans="1:10" x14ac:dyDescent="0.3">
      <c r="A1989" s="23" t="str">
        <f t="shared" ref="A1989:A2000" si="124">IF(C1989&gt;0,RIGHT($D$3,10)," ")</f>
        <v xml:space="preserve"> </v>
      </c>
      <c r="B1989" s="24"/>
      <c r="C1989" s="4"/>
      <c r="D1989" s="24"/>
      <c r="E1989" s="24"/>
      <c r="F1989" s="25" t="str">
        <f t="shared" ref="F1989:F2000" si="125">IF(C1989&gt;0,$C$3," ")</f>
        <v xml:space="preserve"> </v>
      </c>
      <c r="G1989" s="24"/>
      <c r="H1989" s="25" t="str">
        <f t="shared" ref="H1989:H2000" si="126">IF(G1989&gt;0,"Pcs."," ")</f>
        <v xml:space="preserve"> </v>
      </c>
      <c r="I1989" s="26"/>
      <c r="J1989" s="27" t="str">
        <f t="shared" ref="J1989:J2000" si="127">IF(I1989*G1989=0," ",I1989*G1989)</f>
        <v xml:space="preserve"> </v>
      </c>
    </row>
    <row r="1990" spans="1:10" x14ac:dyDescent="0.3">
      <c r="A1990" s="23" t="str">
        <f t="shared" si="124"/>
        <v xml:space="preserve"> </v>
      </c>
      <c r="B1990" s="24"/>
      <c r="C1990" s="4"/>
      <c r="D1990" s="24"/>
      <c r="E1990" s="24"/>
      <c r="F1990" s="25" t="str">
        <f t="shared" si="125"/>
        <v xml:space="preserve"> </v>
      </c>
      <c r="G1990" s="24"/>
      <c r="H1990" s="25" t="str">
        <f t="shared" si="126"/>
        <v xml:space="preserve"> </v>
      </c>
      <c r="I1990" s="26"/>
      <c r="J1990" s="27" t="str">
        <f t="shared" si="127"/>
        <v xml:space="preserve"> </v>
      </c>
    </row>
    <row r="1991" spans="1:10" x14ac:dyDescent="0.3">
      <c r="A1991" s="23" t="str">
        <f t="shared" si="124"/>
        <v xml:space="preserve"> </v>
      </c>
      <c r="B1991" s="24"/>
      <c r="C1991" s="4"/>
      <c r="D1991" s="24"/>
      <c r="E1991" s="24"/>
      <c r="F1991" s="25" t="str">
        <f t="shared" si="125"/>
        <v xml:space="preserve"> </v>
      </c>
      <c r="G1991" s="24"/>
      <c r="H1991" s="25" t="str">
        <f t="shared" si="126"/>
        <v xml:space="preserve"> </v>
      </c>
      <c r="I1991" s="26"/>
      <c r="J1991" s="27" t="str">
        <f t="shared" si="127"/>
        <v xml:space="preserve"> </v>
      </c>
    </row>
    <row r="1992" spans="1:10" x14ac:dyDescent="0.3">
      <c r="A1992" s="23" t="str">
        <f t="shared" si="124"/>
        <v xml:space="preserve"> </v>
      </c>
      <c r="B1992" s="24"/>
      <c r="C1992" s="4"/>
      <c r="D1992" s="24"/>
      <c r="E1992" s="24"/>
      <c r="F1992" s="25" t="str">
        <f t="shared" si="125"/>
        <v xml:space="preserve"> </v>
      </c>
      <c r="G1992" s="24"/>
      <c r="H1992" s="25" t="str">
        <f t="shared" si="126"/>
        <v xml:space="preserve"> </v>
      </c>
      <c r="I1992" s="26"/>
      <c r="J1992" s="27" t="str">
        <f t="shared" si="127"/>
        <v xml:space="preserve"> </v>
      </c>
    </row>
    <row r="1993" spans="1:10" x14ac:dyDescent="0.3">
      <c r="A1993" s="23" t="str">
        <f t="shared" si="124"/>
        <v xml:space="preserve"> </v>
      </c>
      <c r="B1993" s="24"/>
      <c r="C1993" s="4"/>
      <c r="D1993" s="24"/>
      <c r="E1993" s="24"/>
      <c r="F1993" s="25" t="str">
        <f t="shared" si="125"/>
        <v xml:space="preserve"> </v>
      </c>
      <c r="G1993" s="24"/>
      <c r="H1993" s="25" t="str">
        <f t="shared" si="126"/>
        <v xml:space="preserve"> </v>
      </c>
      <c r="I1993" s="26"/>
      <c r="J1993" s="27" t="str">
        <f t="shared" si="127"/>
        <v xml:space="preserve"> </v>
      </c>
    </row>
    <row r="1994" spans="1:10" x14ac:dyDescent="0.3">
      <c r="A1994" s="23" t="str">
        <f t="shared" si="124"/>
        <v xml:space="preserve"> </v>
      </c>
      <c r="B1994" s="24"/>
      <c r="C1994" s="4"/>
      <c r="D1994" s="24"/>
      <c r="E1994" s="24"/>
      <c r="F1994" s="25" t="str">
        <f t="shared" si="125"/>
        <v xml:space="preserve"> </v>
      </c>
      <c r="G1994" s="24"/>
      <c r="H1994" s="25" t="str">
        <f t="shared" si="126"/>
        <v xml:space="preserve"> </v>
      </c>
      <c r="I1994" s="26"/>
      <c r="J1994" s="27" t="str">
        <f t="shared" si="127"/>
        <v xml:space="preserve"> </v>
      </c>
    </row>
    <row r="1995" spans="1:10" x14ac:dyDescent="0.3">
      <c r="A1995" s="23" t="str">
        <f t="shared" si="124"/>
        <v xml:space="preserve"> </v>
      </c>
      <c r="B1995" s="24"/>
      <c r="C1995" s="4"/>
      <c r="D1995" s="24"/>
      <c r="E1995" s="24"/>
      <c r="F1995" s="25" t="str">
        <f t="shared" si="125"/>
        <v xml:space="preserve"> </v>
      </c>
      <c r="G1995" s="24"/>
      <c r="H1995" s="25" t="str">
        <f t="shared" si="126"/>
        <v xml:space="preserve"> </v>
      </c>
      <c r="I1995" s="26"/>
      <c r="J1995" s="27" t="str">
        <f t="shared" si="127"/>
        <v xml:space="preserve"> </v>
      </c>
    </row>
    <row r="1996" spans="1:10" x14ac:dyDescent="0.3">
      <c r="A1996" s="23" t="str">
        <f t="shared" si="124"/>
        <v xml:space="preserve"> </v>
      </c>
      <c r="B1996" s="24"/>
      <c r="C1996" s="4"/>
      <c r="D1996" s="24"/>
      <c r="E1996" s="24"/>
      <c r="F1996" s="25" t="str">
        <f t="shared" si="125"/>
        <v xml:space="preserve"> </v>
      </c>
      <c r="G1996" s="24"/>
      <c r="H1996" s="25" t="str">
        <f t="shared" si="126"/>
        <v xml:space="preserve"> </v>
      </c>
      <c r="I1996" s="26"/>
      <c r="J1996" s="27" t="str">
        <f t="shared" si="127"/>
        <v xml:space="preserve"> </v>
      </c>
    </row>
    <row r="1997" spans="1:10" x14ac:dyDescent="0.3">
      <c r="A1997" s="23" t="str">
        <f t="shared" si="124"/>
        <v xml:space="preserve"> </v>
      </c>
      <c r="B1997" s="24"/>
      <c r="C1997" s="4"/>
      <c r="D1997" s="24"/>
      <c r="E1997" s="24"/>
      <c r="F1997" s="25" t="str">
        <f t="shared" si="125"/>
        <v xml:space="preserve"> </v>
      </c>
      <c r="G1997" s="24"/>
      <c r="H1997" s="25" t="str">
        <f t="shared" si="126"/>
        <v xml:space="preserve"> </v>
      </c>
      <c r="I1997" s="26"/>
      <c r="J1997" s="27" t="str">
        <f t="shared" si="127"/>
        <v xml:space="preserve"> </v>
      </c>
    </row>
    <row r="1998" spans="1:10" x14ac:dyDescent="0.3">
      <c r="A1998" s="23" t="str">
        <f t="shared" si="124"/>
        <v xml:space="preserve"> </v>
      </c>
      <c r="B1998" s="24"/>
      <c r="C1998" s="4"/>
      <c r="D1998" s="24"/>
      <c r="E1998" s="24"/>
      <c r="F1998" s="25" t="str">
        <f t="shared" si="125"/>
        <v xml:space="preserve"> </v>
      </c>
      <c r="G1998" s="24"/>
      <c r="H1998" s="25" t="str">
        <f t="shared" si="126"/>
        <v xml:space="preserve"> </v>
      </c>
      <c r="I1998" s="26"/>
      <c r="J1998" s="27" t="str">
        <f t="shared" si="127"/>
        <v xml:space="preserve"> </v>
      </c>
    </row>
    <row r="1999" spans="1:10" x14ac:dyDescent="0.3">
      <c r="A1999" s="23" t="str">
        <f t="shared" si="124"/>
        <v xml:space="preserve"> </v>
      </c>
      <c r="B1999" s="24"/>
      <c r="C1999" s="4"/>
      <c r="D1999" s="24"/>
      <c r="E1999" s="24"/>
      <c r="F1999" s="25" t="str">
        <f t="shared" si="125"/>
        <v xml:space="preserve"> </v>
      </c>
      <c r="G1999" s="24"/>
      <c r="H1999" s="25" t="str">
        <f t="shared" si="126"/>
        <v xml:space="preserve"> </v>
      </c>
      <c r="I1999" s="26"/>
      <c r="J1999" s="27" t="str">
        <f t="shared" si="127"/>
        <v xml:space="preserve"> </v>
      </c>
    </row>
    <row r="2000" spans="1:10" x14ac:dyDescent="0.3">
      <c r="A2000" s="23" t="str">
        <f t="shared" si="124"/>
        <v xml:space="preserve"> </v>
      </c>
      <c r="B2000" s="24"/>
      <c r="C2000" s="4"/>
      <c r="D2000" s="24"/>
      <c r="E2000" s="24"/>
      <c r="F2000" s="25" t="str">
        <f t="shared" si="125"/>
        <v xml:space="preserve"> </v>
      </c>
      <c r="G2000" s="24"/>
      <c r="H2000" s="25" t="str">
        <f t="shared" si="126"/>
        <v xml:space="preserve"> </v>
      </c>
      <c r="I2000" s="26"/>
      <c r="J2000" s="27" t="str">
        <f t="shared" si="127"/>
        <v xml:space="preserve"> </v>
      </c>
    </row>
    <row r="2001" spans="7:10" ht="18" thickBot="1" x14ac:dyDescent="0.35">
      <c r="G2001" s="31">
        <f>SUBTOTAL(9,G5:G2000)</f>
        <v>1567</v>
      </c>
      <c r="J2001" s="53">
        <f>SUBTOTAL(9,J5:J2000)</f>
        <v>3848486.1000000192</v>
      </c>
    </row>
    <row r="2002" spans="7:10" ht="14.4" thickTop="1" x14ac:dyDescent="0.3"/>
  </sheetData>
  <autoFilter ref="A4:J2000" xr:uid="{594DC262-5842-4C35-BFDC-6C3A78A05E2E}"/>
  <mergeCells count="4">
    <mergeCell ref="A1:J1"/>
    <mergeCell ref="A2:J2"/>
    <mergeCell ref="A3:B3"/>
    <mergeCell ref="D3:J3"/>
  </mergeCells>
  <conditionalFormatting sqref="C1:C2">
    <cfRule type="duplicateValues" dxfId="3" priority="1"/>
    <cfRule type="duplicateValues" dxfId="2" priority="2"/>
  </conditionalFormatting>
  <conditionalFormatting sqref="C4">
    <cfRule type="duplicateValues" dxfId="1" priority="3"/>
    <cfRule type="duplicateValues" dxfId="0" priority="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 Report May-26</vt:lpstr>
      <vt:lpstr>SOH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Tanmoy Bose</cp:lastModifiedBy>
  <dcterms:created xsi:type="dcterms:W3CDTF">2025-11-02T11:28:08Z</dcterms:created>
  <dcterms:modified xsi:type="dcterms:W3CDTF">2026-05-27T06:47:24Z</dcterms:modified>
</cp:coreProperties>
</file>